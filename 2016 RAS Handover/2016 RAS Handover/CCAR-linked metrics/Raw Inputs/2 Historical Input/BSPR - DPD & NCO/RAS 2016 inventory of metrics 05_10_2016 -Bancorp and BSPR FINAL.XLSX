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65" windowWidth="18960" windowHeight="7680" tabRatio="617" activeTab="1"/>
  </bookViews>
  <sheets>
    <sheet name="BSPR RAS metrics" sheetId="16" r:id="rId1"/>
    <sheet name="Bancorp RAS metrics" sheetId="18" r:id="rId2"/>
    <sheet name="Eliminated from RAS" sheetId="17" state="hidden" r:id="rId3"/>
    <sheet name="Not included in RAS-Only Monit " sheetId="20" state="hidden" r:id="rId4"/>
    <sheet name="Industry Exposure OCC" sheetId="21" state="hidden" r:id="rId5"/>
  </sheets>
  <definedNames>
    <definedName name="_xlnm._FilterDatabase" localSheetId="1" hidden="1">'Bancorp RAS metrics'!$B$2:$CN$37</definedName>
    <definedName name="_xlnm._FilterDatabase" localSheetId="0" hidden="1">'BSPR RAS metrics'!$B$2:$CN$37</definedName>
    <definedName name="_xlnm._FilterDatabase" localSheetId="2" hidden="1">'Eliminated from RAS'!$B$2:$CN$2</definedName>
    <definedName name="_xlnm._FilterDatabase" localSheetId="3" hidden="1">'Not included in RAS-Only Monit '!$B$2:$CN$11</definedName>
    <definedName name="_xlnm.Print_Area" localSheetId="1">'Bancorp RAS metrics'!$B$3:$X$37</definedName>
    <definedName name="_xlnm.Print_Area" localSheetId="0">'BSPR RAS metrics'!$B$3:$X$37</definedName>
    <definedName name="_xlnm.Print_Area" localSheetId="2">'Eliminated from RAS'!#REF!</definedName>
    <definedName name="_xlnm.Print_Area" localSheetId="3">'Not included in RAS-Only Monit '!#REF!</definedName>
    <definedName name="_xlnm.Print_Titles" localSheetId="1">'Bancorp RAS metrics'!$2:$2</definedName>
    <definedName name="_xlnm.Print_Titles" localSheetId="0">'BSPR RAS metrics'!$2:$2</definedName>
    <definedName name="_xlnm.Print_Titles" localSheetId="2">'Eliminated from RAS'!$2:$2</definedName>
    <definedName name="_xlnm.Print_Titles" localSheetId="3">'Not included in RAS-Only Monit '!$2:$2</definedName>
  </definedNames>
  <calcPr calcId="145621"/>
</workbook>
</file>

<file path=xl/calcChain.xml><?xml version="1.0" encoding="utf-8"?>
<calcChain xmlns="http://schemas.openxmlformats.org/spreadsheetml/2006/main">
  <c r="BH26" i="16" l="1"/>
  <c r="BH26" i="18"/>
  <c r="O47" i="21" l="1"/>
  <c r="O46" i="21" l="1"/>
  <c r="N46" i="21"/>
  <c r="R31" i="21" l="1"/>
  <c r="Q31" i="21"/>
  <c r="P31" i="21"/>
  <c r="O31" i="21"/>
  <c r="R27" i="21"/>
  <c r="Q27" i="21"/>
  <c r="P27" i="21"/>
  <c r="O27" i="21"/>
  <c r="R26" i="21"/>
  <c r="Q26" i="21"/>
  <c r="P26" i="21"/>
  <c r="O26" i="21"/>
  <c r="R25" i="21"/>
  <c r="Q25" i="21"/>
  <c r="P25" i="21"/>
  <c r="O25" i="21"/>
  <c r="R24" i="21"/>
  <c r="Q24" i="21"/>
  <c r="P24" i="21"/>
  <c r="O24" i="21"/>
  <c r="R22" i="21"/>
  <c r="Q22" i="21"/>
  <c r="P22" i="21"/>
  <c r="O22" i="21"/>
  <c r="R18" i="21"/>
  <c r="Q18" i="21"/>
  <c r="P18" i="21"/>
  <c r="O18" i="21"/>
  <c r="R16" i="21"/>
  <c r="Q16" i="21"/>
  <c r="P16" i="21"/>
  <c r="O16" i="21"/>
  <c r="R15" i="21"/>
  <c r="Q15" i="21"/>
  <c r="P15" i="21"/>
  <c r="O15" i="21"/>
  <c r="R10" i="21"/>
  <c r="Q10" i="21"/>
  <c r="P10" i="21"/>
  <c r="O10" i="21"/>
  <c r="R2" i="21"/>
  <c r="Q2" i="21"/>
  <c r="P2" i="21"/>
  <c r="O2" i="21"/>
  <c r="AR23" i="17" l="1"/>
  <c r="AR22" i="17"/>
  <c r="AR21" i="17"/>
  <c r="AR20" i="17"/>
  <c r="AR11" i="16" l="1"/>
  <c r="AR10" i="16"/>
  <c r="AR9" i="16"/>
  <c r="BT31" i="18"/>
  <c r="BU31" i="18" s="1"/>
  <c r="BS31" i="18"/>
  <c r="BR31" i="18"/>
  <c r="BT31" i="16"/>
  <c r="BU31" i="16" s="1"/>
  <c r="BS31" i="16"/>
  <c r="BR31" i="16"/>
  <c r="AR8" i="16"/>
  <c r="BT13" i="20" l="1"/>
  <c r="BU13" i="20" s="1"/>
  <c r="BS13" i="20"/>
  <c r="BR13" i="20"/>
  <c r="BT19" i="17" l="1"/>
  <c r="BU19" i="17" s="1"/>
  <c r="BS19" i="17"/>
  <c r="BR19" i="17"/>
  <c r="BH18" i="17"/>
  <c r="BG18" i="17"/>
  <c r="BF18" i="17"/>
  <c r="BE18" i="17"/>
  <c r="BD18" i="17"/>
  <c r="BC18" i="17"/>
  <c r="BB18" i="17"/>
  <c r="BS18" i="17" s="1"/>
  <c r="BR18" i="17" l="1"/>
  <c r="BT18" i="17"/>
  <c r="BU18" i="17" s="1"/>
  <c r="AS26" i="18"/>
  <c r="Z44" i="21"/>
  <c r="Y44" i="21"/>
  <c r="X44" i="21"/>
  <c r="W44" i="21"/>
  <c r="V44" i="21"/>
  <c r="U44" i="21"/>
  <c r="T44" i="21"/>
  <c r="S44" i="21"/>
  <c r="R44" i="21"/>
  <c r="Q44" i="21"/>
  <c r="P44" i="21"/>
  <c r="O44" i="21"/>
  <c r="N44" i="21"/>
  <c r="M44" i="21"/>
  <c r="L44" i="21"/>
  <c r="K44" i="21"/>
  <c r="J44" i="21"/>
  <c r="I44" i="21"/>
  <c r="H44" i="21"/>
  <c r="G44" i="21"/>
  <c r="F44" i="21"/>
  <c r="E44" i="21"/>
  <c r="D44" i="21"/>
  <c r="C44" i="21"/>
  <c r="Z43" i="21"/>
  <c r="Y43" i="21"/>
  <c r="X43" i="21"/>
  <c r="W43" i="21"/>
  <c r="V43" i="21"/>
  <c r="U43" i="21"/>
  <c r="T43" i="21"/>
  <c r="S43" i="21"/>
  <c r="R43" i="21"/>
  <c r="Q43" i="21"/>
  <c r="P43" i="21"/>
  <c r="O43" i="21"/>
  <c r="N43" i="21"/>
  <c r="M43" i="21"/>
  <c r="L43" i="21"/>
  <c r="K43" i="21"/>
  <c r="J43" i="21"/>
  <c r="I43" i="21"/>
  <c r="H43" i="21"/>
  <c r="G43" i="21"/>
  <c r="F43" i="21"/>
  <c r="E43" i="21"/>
  <c r="D43" i="21"/>
  <c r="C43" i="21"/>
  <c r="Z42" i="21"/>
  <c r="Y42" i="21"/>
  <c r="X42" i="21"/>
  <c r="W42" i="21"/>
  <c r="V42" i="21"/>
  <c r="U42" i="21"/>
  <c r="T42" i="21"/>
  <c r="S42" i="21"/>
  <c r="R42" i="21"/>
  <c r="Q42" i="21"/>
  <c r="P42" i="21"/>
  <c r="O42" i="21"/>
  <c r="N42" i="21"/>
  <c r="M42" i="21"/>
  <c r="L42" i="21"/>
  <c r="K42" i="21"/>
  <c r="J42" i="21"/>
  <c r="I42" i="21"/>
  <c r="H42" i="21"/>
  <c r="G42" i="21"/>
  <c r="F42" i="21"/>
  <c r="E42" i="21"/>
  <c r="D42" i="21"/>
  <c r="C42" i="21"/>
  <c r="Z41" i="21"/>
  <c r="Y41" i="21"/>
  <c r="X41" i="21"/>
  <c r="W41" i="21"/>
  <c r="V41" i="21"/>
  <c r="U41" i="21"/>
  <c r="T41" i="21"/>
  <c r="S41" i="21"/>
  <c r="R41" i="21"/>
  <c r="Q41" i="21"/>
  <c r="P41" i="21"/>
  <c r="O41" i="21"/>
  <c r="N41" i="21"/>
  <c r="M41" i="21"/>
  <c r="L41" i="21"/>
  <c r="K41" i="21"/>
  <c r="J41" i="21"/>
  <c r="I41" i="21"/>
  <c r="H41" i="21"/>
  <c r="G41" i="21"/>
  <c r="F41" i="21"/>
  <c r="E41" i="21"/>
  <c r="D41" i="21"/>
  <c r="C41" i="21"/>
  <c r="Z40" i="21"/>
  <c r="Y40" i="21"/>
  <c r="X40" i="21"/>
  <c r="W40" i="21"/>
  <c r="V40" i="21"/>
  <c r="U40" i="21"/>
  <c r="T40" i="21"/>
  <c r="S40" i="21"/>
  <c r="R40" i="21"/>
  <c r="Q40" i="21"/>
  <c r="P40" i="21"/>
  <c r="O40" i="21"/>
  <c r="N40" i="21"/>
  <c r="M40" i="21"/>
  <c r="L40" i="21"/>
  <c r="K40" i="21"/>
  <c r="J40" i="21"/>
  <c r="I40" i="21"/>
  <c r="H40" i="21"/>
  <c r="G40" i="21"/>
  <c r="F40" i="21"/>
  <c r="E40" i="21"/>
  <c r="D40" i="21"/>
  <c r="C40" i="21"/>
  <c r="Z39" i="21"/>
  <c r="Y39" i="21"/>
  <c r="X39" i="21"/>
  <c r="W39" i="21"/>
  <c r="V39" i="21"/>
  <c r="U39" i="21"/>
  <c r="T39" i="21"/>
  <c r="S39" i="21"/>
  <c r="R39" i="21"/>
  <c r="Q39" i="21"/>
  <c r="P39" i="21"/>
  <c r="O39" i="21"/>
  <c r="N39" i="21"/>
  <c r="M39" i="21"/>
  <c r="L39" i="21"/>
  <c r="K39" i="21"/>
  <c r="J39" i="21"/>
  <c r="I39" i="21"/>
  <c r="H39" i="21"/>
  <c r="G39" i="21"/>
  <c r="F39" i="21"/>
  <c r="E39" i="21"/>
  <c r="D39" i="21"/>
  <c r="C39" i="21"/>
  <c r="Z38" i="21"/>
  <c r="Y38" i="21"/>
  <c r="X38" i="21"/>
  <c r="W38" i="21"/>
  <c r="V38" i="21"/>
  <c r="U38" i="21"/>
  <c r="T38" i="21"/>
  <c r="S38" i="21"/>
  <c r="R38" i="21"/>
  <c r="Q38" i="21"/>
  <c r="P38" i="21"/>
  <c r="O38" i="21"/>
  <c r="N38" i="21"/>
  <c r="M38" i="21"/>
  <c r="L38" i="21"/>
  <c r="K38" i="21"/>
  <c r="J38" i="21"/>
  <c r="I38" i="21"/>
  <c r="H38" i="21"/>
  <c r="G38" i="21"/>
  <c r="F38" i="21"/>
  <c r="E38" i="21"/>
  <c r="D38" i="21"/>
  <c r="C38" i="21"/>
  <c r="Z37" i="21"/>
  <c r="Y37" i="21"/>
  <c r="X37" i="21"/>
  <c r="W37" i="21"/>
  <c r="V37" i="21"/>
  <c r="U37" i="21"/>
  <c r="T37" i="21"/>
  <c r="S37" i="21"/>
  <c r="R37" i="21"/>
  <c r="Q37" i="21"/>
  <c r="P37" i="21"/>
  <c r="O37" i="21"/>
  <c r="N37" i="21"/>
  <c r="M37" i="21"/>
  <c r="L37" i="21"/>
  <c r="K37" i="21"/>
  <c r="J37" i="21"/>
  <c r="I37" i="21"/>
  <c r="H37" i="21"/>
  <c r="G37" i="21"/>
  <c r="F37" i="21"/>
  <c r="E37" i="21"/>
  <c r="D37" i="21"/>
  <c r="C37" i="21"/>
  <c r="Z36" i="21"/>
  <c r="Y36" i="21"/>
  <c r="X36" i="21"/>
  <c r="W36" i="21"/>
  <c r="V36" i="21"/>
  <c r="U36" i="21"/>
  <c r="T36" i="21"/>
  <c r="S36" i="21"/>
  <c r="R36" i="21"/>
  <c r="Q36" i="21"/>
  <c r="P36" i="21"/>
  <c r="O36" i="21"/>
  <c r="N36" i="21"/>
  <c r="M36" i="21"/>
  <c r="L36" i="21"/>
  <c r="K36" i="21"/>
  <c r="J36" i="21"/>
  <c r="I36" i="21"/>
  <c r="H36" i="21"/>
  <c r="G36" i="21"/>
  <c r="F36" i="21"/>
  <c r="E36" i="21"/>
  <c r="D36" i="21"/>
  <c r="C36" i="21"/>
  <c r="BB26" i="18"/>
  <c r="BE26" i="18"/>
  <c r="AY26" i="18"/>
  <c r="BE26" i="16"/>
  <c r="BB26" i="16"/>
  <c r="AZ26" i="16"/>
  <c r="BT29" i="18" l="1"/>
  <c r="BU29" i="18" s="1"/>
  <c r="BS29" i="18"/>
  <c r="BR29" i="18"/>
  <c r="AK34" i="18" l="1"/>
  <c r="AQ34" i="18" s="1"/>
  <c r="AQ25" i="18" l="1"/>
  <c r="AQ25" i="16"/>
  <c r="AS28" i="16" l="1"/>
  <c r="AS27" i="16"/>
  <c r="AS26" i="16"/>
  <c r="AS28" i="18"/>
  <c r="AS27" i="18"/>
  <c r="BS12" i="20" l="1"/>
  <c r="BR12" i="20"/>
  <c r="BT11" i="20"/>
  <c r="BU11" i="20" s="1"/>
  <c r="BS11" i="20"/>
  <c r="BR11" i="20"/>
  <c r="BT10" i="20"/>
  <c r="BU10" i="20" s="1"/>
  <c r="BS10" i="20"/>
  <c r="BR10" i="20"/>
  <c r="BT9" i="20"/>
  <c r="BU9" i="20" s="1"/>
  <c r="BS9" i="20"/>
  <c r="BR9" i="20"/>
  <c r="BT8" i="20"/>
  <c r="BU8" i="20" s="1"/>
  <c r="BS8" i="20"/>
  <c r="BR8" i="20"/>
  <c r="BT7" i="20"/>
  <c r="BU7" i="20" s="1"/>
  <c r="BS7" i="20"/>
  <c r="BR7" i="20"/>
  <c r="BT6" i="20"/>
  <c r="BU6" i="20" s="1"/>
  <c r="BS6" i="20"/>
  <c r="BR6" i="20"/>
  <c r="BT5" i="20"/>
  <c r="BU5" i="20" s="1"/>
  <c r="BH5" i="20"/>
  <c r="BG5" i="20"/>
  <c r="BF5" i="20"/>
  <c r="BE5" i="20"/>
  <c r="BD5" i="20"/>
  <c r="BC5" i="20"/>
  <c r="BB5" i="20"/>
  <c r="BA5" i="20"/>
  <c r="AZ5" i="20"/>
  <c r="AY5" i="20"/>
  <c r="AX5" i="20"/>
  <c r="AW5" i="20"/>
  <c r="AV5" i="20"/>
  <c r="AU5" i="20"/>
  <c r="AT5" i="20"/>
  <c r="BS5" i="20" s="1"/>
  <c r="AS5" i="20"/>
  <c r="AR5" i="20"/>
  <c r="AQ5" i="20"/>
  <c r="BH4" i="20"/>
  <c r="BG4" i="20"/>
  <c r="BF4" i="20"/>
  <c r="BE4" i="20"/>
  <c r="BD4" i="20"/>
  <c r="BC4" i="20"/>
  <c r="BB4" i="20"/>
  <c r="BA4" i="20"/>
  <c r="AZ4" i="20"/>
  <c r="AY4" i="20"/>
  <c r="AX4" i="20"/>
  <c r="AW4" i="20"/>
  <c r="AV4" i="20"/>
  <c r="AU4" i="20"/>
  <c r="AT4" i="20"/>
  <c r="BH3" i="20"/>
  <c r="BF3" i="20"/>
  <c r="BE3" i="20"/>
  <c r="BD3" i="20"/>
  <c r="BB3" i="20"/>
  <c r="BA3" i="20"/>
  <c r="AZ3" i="20"/>
  <c r="AY3" i="20"/>
  <c r="AX3" i="20"/>
  <c r="AW3" i="20"/>
  <c r="AU3" i="20"/>
  <c r="AT3" i="20"/>
  <c r="AK34" i="16"/>
  <c r="BR4" i="20" l="1"/>
  <c r="BR5" i="20"/>
  <c r="BR3" i="20"/>
  <c r="BS4" i="20"/>
  <c r="BT3" i="20"/>
  <c r="BU3" i="20" s="1"/>
  <c r="BS3" i="20"/>
  <c r="BT4" i="20"/>
  <c r="BU4" i="20" s="1"/>
  <c r="BH22" i="18"/>
  <c r="BG22" i="18"/>
  <c r="BF22" i="18"/>
  <c r="BE22" i="18"/>
  <c r="BD22" i="18"/>
  <c r="BC22" i="18"/>
  <c r="BB22" i="18"/>
  <c r="BA22" i="18"/>
  <c r="AZ22" i="18"/>
  <c r="AY22" i="18"/>
  <c r="AX22" i="18"/>
  <c r="AW22" i="18"/>
  <c r="AV22" i="18"/>
  <c r="AU22" i="18"/>
  <c r="AT22" i="18"/>
  <c r="BH21" i="18"/>
  <c r="BG21" i="18"/>
  <c r="BF21" i="18"/>
  <c r="BE21" i="18"/>
  <c r="BD21" i="18"/>
  <c r="BC21" i="18"/>
  <c r="BB21" i="18"/>
  <c r="BA21" i="18"/>
  <c r="AZ21" i="18"/>
  <c r="AY21" i="18"/>
  <c r="AX21" i="18"/>
  <c r="AW21" i="18"/>
  <c r="AV21" i="18"/>
  <c r="AU21" i="18"/>
  <c r="AT21" i="18"/>
  <c r="BH20" i="18"/>
  <c r="BG20" i="18"/>
  <c r="BF20" i="18"/>
  <c r="BE20" i="18"/>
  <c r="BD20" i="18"/>
  <c r="BC20" i="18"/>
  <c r="BB20" i="18"/>
  <c r="BA20" i="18"/>
  <c r="AZ20" i="18"/>
  <c r="AY20" i="18"/>
  <c r="AX20" i="18"/>
  <c r="AW20" i="18"/>
  <c r="AV20" i="18"/>
  <c r="AU20" i="18"/>
  <c r="AT20" i="18"/>
  <c r="BH19" i="18"/>
  <c r="BG19" i="18"/>
  <c r="BF19" i="18"/>
  <c r="BE19" i="18"/>
  <c r="BD19" i="18"/>
  <c r="BC19" i="18"/>
  <c r="BB19" i="18"/>
  <c r="BA19" i="18"/>
  <c r="AZ19" i="18"/>
  <c r="AY19" i="18"/>
  <c r="AX19" i="18"/>
  <c r="AW19" i="18"/>
  <c r="AV19" i="18"/>
  <c r="AU19" i="18"/>
  <c r="AT19" i="18"/>
  <c r="BH18" i="18"/>
  <c r="BG18" i="18"/>
  <c r="BF18" i="18"/>
  <c r="BE18" i="18"/>
  <c r="BD18" i="18"/>
  <c r="BC18" i="18"/>
  <c r="BB18" i="18"/>
  <c r="BA18" i="18"/>
  <c r="AZ18" i="18"/>
  <c r="AY18" i="18"/>
  <c r="AX18" i="18"/>
  <c r="AW18" i="18"/>
  <c r="AV18" i="18"/>
  <c r="AU18" i="18"/>
  <c r="AT18" i="18"/>
  <c r="BH17" i="18"/>
  <c r="BG17" i="18"/>
  <c r="BF17" i="18"/>
  <c r="BE17" i="18"/>
  <c r="BD17" i="18"/>
  <c r="BC17" i="18"/>
  <c r="BB17" i="18"/>
  <c r="BA17" i="18"/>
  <c r="AZ17" i="18"/>
  <c r="AY17" i="18"/>
  <c r="AX17" i="18"/>
  <c r="AW17" i="18"/>
  <c r="AV17" i="18"/>
  <c r="AU17" i="18"/>
  <c r="AT17" i="18"/>
  <c r="BH16" i="18"/>
  <c r="BG16" i="18"/>
  <c r="BF16" i="18"/>
  <c r="BE16" i="18"/>
  <c r="BD16" i="18"/>
  <c r="BC16" i="18"/>
  <c r="BB16" i="18"/>
  <c r="BA16" i="18"/>
  <c r="AZ16" i="18"/>
  <c r="AY16" i="18"/>
  <c r="AX16" i="18"/>
  <c r="AW16" i="18"/>
  <c r="AV16" i="18"/>
  <c r="AU16" i="18"/>
  <c r="AT16" i="18"/>
  <c r="BH15" i="18"/>
  <c r="BG15" i="18"/>
  <c r="BF15" i="18"/>
  <c r="BE15" i="18"/>
  <c r="BD15" i="18"/>
  <c r="BC15" i="18"/>
  <c r="BB15" i="18"/>
  <c r="BA15" i="18"/>
  <c r="AZ15" i="18"/>
  <c r="AY15" i="18"/>
  <c r="AX15" i="18"/>
  <c r="AW15" i="18"/>
  <c r="AV15" i="18"/>
  <c r="AU15" i="18"/>
  <c r="AT15" i="18"/>
  <c r="BH14" i="18"/>
  <c r="BG14" i="18"/>
  <c r="BF14" i="18"/>
  <c r="BE14" i="18"/>
  <c r="BD14" i="18"/>
  <c r="BC14" i="18"/>
  <c r="BB14" i="18"/>
  <c r="BA14" i="18"/>
  <c r="AZ14" i="18"/>
  <c r="AY14" i="18"/>
  <c r="AX14" i="18"/>
  <c r="AW14" i="18"/>
  <c r="AV14" i="18"/>
  <c r="AU14" i="18"/>
  <c r="AT14" i="18"/>
  <c r="BH13" i="18"/>
  <c r="BG13" i="18"/>
  <c r="BF13" i="18"/>
  <c r="BE13" i="18"/>
  <c r="BD13" i="18"/>
  <c r="BC13" i="18"/>
  <c r="BB13" i="18"/>
  <c r="BA13" i="18"/>
  <c r="AZ13" i="18"/>
  <c r="AY13" i="18"/>
  <c r="AX13" i="18"/>
  <c r="AW13" i="18"/>
  <c r="AV13" i="18"/>
  <c r="AU13" i="18"/>
  <c r="AT13" i="18"/>
  <c r="BT17" i="17" l="1"/>
  <c r="BU17" i="17" s="1"/>
  <c r="BS17" i="17"/>
  <c r="BR17" i="17"/>
  <c r="BT16" i="17"/>
  <c r="BU16" i="17" s="1"/>
  <c r="BS16" i="17"/>
  <c r="BR16" i="17"/>
  <c r="BT15" i="17"/>
  <c r="BU15" i="17" s="1"/>
  <c r="BS15" i="17"/>
  <c r="BR15" i="17"/>
  <c r="BT14" i="17"/>
  <c r="BU14" i="17" s="1"/>
  <c r="BC14" i="17"/>
  <c r="BB14" i="17"/>
  <c r="AV14" i="17"/>
  <c r="BT13" i="17"/>
  <c r="BU13" i="17" s="1"/>
  <c r="BS13" i="17"/>
  <c r="BR13" i="17"/>
  <c r="BR14" i="17" l="1"/>
  <c r="BS14" i="17"/>
  <c r="BH22" i="16"/>
  <c r="BG22" i="16"/>
  <c r="BT22" i="18"/>
  <c r="BU22" i="18" s="1"/>
  <c r="BS22" i="18"/>
  <c r="BF22" i="16"/>
  <c r="BE22" i="16"/>
  <c r="BD22" i="16"/>
  <c r="BC22" i="16"/>
  <c r="BB22" i="16"/>
  <c r="BA22" i="16"/>
  <c r="AZ22" i="16"/>
  <c r="AY22" i="16"/>
  <c r="AX22" i="16"/>
  <c r="AW22" i="16"/>
  <c r="AV22" i="16"/>
  <c r="AU22" i="16"/>
  <c r="AT22" i="16"/>
  <c r="BR22" i="18" l="1"/>
  <c r="BS22" i="16"/>
  <c r="BR22" i="16"/>
  <c r="BT22" i="16"/>
  <c r="BU22" i="16" s="1"/>
  <c r="BT11" i="17" l="1"/>
  <c r="BU11" i="17" s="1"/>
  <c r="BS11" i="17"/>
  <c r="BR11" i="17"/>
  <c r="AQ11" i="17"/>
  <c r="BT12" i="17" l="1"/>
  <c r="BU12" i="17" s="1"/>
  <c r="BS12" i="17"/>
  <c r="BR12" i="17"/>
  <c r="BG10" i="17"/>
  <c r="BF10" i="17"/>
  <c r="BT9" i="17"/>
  <c r="BU9" i="17" s="1"/>
  <c r="BS9" i="17"/>
  <c r="BR9" i="17"/>
  <c r="BS10" i="17" l="1"/>
  <c r="BR10" i="17"/>
  <c r="BT10" i="17"/>
  <c r="BU10" i="17" s="1"/>
  <c r="BR7" i="16" l="1"/>
  <c r="BS7" i="16"/>
  <c r="BT7" i="16"/>
  <c r="BU7" i="16" s="1"/>
  <c r="AT3" i="16" l="1"/>
  <c r="AU3" i="16"/>
  <c r="AV3" i="16"/>
  <c r="AW3" i="16"/>
  <c r="AX3" i="16"/>
  <c r="AY3" i="16"/>
  <c r="AZ3" i="16"/>
  <c r="BA3" i="16"/>
  <c r="BB3" i="16"/>
  <c r="BC3" i="16"/>
  <c r="BD3" i="16"/>
  <c r="BE3" i="16"/>
  <c r="BF3" i="16"/>
  <c r="BG3" i="16"/>
  <c r="BH3" i="16"/>
  <c r="BT37" i="18" l="1"/>
  <c r="BU37" i="18" s="1"/>
  <c r="BS37" i="18"/>
  <c r="BR37" i="18"/>
  <c r="BT36" i="18"/>
  <c r="BU36" i="18" s="1"/>
  <c r="BS36" i="18"/>
  <c r="BR36" i="18"/>
  <c r="BT35" i="18"/>
  <c r="BU35" i="18" s="1"/>
  <c r="BS35" i="18"/>
  <c r="BR35" i="18"/>
  <c r="BT34" i="18"/>
  <c r="BU34" i="18" s="1"/>
  <c r="BT33" i="18"/>
  <c r="BU33" i="18" s="1"/>
  <c r="BS33" i="18"/>
  <c r="BR33" i="18"/>
  <c r="BT32" i="18"/>
  <c r="BU32" i="18" s="1"/>
  <c r="BS32" i="18"/>
  <c r="BT30" i="18"/>
  <c r="BU30" i="18" s="1"/>
  <c r="BS30" i="18"/>
  <c r="BR30" i="18"/>
  <c r="BT28" i="18"/>
  <c r="BU28" i="18" s="1"/>
  <c r="BS28" i="18"/>
  <c r="BR28" i="18"/>
  <c r="AQ28" i="18"/>
  <c r="AR28" i="18" s="1"/>
  <c r="BT27" i="18"/>
  <c r="BU27" i="18" s="1"/>
  <c r="BS27" i="18"/>
  <c r="BR27" i="18"/>
  <c r="AQ27" i="18"/>
  <c r="AR27" i="18" s="1"/>
  <c r="BT26" i="18"/>
  <c r="BU26" i="18" s="1"/>
  <c r="BS26" i="18"/>
  <c r="BR26" i="18"/>
  <c r="AQ26" i="18"/>
  <c r="AR26" i="18" s="1"/>
  <c r="BT24" i="18"/>
  <c r="BU24" i="18" s="1"/>
  <c r="BS24" i="18"/>
  <c r="BR24" i="18"/>
  <c r="AQ24" i="18"/>
  <c r="AS24" i="18" s="1"/>
  <c r="BT23" i="18"/>
  <c r="BU23" i="18" s="1"/>
  <c r="BS23" i="18"/>
  <c r="BR23" i="18"/>
  <c r="BS21" i="18"/>
  <c r="BS20" i="18"/>
  <c r="AK20" i="18"/>
  <c r="BT19" i="18"/>
  <c r="BU19" i="18" s="1"/>
  <c r="BS19" i="18"/>
  <c r="AK19" i="18"/>
  <c r="BS18" i="18"/>
  <c r="AK18" i="18"/>
  <c r="BT17" i="18"/>
  <c r="BU17" i="18" s="1"/>
  <c r="BS16" i="18"/>
  <c r="AK16" i="18"/>
  <c r="BT15" i="18"/>
  <c r="BU15" i="18" s="1"/>
  <c r="BS15" i="18"/>
  <c r="AK15" i="18"/>
  <c r="BS14" i="18"/>
  <c r="AK14" i="18"/>
  <c r="BT13" i="18"/>
  <c r="BU13" i="18" s="1"/>
  <c r="BS13" i="18"/>
  <c r="AK13" i="18"/>
  <c r="BT12" i="18"/>
  <c r="BU12" i="18" s="1"/>
  <c r="BS12" i="18"/>
  <c r="BR12" i="18"/>
  <c r="BT11" i="18"/>
  <c r="BU11" i="18" s="1"/>
  <c r="BS11" i="18"/>
  <c r="BR11" i="18"/>
  <c r="BT10" i="18"/>
  <c r="BU10" i="18" s="1"/>
  <c r="BS10" i="18"/>
  <c r="BR10" i="18"/>
  <c r="BT9" i="18"/>
  <c r="BU9" i="18" s="1"/>
  <c r="BS9" i="18"/>
  <c r="BR9" i="18"/>
  <c r="BT8" i="18"/>
  <c r="BU8" i="18" s="1"/>
  <c r="BS8" i="18"/>
  <c r="BR8" i="18"/>
  <c r="BT6" i="18"/>
  <c r="BU6" i="18" s="1"/>
  <c r="BS6" i="18"/>
  <c r="BT5" i="18"/>
  <c r="BU5" i="18" s="1"/>
  <c r="BR4" i="18"/>
  <c r="BS4" i="18"/>
  <c r="BT3" i="18"/>
  <c r="BU3" i="18" s="1"/>
  <c r="AR24" i="18" l="1"/>
  <c r="BS3" i="18"/>
  <c r="BT4" i="18"/>
  <c r="BU4" i="18" s="1"/>
  <c r="BS5" i="18"/>
  <c r="BR6" i="18"/>
  <c r="BR3" i="18"/>
  <c r="BR5" i="18"/>
  <c r="BR14" i="18"/>
  <c r="BT14" i="18"/>
  <c r="BU14" i="18" s="1"/>
  <c r="BR16" i="18"/>
  <c r="BT16" i="18"/>
  <c r="BU16" i="18" s="1"/>
  <c r="BS17" i="18"/>
  <c r="BR18" i="18"/>
  <c r="BT18" i="18"/>
  <c r="BU18" i="18" s="1"/>
  <c r="BR20" i="18"/>
  <c r="BT20" i="18"/>
  <c r="BU20" i="18" s="1"/>
  <c r="BR21" i="18"/>
  <c r="BT21" i="18"/>
  <c r="BU21" i="18" s="1"/>
  <c r="BS34" i="18"/>
  <c r="BR13" i="18"/>
  <c r="BR15" i="18"/>
  <c r="BR17" i="18"/>
  <c r="BR19" i="18"/>
  <c r="BR32" i="18"/>
  <c r="BR34" i="18"/>
  <c r="BH21" i="16" l="1"/>
  <c r="BG21" i="16"/>
  <c r="BH20" i="16"/>
  <c r="BG20" i="16"/>
  <c r="BH19" i="16"/>
  <c r="BG19" i="16"/>
  <c r="BH18" i="16"/>
  <c r="BG18" i="16"/>
  <c r="BH6" i="16" l="1"/>
  <c r="BH5" i="16"/>
  <c r="BH4" i="16"/>
  <c r="BF5" i="17" l="1"/>
  <c r="BE5" i="17"/>
  <c r="BD5" i="17"/>
  <c r="BC5" i="17"/>
  <c r="BB5" i="17"/>
  <c r="BA5" i="17"/>
  <c r="AZ5" i="17"/>
  <c r="AY5" i="17"/>
  <c r="AX5" i="17"/>
  <c r="AW5" i="17"/>
  <c r="AV5" i="17"/>
  <c r="AU5" i="17"/>
  <c r="AT5" i="17"/>
  <c r="AQ5" i="17"/>
  <c r="AR5" i="17" s="1"/>
  <c r="BS5" i="17" l="1"/>
  <c r="AS5" i="17"/>
  <c r="BR5" i="17"/>
  <c r="BT5" i="17"/>
  <c r="BU5" i="17" s="1"/>
  <c r="BT8" i="17"/>
  <c r="BU8" i="17" s="1"/>
  <c r="BS8" i="17"/>
  <c r="BR8" i="17"/>
  <c r="BT7" i="17"/>
  <c r="BU7" i="17" s="1"/>
  <c r="BS7" i="17"/>
  <c r="BR7" i="17"/>
  <c r="BT6" i="17"/>
  <c r="BU6" i="17" s="1"/>
  <c r="BS6" i="17"/>
  <c r="BR6" i="17"/>
  <c r="BT4" i="17"/>
  <c r="BU4" i="17" s="1"/>
  <c r="BS4" i="17"/>
  <c r="BR4" i="17"/>
  <c r="BT3" i="17"/>
  <c r="BU3" i="17" s="1"/>
  <c r="BS3" i="17"/>
  <c r="BR3" i="17"/>
  <c r="BH17" i="16" l="1"/>
  <c r="BH16" i="16"/>
  <c r="BG16" i="16"/>
  <c r="BH15" i="16"/>
  <c r="BG15" i="16"/>
  <c r="BH14" i="16"/>
  <c r="BG14" i="16"/>
  <c r="BH13" i="16"/>
  <c r="BG13" i="16"/>
  <c r="AQ26" i="16" l="1"/>
  <c r="AR26" i="16" s="1"/>
  <c r="BR26" i="16"/>
  <c r="BS26" i="16"/>
  <c r="BT25" i="16"/>
  <c r="BU25" i="16" s="1"/>
  <c r="AK18" i="16" l="1"/>
  <c r="AK19" i="16"/>
  <c r="AK20" i="16"/>
  <c r="BT36" i="16" l="1"/>
  <c r="BU36" i="16" s="1"/>
  <c r="BS37" i="16"/>
  <c r="BR37" i="16"/>
  <c r="BT35" i="16"/>
  <c r="BU35" i="16" s="1"/>
  <c r="BS36" i="16"/>
  <c r="BR36" i="16"/>
  <c r="BS35" i="16"/>
  <c r="BR35" i="16"/>
  <c r="BT34" i="16"/>
  <c r="BT29" i="16"/>
  <c r="BU29" i="16" s="1"/>
  <c r="BS30" i="16"/>
  <c r="BR30" i="16"/>
  <c r="BT28" i="16"/>
  <c r="BU28" i="16" s="1"/>
  <c r="BS29" i="16"/>
  <c r="BR29" i="16"/>
  <c r="BT23" i="16"/>
  <c r="BU23" i="16" s="1"/>
  <c r="BS24" i="16"/>
  <c r="BR24" i="16"/>
  <c r="BS23" i="16"/>
  <c r="BR23" i="16"/>
  <c r="BT27" i="16"/>
  <c r="BU27" i="16" s="1"/>
  <c r="BS28" i="16"/>
  <c r="BR28" i="16"/>
  <c r="BT26" i="16"/>
  <c r="BU26" i="16" s="1"/>
  <c r="BS27" i="16"/>
  <c r="BR27" i="16"/>
  <c r="BT11" i="16"/>
  <c r="BU11" i="16" s="1"/>
  <c r="BS11" i="16"/>
  <c r="BR11" i="16"/>
  <c r="BT10" i="16"/>
  <c r="BU10" i="16" s="1"/>
  <c r="BS10" i="16"/>
  <c r="BR10" i="16"/>
  <c r="BT9" i="16"/>
  <c r="BU9" i="16" s="1"/>
  <c r="BS9" i="16"/>
  <c r="BR9" i="16"/>
  <c r="BT8" i="16"/>
  <c r="BU8" i="16" s="1"/>
  <c r="BS8" i="16"/>
  <c r="BR8" i="16"/>
  <c r="BU34" i="16" l="1"/>
  <c r="AQ27" i="16" l="1"/>
  <c r="AR27" i="16" s="1"/>
  <c r="AQ28" i="16" l="1"/>
  <c r="AR28" i="16" s="1"/>
  <c r="AQ24" i="16" l="1"/>
  <c r="AS24" i="16" s="1"/>
  <c r="BF21" i="16"/>
  <c r="BE21" i="16"/>
  <c r="BD21" i="16"/>
  <c r="BC21" i="16"/>
  <c r="BB21" i="16"/>
  <c r="BA21" i="16"/>
  <c r="AZ21" i="16"/>
  <c r="AY21" i="16"/>
  <c r="AX21" i="16"/>
  <c r="AW21" i="16"/>
  <c r="AV21" i="16"/>
  <c r="AU21" i="16"/>
  <c r="AT21" i="16"/>
  <c r="BF20" i="16"/>
  <c r="BE20" i="16"/>
  <c r="BD20" i="16"/>
  <c r="BC20" i="16"/>
  <c r="BB20" i="16"/>
  <c r="BA20" i="16"/>
  <c r="AZ20" i="16"/>
  <c r="AY20" i="16"/>
  <c r="AX20" i="16"/>
  <c r="AW20" i="16"/>
  <c r="AV20" i="16"/>
  <c r="AU20" i="16"/>
  <c r="AT20" i="16"/>
  <c r="BF19" i="16"/>
  <c r="BE19" i="16"/>
  <c r="BD19" i="16"/>
  <c r="BC19" i="16"/>
  <c r="BB19" i="16"/>
  <c r="BA19" i="16"/>
  <c r="AZ19" i="16"/>
  <c r="AY19" i="16"/>
  <c r="AX19" i="16"/>
  <c r="AW19" i="16"/>
  <c r="AV19" i="16"/>
  <c r="AU19" i="16"/>
  <c r="AT19" i="16"/>
  <c r="BF18" i="16"/>
  <c r="BE18" i="16"/>
  <c r="BD18" i="16"/>
  <c r="BC18" i="16"/>
  <c r="BB18" i="16"/>
  <c r="BA18" i="16"/>
  <c r="AZ18" i="16"/>
  <c r="AY18" i="16"/>
  <c r="AX18" i="16"/>
  <c r="AW18" i="16"/>
  <c r="AV18" i="16"/>
  <c r="AU18" i="16"/>
  <c r="AT18" i="16"/>
  <c r="BG17" i="16"/>
  <c r="BE17" i="16"/>
  <c r="BD17" i="16"/>
  <c r="BC17" i="16"/>
  <c r="BB17" i="16"/>
  <c r="BA17" i="16"/>
  <c r="AZ17" i="16"/>
  <c r="AY17" i="16"/>
  <c r="AX17" i="16"/>
  <c r="AW17" i="16"/>
  <c r="AV17" i="16"/>
  <c r="AU17" i="16"/>
  <c r="AT17" i="16"/>
  <c r="BF16" i="16"/>
  <c r="BE16" i="16"/>
  <c r="BD16" i="16"/>
  <c r="BC16" i="16"/>
  <c r="BB16" i="16"/>
  <c r="BA16" i="16"/>
  <c r="AZ16" i="16"/>
  <c r="AY16" i="16"/>
  <c r="AX16" i="16"/>
  <c r="AW16" i="16"/>
  <c r="AV16" i="16"/>
  <c r="AU16" i="16"/>
  <c r="AT16" i="16"/>
  <c r="AK16" i="16"/>
  <c r="BF15" i="16"/>
  <c r="BE15" i="16"/>
  <c r="BD15" i="16"/>
  <c r="BC15" i="16"/>
  <c r="BB15" i="16"/>
  <c r="BA15" i="16"/>
  <c r="AZ15" i="16"/>
  <c r="AY15" i="16"/>
  <c r="AX15" i="16"/>
  <c r="AW15" i="16"/>
  <c r="AV15" i="16"/>
  <c r="AU15" i="16"/>
  <c r="AT15" i="16"/>
  <c r="AK15" i="16"/>
  <c r="BF14" i="16"/>
  <c r="BE14" i="16"/>
  <c r="BD14" i="16"/>
  <c r="BC14" i="16"/>
  <c r="BB14" i="16"/>
  <c r="BA14" i="16"/>
  <c r="AZ14" i="16"/>
  <c r="AY14" i="16"/>
  <c r="AX14" i="16"/>
  <c r="AW14" i="16"/>
  <c r="AV14" i="16"/>
  <c r="AU14" i="16"/>
  <c r="AT14" i="16"/>
  <c r="AK14" i="16"/>
  <c r="BF13" i="16"/>
  <c r="BE13" i="16"/>
  <c r="BD13" i="16"/>
  <c r="BC13" i="16"/>
  <c r="BB13" i="16"/>
  <c r="BA13" i="16"/>
  <c r="AZ13" i="16"/>
  <c r="AY13" i="16"/>
  <c r="AX13" i="16"/>
  <c r="AW13" i="16"/>
  <c r="AV13" i="16"/>
  <c r="AU13" i="16"/>
  <c r="AT13" i="16"/>
  <c r="AK13" i="16"/>
  <c r="BG6" i="16"/>
  <c r="BF6" i="16"/>
  <c r="BE6" i="16"/>
  <c r="BD6" i="16"/>
  <c r="BC6" i="16"/>
  <c r="BB6" i="16"/>
  <c r="BA6" i="16"/>
  <c r="AZ6" i="16"/>
  <c r="AY6" i="16"/>
  <c r="AX6" i="16"/>
  <c r="AW6" i="16"/>
  <c r="AV6" i="16"/>
  <c r="AU6" i="16"/>
  <c r="AT6" i="16"/>
  <c r="BG5" i="16"/>
  <c r="BF5" i="16"/>
  <c r="BE5" i="16"/>
  <c r="BD5" i="16"/>
  <c r="BC5" i="16"/>
  <c r="BB5" i="16"/>
  <c r="BA5" i="16"/>
  <c r="AZ5" i="16"/>
  <c r="AY5" i="16"/>
  <c r="AX5" i="16"/>
  <c r="AW5" i="16"/>
  <c r="AV5" i="16"/>
  <c r="AU5" i="16"/>
  <c r="AT5" i="16"/>
  <c r="BG4" i="16"/>
  <c r="BF4" i="16"/>
  <c r="BE4" i="16"/>
  <c r="BD4" i="16"/>
  <c r="BC4" i="16"/>
  <c r="BB4" i="16"/>
  <c r="BA4" i="16"/>
  <c r="AZ4" i="16"/>
  <c r="AY4" i="16"/>
  <c r="AX4" i="16"/>
  <c r="AW4" i="16"/>
  <c r="AV4" i="16"/>
  <c r="AU4" i="16"/>
  <c r="AT4" i="16"/>
  <c r="BT12" i="16" l="1"/>
  <c r="BU12" i="16" s="1"/>
  <c r="BR12" i="16"/>
  <c r="BS12" i="16"/>
  <c r="BS33" i="16"/>
  <c r="BT32" i="16"/>
  <c r="BU32" i="16" s="1"/>
  <c r="BR33" i="16"/>
  <c r="BT30" i="16"/>
  <c r="BU30" i="16" s="1"/>
  <c r="BS4" i="16"/>
  <c r="BT4" i="16"/>
  <c r="BU4" i="16" s="1"/>
  <c r="BR4" i="16"/>
  <c r="BT5" i="16"/>
  <c r="BU5" i="16" s="1"/>
  <c r="BR5" i="16"/>
  <c r="BS5" i="16"/>
  <c r="BS6" i="16"/>
  <c r="BT6" i="16"/>
  <c r="BU6" i="16" s="1"/>
  <c r="BR6" i="16"/>
  <c r="BT37" i="16"/>
  <c r="BU37" i="16" s="1"/>
  <c r="BT13" i="16"/>
  <c r="BU13" i="16" s="1"/>
  <c r="BR13" i="16"/>
  <c r="BS13" i="16"/>
  <c r="BS14" i="16"/>
  <c r="BT14" i="16"/>
  <c r="BU14" i="16" s="1"/>
  <c r="BR14" i="16"/>
  <c r="BT15" i="16"/>
  <c r="BU15" i="16" s="1"/>
  <c r="BR15" i="16"/>
  <c r="BS15" i="16"/>
  <c r="BS16" i="16"/>
  <c r="BT16" i="16"/>
  <c r="BU16" i="16" s="1"/>
  <c r="BR16" i="16"/>
  <c r="BS18" i="16"/>
  <c r="BT18" i="16"/>
  <c r="BU18" i="16" s="1"/>
  <c r="BR18" i="16"/>
  <c r="BT21" i="16"/>
  <c r="BU21" i="16" s="1"/>
  <c r="BR21" i="16"/>
  <c r="BS21" i="16"/>
  <c r="BT3" i="16"/>
  <c r="BU3" i="16" s="1"/>
  <c r="BR3" i="16"/>
  <c r="BS3" i="16"/>
  <c r="BT17" i="16"/>
  <c r="BU17" i="16" s="1"/>
  <c r="BR17" i="16"/>
  <c r="BS17" i="16"/>
  <c r="BT19" i="16"/>
  <c r="BU19" i="16" s="1"/>
  <c r="BR19" i="16"/>
  <c r="BS19" i="16"/>
  <c r="BS20" i="16"/>
  <c r="BT20" i="16"/>
  <c r="BU20" i="16" s="1"/>
  <c r="BR20" i="16"/>
  <c r="BR32" i="16"/>
  <c r="BS32" i="16"/>
  <c r="BS34" i="16"/>
  <c r="BT33" i="16"/>
  <c r="BU33" i="16" s="1"/>
  <c r="BR34" i="16"/>
  <c r="AR24" i="16"/>
</calcChain>
</file>

<file path=xl/sharedStrings.xml><?xml version="1.0" encoding="utf-8"?>
<sst xmlns="http://schemas.openxmlformats.org/spreadsheetml/2006/main" count="2236" uniqueCount="536">
  <si>
    <t>Capital</t>
  </si>
  <si>
    <t>SHUSA RISK APPETITE METRICS</t>
  </si>
  <si>
    <t>Tier 1 Risk-based Capital Ratio</t>
  </si>
  <si>
    <t>Total Capital Ratio</t>
  </si>
  <si>
    <t>ALM NII (+/-100bps)</t>
  </si>
  <si>
    <t>Liquidity / Funding Risk</t>
  </si>
  <si>
    <t>Interest Rate Risk</t>
  </si>
  <si>
    <t>Operational Risk</t>
  </si>
  <si>
    <t>Model</t>
  </si>
  <si>
    <t>Credit Risk</t>
  </si>
  <si>
    <t>Common Equity Tier 1 Ratio</t>
  </si>
  <si>
    <t>TBD</t>
  </si>
  <si>
    <t>($140)MM</t>
  </si>
  <si>
    <t>($1,220)MM</t>
  </si>
  <si>
    <t>4Q15-102 / 2Q16-90 / 4Q16-60 / 2Q17-30 / 4Q17-0</t>
  </si>
  <si>
    <t>$500 MM</t>
  </si>
  <si>
    <t>$4,100 MM</t>
  </si>
  <si>
    <t>$8.0 B</t>
  </si>
  <si>
    <t>Tier 1 Leverage Ratio</t>
  </si>
  <si>
    <t>Solvency</t>
  </si>
  <si>
    <t>CFPB Complaints</t>
  </si>
  <si>
    <t>N/A</t>
  </si>
  <si>
    <t>Compliance</t>
  </si>
  <si>
    <t>$7.0B</t>
  </si>
  <si>
    <t>($120)MM</t>
  </si>
  <si>
    <t>($1,070)MM</t>
  </si>
  <si>
    <t>$3,825MM</t>
  </si>
  <si>
    <t>COMMENTS</t>
  </si>
  <si>
    <t>New for Group Dec-15 - with 100bps</t>
  </si>
  <si>
    <t>CCAR</t>
  </si>
  <si>
    <t>Cost of Credit</t>
  </si>
  <si>
    <t>Ensure alignment with Group definition</t>
  </si>
  <si>
    <t>Included in Loss in Stress calculation</t>
  </si>
  <si>
    <t>New from Group Dec-15</t>
  </si>
  <si>
    <t>Large Exposures</t>
  </si>
  <si>
    <t>Financial Institutions (single counterparty)</t>
  </si>
  <si>
    <t>Analyze Group metric definition and how to apply to SHUSA and all Subs, including IHC</t>
  </si>
  <si>
    <t>Capital Team</t>
  </si>
  <si>
    <t>LINE 1</t>
  </si>
  <si>
    <t>LINE 2</t>
  </si>
  <si>
    <t>RAS Team</t>
  </si>
  <si>
    <t>Business Heads</t>
  </si>
  <si>
    <t>Solvency for historical data</t>
  </si>
  <si>
    <t>Solvency / GCB Credit Risk Control for historical data</t>
  </si>
  <si>
    <t>Head of GCB</t>
  </si>
  <si>
    <t>Finance / Treasury</t>
  </si>
  <si>
    <t>Market &amp; Liquidity</t>
  </si>
  <si>
    <t>Operational Risk Team</t>
  </si>
  <si>
    <t>Analyze Group metric definition and historical ratios at SHUSA and subs in order to determine trigger and thresholds</t>
  </si>
  <si>
    <t>New from Group Dec-15 / Already in SHUSA RAS</t>
  </si>
  <si>
    <t>Solvency for historical data / RAS Team</t>
  </si>
  <si>
    <t>T&amp;O</t>
  </si>
  <si>
    <t>Being evaluated at SBNA, PR and Miami</t>
  </si>
  <si>
    <t>MRIAs / OCC, whatever is relevant for the entity</t>
  </si>
  <si>
    <t>Y</t>
  </si>
  <si>
    <t>N</t>
  </si>
  <si>
    <t>Request and analyze historical data and compare to Top 20. Recommend exemption if metric is too similar</t>
  </si>
  <si>
    <t>Analyze Group metric definition (esp. REC definition). Request and analyze historical data SBNA. Review against CET1+ACL</t>
  </si>
  <si>
    <t>SHUSA IN GROUP RAS</t>
  </si>
  <si>
    <t>Tier I and Tier II capital based on BIS III regulations with phase in calendar</t>
  </si>
  <si>
    <t>Maximum individual exposure in terms of maximum REC Net, at Financial Institution economic group level, excluding public and quasi public and clearing houses (LCH, Freddie, Fannie) - against Equity (Group) and CET1 + ACL (US)</t>
  </si>
  <si>
    <t>Market Risk</t>
  </si>
  <si>
    <t>OP Risk Team</t>
  </si>
  <si>
    <t>MRMG</t>
  </si>
  <si>
    <t>SOURCE FOR 2016 RAS LIMIT SETTING</t>
  </si>
  <si>
    <t>Calculated as (total encumbered assets + total collateral received re-used) / (total assets + total collateral received available for encumbrance). Encumbered assets are those assigned to: covered bonds, securitisations and TLTRO.</t>
  </si>
  <si>
    <t>Measures the concentration of significant events. Events &gt; € 1mill / Events &gt; 20k - calculated quarterly.</t>
  </si>
  <si>
    <t>Synthetic indicator. Card Fraud Ratio (70% weight) = Total number of debit or credit card fraud / total active cards. Telephone banking Fraud (10% weight) = total fraud cases / total calls received. E-banking fraud (20% weighting) = number of fraud cases through E-banking / total users of E-banking</t>
  </si>
  <si>
    <t>Synthetic indicator. P1 and P2 incidents in production (33.3% weight). % availability of the systems (33.3% weight) Weighted average of the availability of percentages of each of the services identified as critical by the entity. % server software in obsolete versions of critical services (33.3% weight)</t>
  </si>
  <si>
    <t>Synthetic indicator. Number of high-risk vulnerabilities detected in ethical hacking tests awaiting corrections for &gt; 3 months (33.3% weight). Number of security incidents in relation to distributed denial of service (DDoS) (33.3% weight). Number of security incidents with customer data leaks (33.3% weight)</t>
  </si>
  <si>
    <t>ACTION PLAN</t>
  </si>
  <si>
    <t>SIS will report its regulatory ratios. Pending receipt of list and levels</t>
  </si>
  <si>
    <t>SIS is not subject to CCAR</t>
  </si>
  <si>
    <t>Analyze Group metric definition and historical ratios at SHUSA and subs in order to determine trigger and thresholds. May not be relevant to SIS</t>
  </si>
  <si>
    <t>SIS Levels TBD</t>
  </si>
  <si>
    <t>Whatever regulator is relevant for each entity</t>
  </si>
  <si>
    <t>ACTION PLAN OWNER</t>
  </si>
  <si>
    <t>2015
TRIGGER LIMIT</t>
  </si>
  <si>
    <t>2015
RED LIMIT</t>
  </si>
  <si>
    <t>2016
TRIGGER LIMIT</t>
  </si>
  <si>
    <t>2016
RED LIMIT</t>
  </si>
  <si>
    <t>New 2016</t>
  </si>
  <si>
    <t>New from Group Dec-15 / New 2016 SHUSA and Subs</t>
  </si>
  <si>
    <t>NPL coverage ratio (%)</t>
  </si>
  <si>
    <t>Stressed Survival Period (days)</t>
  </si>
  <si>
    <t>Asset Encumbrance (%)</t>
  </si>
  <si>
    <t>Structural funding ratio (%)</t>
  </si>
  <si>
    <t>Fraud (number)</t>
  </si>
  <si>
    <t>Technology (number)</t>
  </si>
  <si>
    <t>Cyber Risk (number)</t>
  </si>
  <si>
    <t>GROUP DEFINITION</t>
  </si>
  <si>
    <r>
      <rPr>
        <b/>
        <sz val="11"/>
        <color theme="1"/>
        <rFont val="Calibri"/>
        <family val="2"/>
        <scheme val="minor"/>
      </rPr>
      <t xml:space="preserve">Cumulative net provisions over the last 12 months / Average loan portfolio over the same period. </t>
    </r>
    <r>
      <rPr>
        <sz val="11"/>
        <color theme="1"/>
        <rFont val="Calibri"/>
        <family val="2"/>
        <scheme val="minor"/>
      </rPr>
      <t xml:space="preserve">Where Net Credit Losses = Gross credit losses </t>
    </r>
    <r>
      <rPr>
        <i/>
        <sz val="11"/>
        <color theme="1"/>
        <rFont val="Calibri"/>
        <family val="2"/>
        <scheme val="minor"/>
      </rPr>
      <t xml:space="preserve">minus </t>
    </r>
    <r>
      <rPr>
        <sz val="11"/>
        <color theme="1"/>
        <rFont val="Calibri"/>
        <family val="2"/>
        <scheme val="minor"/>
      </rPr>
      <t xml:space="preserve">Recovery of NPLs during the period </t>
    </r>
    <r>
      <rPr>
        <i/>
        <sz val="11"/>
        <color theme="1"/>
        <rFont val="Calibri"/>
        <family val="2"/>
        <scheme val="minor"/>
      </rPr>
      <t>AND</t>
    </r>
    <r>
      <rPr>
        <sz val="11"/>
        <color theme="1"/>
        <rFont val="Calibri"/>
        <family val="2"/>
        <scheme val="minor"/>
      </rPr>
      <t xml:space="preserve"> Loan Portfolio = Amount drawn down + SBLCs - Limit should not go beyond a medium volatility setting measured as 2 standard deviations in a historic series or maximum change in ICAAP stress exercise (FRB adverse for SHUSA and subs?)</t>
    </r>
  </si>
  <si>
    <r>
      <rPr>
        <b/>
        <sz val="11"/>
        <color theme="1"/>
        <rFont val="Calibri"/>
        <family val="2"/>
        <scheme val="minor"/>
      </rPr>
      <t>NPL entries (last 12 months) / avg credit exposure</t>
    </r>
    <r>
      <rPr>
        <b/>
        <i/>
        <sz val="11"/>
        <color theme="1"/>
        <rFont val="Calibri"/>
        <family val="2"/>
        <scheme val="minor"/>
      </rPr>
      <t xml:space="preserve"> (last 12 months)</t>
    </r>
    <r>
      <rPr>
        <sz val="11"/>
        <color theme="1"/>
        <rFont val="Calibri"/>
        <family val="2"/>
        <scheme val="minor"/>
      </rPr>
      <t xml:space="preserve"> - Limit should not go beyond a medium volatility setting measured as 2 standard deviations in a historic series </t>
    </r>
  </si>
  <si>
    <r>
      <rPr>
        <b/>
        <sz val="11"/>
        <color theme="1"/>
        <rFont val="Calibri"/>
        <family val="2"/>
        <scheme val="minor"/>
      </rPr>
      <t>Provisions reserves / non-performing loans</t>
    </r>
    <r>
      <rPr>
        <sz val="11"/>
        <color theme="1"/>
        <rFont val="Calibri"/>
        <family val="2"/>
        <scheme val="minor"/>
      </rPr>
      <t xml:space="preserve"> - Limit should not go beyond a medium volatility setting measured as 2 standard deviations in a historic series </t>
    </r>
  </si>
  <si>
    <t>% of equity of the aggregate exposure with customers and counterparties classified as "large exposures", i.e. &gt; "% of Equity (Group) and CET1 + ACL (US)</t>
  </si>
  <si>
    <t>Capital Mgmt Group</t>
  </si>
  <si>
    <t>SHUSA
US RAS</t>
  </si>
  <si>
    <t>BSPR</t>
  </si>
  <si>
    <t>NCO PR Commercial Banking</t>
  </si>
  <si>
    <t>NCO PR Mortgages</t>
  </si>
  <si>
    <t>NCO PR Personal Loans</t>
  </si>
  <si>
    <t>NCO PR Credit Cards</t>
  </si>
  <si>
    <t>60+ PR Mortgages</t>
  </si>
  <si>
    <t>60+ PR Personal Loans</t>
  </si>
  <si>
    <t>60+ PR Credit Cards</t>
  </si>
  <si>
    <t>US entities will use the cost of credit metric that is included in the Monthly Risk Report as coordinated by Risk MI.
Calibration TBD</t>
  </si>
  <si>
    <t>US entities will apply group definition.
Calibration TBD</t>
  </si>
  <si>
    <t>New from Group Dec-15
US will use local criteria for NPL entries</t>
  </si>
  <si>
    <t xml:space="preserve">New from Group Dec-15
PR comments: Why put a limit to this metric? It is a very subjective metric and establishing a limit is not liked by the auditors nor regulator.  Metric could be monitored to ensure that expected losses are adequately provisioned but metric should not be limited.  In Puerto Rico by regulation and as a regular prudent practice, we recognize losses as partial charge offs if needed.
If results are higher, it can be interpreted as a method of tax evasion. If results are lower, it means that expected losses are not provisioned as needed. </t>
  </si>
  <si>
    <t>To be discussed with Group</t>
  </si>
  <si>
    <t>PR analysing Altair system</t>
  </si>
  <si>
    <t xml:space="preserve">Pending from Group Jun-15
For SBNA and PR this metric is practically the same as the Top 20. </t>
  </si>
  <si>
    <t>New from Group Dec-15
PR probably not material</t>
  </si>
  <si>
    <t>New from Group Dec-16
Op Risk SHUSA is coordinating with the entities to understand the quality of the underlying data for each indicator</t>
  </si>
  <si>
    <t>Compliance and Reputational</t>
  </si>
  <si>
    <t>BSPR Comments</t>
  </si>
  <si>
    <t>Metric cannot be currently calculated unless divided by components.
As confirmed with the local Ops Team (who are discussing Ops metrics with the SHUSA Ops Team),  the Card Fraud component can be calculated however the Telephone Banking and E-banking components  cannot be divided for BSPR and SSLLC with the current tool.  
Metric could be divided for BSPR and SSLLC upon implementation of SHUSA IGRC tool expected for 3Q2016.</t>
  </si>
  <si>
    <t>As confirmed with the local Ops Team (who are discussing Ops metrics with the SHUSA Ops Team),  the metrics components cannot be divided for BSPR and SSLLC with the current tool.  
Metric could be divided for BSPR and SSLLC upon implementation of SHUSA IGRC tool expected for 3Q2016.</t>
  </si>
  <si>
    <t xml:space="preserve">Metric cannot be currently calculated unless divided by components.
As confirmed with the local Ops Team (who are discussing Ops metrics with the SHUSA Ops Team),  the Information Leakages component can be calculated however the Ethical hacking tests component cannot be divided for BSPR and SSLLC with the current tool.  Metric could be divided for BSPR and SSLLC upon implementation of SHUSA IGRC tool expected for 3Q2016.
The Distributed Denial of Service (DDoS) component cannot be calculated since a tool is needed in order to obtain the data.  Is pending evaluation for Systems Plan 2017.  </t>
  </si>
  <si>
    <r>
      <t xml:space="preserve">Please confirm if the Material Portfolios are to be divided between Total Outstanding Portfolio or Total Outstanding of the Material Portfolios. 
</t>
    </r>
    <r>
      <rPr>
        <sz val="11"/>
        <color rgb="FFFF0000"/>
        <rFont val="Calibri"/>
        <family val="2"/>
        <scheme val="minor"/>
      </rPr>
      <t>[SA]: Outstanding of material portfolios</t>
    </r>
  </si>
  <si>
    <r>
      <t xml:space="preserve">Confirm with SHUSA if we can use Outstanding instead of Exposure to be aligned with BSPR local Concentration Guideline. 
</t>
    </r>
    <r>
      <rPr>
        <sz val="11"/>
        <color rgb="FFFF0000"/>
        <rFont val="Calibri"/>
        <family val="2"/>
        <scheme val="minor"/>
      </rPr>
      <t>[SA]: As above - align to SBNA</t>
    </r>
  </si>
  <si>
    <r>
      <t xml:space="preserve">The exposure with Financial Institutions are 2 uncommited lines totaling $13MM and with Mortgage Banks totaling $7.6MM.
Financial Institutions exposure is not considered material therefore would not include in the RAS.
</t>
    </r>
    <r>
      <rPr>
        <sz val="11"/>
        <color rgb="FFFF0000"/>
        <rFont val="Calibri"/>
        <family val="2"/>
        <scheme val="minor"/>
      </rPr>
      <t xml:space="preserve">[SA]: Likely will treat same way as we are proposing for SBNA; have same limit as Corporates (single CP)
</t>
    </r>
    <r>
      <rPr>
        <sz val="11"/>
        <color rgb="FF00B0F0"/>
        <rFont val="Calibri"/>
        <family val="2"/>
        <scheme val="minor"/>
      </rPr>
      <t>BSPR - Considering Financial Institutions are not material in PR, could we just keep the 'Single obligor exposure' metric in which if esposure in Financial Institution reaches a significant level we would catch it in this metric?</t>
    </r>
  </si>
  <si>
    <t>NCO PR TOTAL</t>
  </si>
  <si>
    <t>60+ PR TOTAL</t>
  </si>
  <si>
    <t># of counterparties with Santander Risk Rating (internal) &lt; 4.5 and exposure&gt;$10MM (PR)</t>
  </si>
  <si>
    <t>Common Equity Tier 1 Ratio - stressed</t>
  </si>
  <si>
    <t>Tier 1 Risk-based Capital Ratio - stressed</t>
  </si>
  <si>
    <t>Total Capital Ratio - stressed</t>
  </si>
  <si>
    <t>Tier 1 Leverage Ratio - stressed</t>
  </si>
  <si>
    <t>PR - BSPR</t>
  </si>
  <si>
    <t>Frequency</t>
  </si>
  <si>
    <t>Current RTS / RSC metric</t>
  </si>
  <si>
    <t>SAN-PR Definition</t>
  </si>
  <si>
    <t>Source</t>
  </si>
  <si>
    <t>Availability</t>
  </si>
  <si>
    <t>Level</t>
  </si>
  <si>
    <t>Rationale for threshold definition</t>
  </si>
  <si>
    <t>Budget</t>
  </si>
  <si>
    <t>Reports Affected</t>
  </si>
  <si>
    <t>Reports Consistency Validation</t>
  </si>
  <si>
    <t>Differences:
SHUSA RAS Glossary vs. BSPR Methodology</t>
  </si>
  <si>
    <t>2016
GREEN</t>
  </si>
  <si>
    <t>Metric Applicability Confirmed with SHUSA</t>
  </si>
  <si>
    <t>Monthly</t>
  </si>
  <si>
    <t>RTS BSPR #0048</t>
  </si>
  <si>
    <t>A measurement of core equity capital compared with its total risk-weighted assets. The Tier 1 common capital ratio excludes any preferred shares or non-controlling interests when determining the calculation.</t>
  </si>
  <si>
    <t>ALTAIR system</t>
  </si>
  <si>
    <t>Available on day 10th of each month.</t>
  </si>
  <si>
    <t>Capital Policy</t>
  </si>
  <si>
    <t>ALCO Risk Scorecard
Quarterly Capital Trends</t>
  </si>
  <si>
    <t>ALCO: December 2015 and January 2016 OK
Quarterly: March. June and September 2015 OK</t>
  </si>
  <si>
    <t>YES</t>
  </si>
  <si>
    <t>RTS BSPR #0050</t>
  </si>
  <si>
    <t>Tier 1 capital divided by risk-weighted assets under baseline scenario.</t>
  </si>
  <si>
    <t>RTS BSPR #0051</t>
  </si>
  <si>
    <t>Total risk-based capital is the sum of tier 1 plus tier 2 capital under baseline scenario. Tier 1 capital consists of common shareholders equity, perpetual preferred shareholders equity with non-cumulative dividends, retained earnings, and minority interests in the equity accounts of consolidated subsidiaries. Tier 2 capital consists of subordinated debt, intermediate-term preferred stock, cumulative and long-term preferred stock, and a portion of a banks’ allowance for loan and lease losses.</t>
  </si>
  <si>
    <t>Quarterly Capital Trends</t>
  </si>
  <si>
    <t>March 24.9% Different, June and September 2015 OK</t>
  </si>
  <si>
    <t>RTS BSPR #0049</t>
  </si>
  <si>
    <t>The Tier 1 leverage ratio is calculated by dividing Tier 1 capital ratio by average total consolidated assets.</t>
  </si>
  <si>
    <t>RTS BSPR #0171</t>
  </si>
  <si>
    <t>Total Tangible Common Equity / (Total Assets - Goodwill)</t>
  </si>
  <si>
    <t>Consolidated Capital Report</t>
  </si>
  <si>
    <t>10th-12th of each mont</t>
  </si>
  <si>
    <t>ALCO: December 2015 OK 
January 2016 is 16.00% Different
Quarterly: June 15.2%Different, September 2015 OK</t>
  </si>
  <si>
    <t>N/Avail</t>
  </si>
  <si>
    <t>Annual</t>
  </si>
  <si>
    <t>RSC BSPR #0113
Corporate criteria</t>
  </si>
  <si>
    <t>Metric is calculated as the total provisions divided by the total lending.  (PROVISION EXPENSE SPAIN (12M) (SE COPIA TODO EL PERIODO POR SI HAY AJUSTES divided by CARTERA PROMEDIO 12M (NET OF INTERCOMPANY LOANS))</t>
  </si>
  <si>
    <t>Risk MI / Rafael Martínez</t>
  </si>
  <si>
    <t>Database 1001</t>
  </si>
  <si>
    <t>day 5th of each month</t>
  </si>
  <si>
    <t>PENDING</t>
  </si>
  <si>
    <t>Change in RTS Limit/EWIs per budget performed during month of March 2016.  The historical data of months of 2015 and Jan/Feb 2016 were compared to limits approved per 2015 budget.</t>
  </si>
  <si>
    <t>NUMERATOR: 12M NCO - Mortgage Portfolio divided by
DENOMINATOR: KPI Total 12 Average Portfolio - Mortgage Portfolio</t>
  </si>
  <si>
    <t>CARMOSA PRODUCTO 1 = HIPOTECAS</t>
  </si>
  <si>
    <t>day 10th of each month depending on Accounting reconciliation</t>
  </si>
  <si>
    <t xml:space="preserve">Report: Credit Trends as reported by Portfolio Management </t>
  </si>
  <si>
    <t>2015 Q1: 1.5% OK
Q2: 1.5%
Q3: 1.7%</t>
  </si>
  <si>
    <t>Ask Paola if in the Credit Trends Portfolio management (12-mo Net Ch Offs/AVG Portfolio) the methodology considers Exposure or Outstanding. And is this the result of the last month or an avrage of the Quarter. Here we use outstanding.</t>
  </si>
  <si>
    <t>NUMERATOR: 12M NCO - Commercial Portfolio (includes: COMMERCIAL, CONSTRUCTION, OVERDRAFTS, RCS COMMERCIAL) divided by
DENOMINATOR: KPI Total 12 Average Portfolio - Commercial Portfolio (includes: COMMERCIAL, CONSTRUCTION, OVERDRAFTS, RCS COMMERCIAL)</t>
  </si>
  <si>
    <t>CARMOSA: PRODUCTO 1 = COMMERCIAL + CONSTRUCTION</t>
  </si>
  <si>
    <t>?</t>
  </si>
  <si>
    <t>Ask Paola what is the equivalent metric reported in the Credit Trands report for this.</t>
  </si>
  <si>
    <t>NUMERATOR: 12M NCO - Personal Loans Portfolio divided by
DENOMINATOR: KPI Total 12 Average Portfolio - Personal Loans Portfolio</t>
  </si>
  <si>
    <t>CARMOSA PRODUCTO 1 = CONSUMO</t>
  </si>
  <si>
    <t>2015 Q1: 5.0%
Q2: 5.1%
Q3: 5.1%</t>
  </si>
  <si>
    <t>Ask Paola if Net Write Off 12m (%) from the Credit Trends report is the equivalent. If so, what is the methodology? Esposure or Outstanding? Can we compare against this metric?</t>
  </si>
  <si>
    <t>NUMERATOR: 12M NCO - Credit Cards Portfolio divided by
DENOMINATOR: KPI Total 12 Average Portfolio - Credit Cards Portfolio</t>
  </si>
  <si>
    <t>CARMOSA PRODUCTO 1 = TARJETAS</t>
  </si>
  <si>
    <t>2015 Q1: 6.8%
Q2: 6.8%
Q3: 6.8%</t>
  </si>
  <si>
    <t>RSC BSPR #0089</t>
  </si>
  <si>
    <t>It is calculated as twelve month rolling Net Charge Offs (NCO) (i.e., charge off’s less recoveries, excluding the sale of charge off portfolio) divided by average loans portfolio. NCO are the total loans and leases removed from the balance sheet due to their uncollectability minus amounts recovered on loans and leases previously charged-off.
NUMERATOR: 12M NCO PR Total divided by
DENOMINATOR: KPI Total 12 Average Portfolio - Total</t>
  </si>
  <si>
    <t>Cristina - revisar presupuesto e incluir en columna 'Budget' y resultado de Enero/2016 debe dar igual que RTS.  Los niveles deben dar igual a lo presentado por Blanca en el BSPR RSC Review</t>
  </si>
  <si>
    <t>NUMERATOR: 60+ days past due Mortgage Portfolio divided by 
DENOMINATOR: Total Outstanding Balance of Mortgage Portfolio</t>
  </si>
  <si>
    <t>TABLA 1001 = QUERY 0700</t>
  </si>
  <si>
    <t xml:space="preserve">OK Confirmed 3/10/2016 </t>
  </si>
  <si>
    <t>NUMERATOR: 60+ days past due Personal Loans Portfolio divided by 
DENOMINATOR: Total Outstanding Balance of Personal Loans Portfolio</t>
  </si>
  <si>
    <t>NUMERATOR: 60+ days past due Credit Cards Portfolio divided by 
DENOMINATOR: Total Outstanding Balance of Credit Cards Portfolio</t>
  </si>
  <si>
    <t>NUMERATOR: 60+ days past due Commercial Portfolio divided by 
DENOMINATOR: Total Outstanding Balance of Commercial Portfolio</t>
  </si>
  <si>
    <t>NUMERATOR: 60+ Total Portfolio divided by
DENOMINATOR: Total Portfolio %</t>
  </si>
  <si>
    <t>RSC BSPR #0109
Corporate criteria</t>
  </si>
  <si>
    <t xml:space="preserve">Percentage of the YTD NPL (Circular BDE 4/04- due to NPL criteria and DNP criteria) in relation to Total Drawn Exposure. </t>
  </si>
  <si>
    <t>Información tomada del RSC. Cálculo es: Mora 404 for the month divided by Cartera Promedio 12 M of the month</t>
  </si>
  <si>
    <t>TABLA 1001</t>
  </si>
  <si>
    <t>Report: Credit Trends as reported by Portfolio Management 
Metric: NPL &amp; Coverage (Net) local criteria</t>
  </si>
  <si>
    <t>Propuesta no llevarala (pero si tenemos presupuesto)</t>
  </si>
  <si>
    <t># of counterparties with Santander Risk Rating (internal) &lt; 4.5 and exposure&gt;$10MM</t>
  </si>
  <si>
    <t>Per SBNA methodology for calibration of OCC limit - We set a max $ amount for all industries (e.g. SBNA is $5 bn max per industry), any industry which goes above that needs special approval from the Board; SBNA set the limit as being approx. 50% of SBNA CET1+ACL)</t>
  </si>
  <si>
    <t>CRE exposure - pendiente confirmar cual es la metodología de calculo
CRE exposure (excl. Multifamily) (PR)</t>
  </si>
  <si>
    <t>PROBLEMA IDENTIFICANDO STOCK, NO HAY MARCA EN SISTEMA Y LO QUE SE LLEVA ES MANUAL.
Data included is Exposure provided by Rafa in 0000 RISK TOLERANCE</t>
  </si>
  <si>
    <t>Concentration Guideline</t>
  </si>
  <si>
    <t>Pending to confirm with SHUSA how metric will be calibrated.
Shouldn't this limit be the same as the 'Industry exposure (by OCC group) (PR)'?  The local Concentration Guideline indicates 150% of Tier 1</t>
  </si>
  <si>
    <t>Total Exposure equals Drawn plus Available plus Contingencies for PR Government, Municipalities, Government Agencies, etc.</t>
  </si>
  <si>
    <t>Pending to confirm with SHUSA how metric will be calibrated.
Shouldn't this limit be the same as the 'Industry exposure (by OCC group) (PR)'?  The local Concentration Guideline indicates 75% of Tier 1</t>
  </si>
  <si>
    <t>Aplicamos el max de CRE</t>
  </si>
  <si>
    <t>RTS BSPR 0020</t>
  </si>
  <si>
    <t>Used 'Concentration To One Obligor Without Guarantee'
Total exposure of largest one obligor without guarantee (excluding U.S. and P.R. Government authorities, agencies, dependencies and municipalities’ loans) is compared with legal lending limit permitted by the Banking Law of Puerto Rico.  The maximum loan limit to one obligor permitted by the Banking Law of Puerto Rico is up to 15% of the 50% of the bank’s undistributed earnings.
To identify the highest obligor without guarantee in the Database 1001 BSPR, it shoud be filtered as follows:
1- Bank column select “004” (BSPR bank)
2- Product column select  “05” (Commercial Risk)
3- Group name column exclude “Abengoa” (Abengoa group is the highest exposure however only $25MM is without guarantee).
4- Segment Column exclude “Institucional Público” (U.S and P R Government authorities, agencies, dependencies and municipalities’ loans)
5- Guarantee group select “Sin Garantía”
The balance used is “Riesgo del cliente”, after filters have been applied, it should be sorted in order to identify the highest balance. The legal lending limit is calculated by Contropllership Unit in a quarterly basis and reported to ERM officers.</t>
  </si>
  <si>
    <t>Used 'Concentration To One Obligor Without Guarantee'</t>
  </si>
  <si>
    <t xml:space="preserve">Comparamos </t>
  </si>
  <si>
    <t>Top 20 Total Exposure</t>
  </si>
  <si>
    <t>Liquidity Policy</t>
  </si>
  <si>
    <t>Market Risk Update Risk Committee as Liquidity Horizon
ALCO Risk Scorecard</t>
  </si>
  <si>
    <t xml:space="preserve">Historical Data is not available as this is a newly implemented metric </t>
  </si>
  <si>
    <t>ALCO Risk Scorecard</t>
  </si>
  <si>
    <t>RTS BSPR #0170</t>
  </si>
  <si>
    <t xml:space="preserve">Calculation is adapted based on the additional assets that require stable funding (illiquid assets in the portfolio). As a general rule, wholesale short term financing cannot be considered as stable funding. The limit will be set according to the situation, generally &gt;100% and with a minimum surplus. In some cases a limit under 100% could be set, but adding a maximum deficit amount. </t>
  </si>
  <si>
    <t>Market Risk / Marilena Castro</t>
  </si>
  <si>
    <t>Metric is stored in EXCEL in a Local Network.  Currently data is extracted from Balance Sheet statements for BSPR, SSC LLC and BanCorp, OFSA system, NMD Calculador (corporate system), which are consolidated into one spreadsheet (Excel).  As part of the Market Risk Efficiency Plan, a server is being developed in which this data will be stored.</t>
  </si>
  <si>
    <t>The availability depends on ALCO Committee date towards the end of the month.</t>
  </si>
  <si>
    <t>Market Risk Update Risk Committee
ALCO Risk Scorecard</t>
  </si>
  <si>
    <t>2015
February, March,
May, June,
August, September, November and December OK
In Alco Risk Scorecard December is 107.72%
Dec 2015 different than Dec 2015 in ALCO Risk Scorecard report (107.72%) (Jan 2016 107.87%)</t>
  </si>
  <si>
    <t>RTS BSPR #0030</t>
  </si>
  <si>
    <t>Worst case net interest income sensitivity between a parallel shock of +100bps and -100bps over a one year horizon.</t>
  </si>
  <si>
    <t>Metric is stored in EXCEL in a Local Network.  Currently data is extracted from ORACLE, OFSA, MIAC, Calculador (corporate system), and other working papers (Excels) which are consolidated into one spreadsheet (Excel). As part of the Market Risk Efficiency Plan, a server is being developed in which this data will be stored.</t>
  </si>
  <si>
    <t>IRR Policy</t>
  </si>
  <si>
    <t>Market Risk Update Risk Committee as NIM</t>
  </si>
  <si>
    <t>2015
March OK 
June OK
September OK</t>
  </si>
  <si>
    <t>($12.0MM)</t>
  </si>
  <si>
    <t>($15.0MM)</t>
  </si>
  <si>
    <t>RTS BSPR #0031</t>
  </si>
  <si>
    <t>Worst case market value of equity sensitivity between a parallel shock of +200bps over a one year horizon.</t>
  </si>
  <si>
    <t>Metric is stored in EXCEL in a Local Network.  Currently data is extracted from ORACLE, OFSA, MIAC, Calculador (corporate system), and other working papers (Excels) which are consolidated into one spreadsheet (Excel).  As part of the Market Risk Efficiency Plan, a server is being developed in which this data will be stored.</t>
  </si>
  <si>
    <t>Market Risk Update Risk Committee</t>
  </si>
  <si>
    <t>2015
February, March,
May, June,
August, September, November and December OK</t>
  </si>
  <si>
    <t>Used 'ALM MVE (+ 200bps)'</t>
  </si>
  <si>
    <t>Altair/MOB Excel file sent by the Operations team</t>
  </si>
  <si>
    <t>Under discussion between SHUSA and Local Operational Teams</t>
  </si>
  <si>
    <t>Altair</t>
  </si>
  <si>
    <t>Under discussion between SHUSA and Local MRM Teams</t>
  </si>
  <si>
    <t>Internal Controls</t>
  </si>
  <si>
    <t>Regulators -Recommendations Database</t>
  </si>
  <si>
    <t>Montlhly complaints received from the CFPB</t>
  </si>
  <si>
    <t>Customer Experience</t>
  </si>
  <si>
    <t>Informe Acum Enero 2014 hasta XXXXX</t>
  </si>
  <si>
    <t>SAC Corporativo (Informe de Reclamos Formales PR para España)
Formal Complaints BanCorp- Risk Committee</t>
  </si>
  <si>
    <t>Confirm with Ivelisse</t>
  </si>
  <si>
    <t>Pending methodology from SHUSA. 
Confirmed with the Compliance team that they have not been contacted by the SHUSA Compliance team.</t>
  </si>
  <si>
    <t>Calibration Comments</t>
  </si>
  <si>
    <t>Local Comments - Cristina's Review</t>
  </si>
  <si>
    <t>Thresholds defined per Historical Data - The average of Jan15 - Dec15 is calculated and the added the Standard Deviation for the same period to define the Green level.  
In this case since the difference the 20% deviation to the Red Limit is not significant, the gap between the thresholds were be manually adjusted.</t>
  </si>
  <si>
    <t>&gt;110%</t>
  </si>
  <si>
    <t>Thresholds defined per Historical Data - The average of Jan15 - Dec15 is calculated and the added the Standard Deviation for the same period to define the Green level.  After Green Level is defined, the Red Limit is set using a 20% deviation. The Amber threshold is the remaining range between the Green and the Red threshold.</t>
  </si>
  <si>
    <t>4Q15-3 / 1Q16-2 / 2Q16-2 / 3Q16-2 / 
4Q16-0</t>
  </si>
  <si>
    <t>Model Risk Managament</t>
  </si>
  <si>
    <t>Metric is stored in EXCEL in a Local Network.</t>
  </si>
  <si>
    <t>Currently there are 3 Tier I Models:
1) NMD (model id: 558 / use id: 521)
2) OFSA – Cash Flow (model id: 568 / use id: 531)
3) Anti Money Laundering (model id: 366 / use id: 364)
1) Model NMD (model id: 558 / use id: 521) approved on 2/26/2016.  
2) OFSA – Cash Flow (model id: 568 / use id: 531) - Thsi model will be eliminated upon migration to QRM on 3Q16. Therefore model will not be validated nor approved.
3)  Anti Money Laundering (model id: 366 / use id: 364) - Validation process should begin in July 2016 upon implementation of IHC.  Due to the model's complexity, the validation / approval for this model is expected to take 60-90 days finishing on 4Q 2016.</t>
  </si>
  <si>
    <t xml:space="preserve">As established in the BSPR Strategic Plan “Visión 360 (2016-2018)”, there will be 0 tolerance regarding Laws and Regulatory Compliance. Any indicator measuring compliance or related to a regulatory requirement, the Green level is established as 0 or 100% compliance. </t>
  </si>
  <si>
    <t xml:space="preserve">Compliance Department </t>
  </si>
  <si>
    <t>NUMERATOR:The total number of existing customers, to date,  for the Operating Entity with high risk profiles divided by
DENOMINATOR: Total clients</t>
  </si>
  <si>
    <t>Sensitivity</t>
  </si>
  <si>
    <t>Average</t>
  </si>
  <si>
    <t>Variance</t>
  </si>
  <si>
    <t>Standard Deviation</t>
  </si>
  <si>
    <t>AVS</t>
  </si>
  <si>
    <r>
      <t xml:space="preserve">Included a new 60+ Total Metric to monitor NCOs at a Consolidadted Bank level
</t>
    </r>
    <r>
      <rPr>
        <sz val="11"/>
        <color theme="7" tint="-0.249977111117893"/>
        <rFont val="Calibri"/>
        <family val="2"/>
        <scheme val="minor"/>
      </rPr>
      <t>Portfolio Management: 60+ Total PR:  sugiero eliminarlo pues en realidad no hay un gestor identificado en el Banco que observe esta cifra agregada.  Aún más, las estrategias para los productos/segmentos son tan distintas que se recogen en PEC’s distintos administrados por grupos ejecutivos distintos.</t>
    </r>
  </si>
  <si>
    <t>Comparación 4/8/16</t>
  </si>
  <si>
    <t>Slide 8: Not included in RAS - Monitoring Only</t>
  </si>
  <si>
    <t>Slide 6: Indicates it is not included.</t>
  </si>
  <si>
    <t>Slide 8: Not included in RAS - Monitoring only</t>
  </si>
  <si>
    <t>Credit risk (concentration)</t>
  </si>
  <si>
    <t>Top 20 Corporates Exposure</t>
  </si>
  <si>
    <t>New metric identified in 2016 RAS Calibration Supporting Documentation Plan. We need the definition, methodology and requirements.</t>
  </si>
  <si>
    <t>CRE Exposure</t>
  </si>
  <si>
    <t>Industry Exposure (by OCC group)</t>
  </si>
  <si>
    <t xml:space="preserve">Public Sector Exposure </t>
  </si>
  <si>
    <t>Not included anywhere in presentation</t>
  </si>
  <si>
    <t xml:space="preserve">Slide 7: Indicates it is included </t>
  </si>
  <si>
    <t>Relevant OR Events R1 (number)</t>
  </si>
  <si>
    <t>Not included anywhere in the presentation.</t>
  </si>
  <si>
    <t>Legacy Tier 1 Models in Production w/o Appropriate Approval</t>
  </si>
  <si>
    <t>4/8/16 We don't have a Recovery and Resolution team to oversee these metrics. Do they have to be included in the Monthly only for monitoring purposes?</t>
  </si>
  <si>
    <r>
      <t xml:space="preserve">As agreed in the Conference Call, we will be using the local criteria if metric is required.
</t>
    </r>
    <r>
      <rPr>
        <sz val="11"/>
        <color rgb="FFFF0000"/>
        <rFont val="Calibri"/>
        <family val="2"/>
        <scheme val="minor"/>
      </rPr>
      <t xml:space="preserve">[SA]: OK
</t>
    </r>
    <r>
      <rPr>
        <sz val="11"/>
        <rFont val="Calibri"/>
        <family val="2"/>
        <scheme val="minor"/>
      </rPr>
      <t>4/8/16 We don't have a Recovery and Resolution team to oversee these metrics. Do they have to be included in the Monthly only for monitoring purposes?</t>
    </r>
  </si>
  <si>
    <r>
      <t xml:space="preserve">As agreed in the Conference Call, we will be using the local criteria: The sum of all NPL entries in the last 12 months divided by the average portfolio of the last 12 months (both in local criteria)
</t>
    </r>
    <r>
      <rPr>
        <sz val="11"/>
        <color rgb="FFFF0000"/>
        <rFont val="Calibri"/>
        <family val="2"/>
        <scheme val="minor"/>
      </rPr>
      <t xml:space="preserve">[SA]: Sounds good - will need to discuss with Jennifer if she wants to use this method
</t>
    </r>
    <r>
      <rPr>
        <sz val="11"/>
        <rFont val="Calibri"/>
        <family val="2"/>
        <scheme val="minor"/>
      </rPr>
      <t>4/8/16 Variación Mora por Gestión is defined as follows New NPL minus  Old NPLs)  plus (Charge-offs minus recoveries)</t>
    </r>
  </si>
  <si>
    <t>Slide 6: Included, unconsolidated. 
Variación Mora por Gestión is defined as follows New NPL minus  Old NPLs)  plus (Charge-offs minus recoveries)</t>
  </si>
  <si>
    <t>Used to be Single obligor exposure, included (Corp. and IFIs) to the name</t>
  </si>
  <si>
    <t>Used to be Top 20</t>
  </si>
  <si>
    <t>Changed from Frequency of material risk events &gt;$200k in losses.</t>
  </si>
  <si>
    <t>High risk customers as % of total customers</t>
  </si>
  <si>
    <t>Has been changed from New High Risk Customers as % of Total New Customers</t>
  </si>
  <si>
    <t>Pending confirmation from Zhiyi / Scott as metric is being discussed with Santander Group
BSPR - our original proposal was based on budget however the SHUSA team understands they should actually be calculating those limits at SHUSA when they calculate all of the CCAR stress-related metrics’ limits (according to Scott's e-mail).</t>
  </si>
  <si>
    <t>NPL Entries (VMG)</t>
  </si>
  <si>
    <t>Analyse Group metric definition and historical ratios at SHUSA and subs in order to determine trigger and thresholds</t>
  </si>
  <si>
    <t>($135.0MM)</t>
  </si>
  <si>
    <t>($100.0MM)</t>
  </si>
  <si>
    <t>($101.0MM )</t>
  </si>
  <si>
    <t xml:space="preserve">
NUMERATOR: LOCAL ALLOWANCE FOR LOAN AND LEASE LOSSES (ALLL) divided by
DENOMINATOR: TOTAL NPL (MORA LOCAL)</t>
  </si>
  <si>
    <t xml:space="preserve">The Strategic Plan/budget was considered as the target (Green level) and the Amber / Red thresholds were defined from that point. Once Green Level is defined, a deviation of 20% until the Red Limit is set. The Amber threshold is the remaining range between the Green and the Red threshold.
We set the Green level (objective) considering the Strategic Plan/budget and add a 20% deviation to the Red (Limit) which represents the buffer permitted by the BOD to the Senior Management to manage the risks without risking the Bank’s capital.  Per the Capital Stress Test (CCAR), there is ~20% distance from the baseline to the adverse scenario (stressed) while still maintaining the capital levels above the limits required by the regulator.  That ~20%  deviation is used from the Green level to the Red (Limit) in the RAS thus integrating both the Strategic Plan/budget and the Capital Stress Test (CCAR) into the RAS.
</t>
  </si>
  <si>
    <t>PR - BANCORP</t>
  </si>
  <si>
    <t>Considers only regulatory matters no Internal Audit recommendations</t>
  </si>
  <si>
    <t>Top 20 Total Exposure. Segment Column exclude “Institucional Público” (U.S and P R Government authorities, agencies, dependencies and municipalities’ loans)</t>
  </si>
  <si>
    <t>N/Avail.</t>
  </si>
  <si>
    <r>
      <t xml:space="preserve">Confirm with SHUSA if we can use Outstanding instead of Exposure to be aligned with BSPR local Concentration Guideline. 
</t>
    </r>
    <r>
      <rPr>
        <sz val="11"/>
        <color rgb="FFFF0000"/>
        <rFont val="Calibri"/>
        <family val="2"/>
        <scheme val="minor"/>
      </rPr>
      <t xml:space="preserve">[SA]: As above - align to SBNA
</t>
    </r>
    <r>
      <rPr>
        <sz val="11"/>
        <color rgb="FF0070C0"/>
        <rFont val="Calibri"/>
        <family val="2"/>
        <scheme val="minor"/>
      </rPr>
      <t>4/22/2016 According to information included for BSPR and Glossary it is CRE excluding Multifamily. Pending equivalent data for Bancorp.</t>
    </r>
  </si>
  <si>
    <t>Treasury / Victor Montes
Market Risk / Marilena Castro</t>
  </si>
  <si>
    <t>4/22/2016 Information gathered from Bancorp's RTS according to the corresponding metric.</t>
  </si>
  <si>
    <t>RTS SBC #0170</t>
  </si>
  <si>
    <t>RTS SBC #0020</t>
  </si>
  <si>
    <t>RTS SBC #0030</t>
  </si>
  <si>
    <t>RTS SBC #0048</t>
  </si>
  <si>
    <t>RTS SBC #0050</t>
  </si>
  <si>
    <t>RTS SBC #0051</t>
  </si>
  <si>
    <t>RTS SBC #0049</t>
  </si>
  <si>
    <t>RTS SBC #0171</t>
  </si>
  <si>
    <r>
      <t xml:space="preserve">Please confirm if the Material Portfolios are to be divided between Total Outstanding Portfolio or Total Outstanding of the Material Portfolios. 
</t>
    </r>
    <r>
      <rPr>
        <sz val="11"/>
        <color rgb="FFFF0000"/>
        <rFont val="Calibri"/>
        <family val="2"/>
        <scheme val="minor"/>
      </rPr>
      <t xml:space="preserve">[SA]: Outstanding of material portfolios
</t>
    </r>
    <r>
      <rPr>
        <sz val="11"/>
        <color rgb="FF0070C0"/>
        <rFont val="Calibri"/>
        <family val="2"/>
        <scheme val="minor"/>
      </rPr>
      <t>4/22/2016 Pendiente información de 60+ para carteras de bancorp y Total outtstanding balance para completar la información histórica.</t>
    </r>
  </si>
  <si>
    <t>Included in Monthly Risk Report for monitoring purposes only</t>
  </si>
  <si>
    <t>NO</t>
  </si>
  <si>
    <t>Bancorp Comments</t>
  </si>
  <si>
    <t>Pending confirmation from Zhiyi / Scott as metric is being discussed with Santander Group.</t>
  </si>
  <si>
    <t>Corporate Metric</t>
  </si>
  <si>
    <t>Thresholds defined per Historical Data:  The the Green level is defined considering the average of Jan15 - Dec15 and the added the Standard Deviation for the same period.  After Green Level is defined, the Red Limit is set using a 20% deviation. The Amber threshold is the remaining range between the Green and the Red threshold.
The 20% deviation from the Green to the Red (Limit) represents the buffer permitted by the BOD to the Senior Management to manage the risks without risking the Bank’s capital.  Per the Capital Stress Test (CCAR), there is ~20% distance from the baseline to the adverse scenario (stressed) while still maintaining the capital levels above the limits required by the regulator.  That ~20%  deviation is used from the Green level to the Red (Limit) in the RAS thus integrating the Capital Stress Test (CCAR) into the RAS.</t>
  </si>
  <si>
    <t>Thresholds defined per Historical Data:  The the Green level is defined considering the average of Jan15 - Dec15 and the added the Standard Deviation for the same period.  After Green Level is defined, the Red Limit is set using a 20% deviation. The Amber threshold is the remaining range between the Green and the Red threshold.  
In this case since the difference the 20% deviation to the Red Limit is not significant, the gap between the thresholds were be manually adjusted.</t>
  </si>
  <si>
    <t>&gt;($6MM)</t>
  </si>
  <si>
    <t>($6MM)</t>
  </si>
  <si>
    <t>($10MM)</t>
  </si>
  <si>
    <t>($85MM)</t>
  </si>
  <si>
    <t>($85MM )</t>
  </si>
  <si>
    <t>($95MM)</t>
  </si>
  <si>
    <t>Credit Risk (losses)</t>
  </si>
  <si>
    <t>Financial Intitutions Top 20</t>
  </si>
  <si>
    <t>Card fraud</t>
  </si>
  <si>
    <t>Online banking fraud</t>
  </si>
  <si>
    <t>IT relevant incidents</t>
  </si>
  <si>
    <t>% IT systems availability</t>
  </si>
  <si>
    <t>% Servers with obsolete operating systems</t>
  </si>
  <si>
    <t>Ethical hacking vulnerabilities</t>
  </si>
  <si>
    <t/>
  </si>
  <si>
    <t>ALM MVE (+/-100bps)</t>
  </si>
  <si>
    <t>Worst case market value of equity sensitivity between a parallel shock of +100bps over a one year horizon.</t>
  </si>
  <si>
    <t>RTS BSPR #0169</t>
  </si>
  <si>
    <t>($55.0MM)</t>
  </si>
  <si>
    <t>ALM MVE (+/-200bps) BSPR</t>
  </si>
  <si>
    <r>
      <t xml:space="preserve">4/27/2016 Changedfor +/- 100
Currently the Market Risk area calculates the 'ALM MVE (+200bps)' since interest curve cannot go down to (-200bps).  The risk is with the (+200bps) which is the more severe since it's where we could experience losses.
</t>
    </r>
    <r>
      <rPr>
        <sz val="11"/>
        <color rgb="FFFF0000"/>
        <rFont val="Calibri"/>
        <family val="2"/>
        <scheme val="minor"/>
      </rPr>
      <t>[SA]: Ok - will need to follow up with M. Lasso</t>
    </r>
    <r>
      <rPr>
        <sz val="11"/>
        <color theme="1"/>
        <rFont val="Calibri"/>
        <family val="2"/>
        <scheme val="minor"/>
      </rPr>
      <t xml:space="preserve">
As discussed with Beatriz Shapiro on 2/12/2016 - Manolo Lasso will be discussing metric with Spain.
4/19/16 Confirmed with Market Risk Area. OK</t>
    </r>
  </si>
  <si>
    <t xml:space="preserve">60+ PR Commercial Banking </t>
  </si>
  <si>
    <t xml:space="preserve">60+ PR Commercial Banking  </t>
  </si>
  <si>
    <t>OW</t>
  </si>
  <si>
    <t>≥($40.0MM)</t>
  </si>
  <si>
    <t>($40.0MM)</t>
  </si>
  <si>
    <t>CCAR/OW</t>
  </si>
  <si>
    <t>4/27/2016 Required to be calculated in percentage</t>
  </si>
  <si>
    <t>4/27/2016 Eliminated from the RAS according to email from Scott Amarucci stating it would be redundant considering BSPR’s profile. However it will be maintained as operating limit and monitored by local market risk area.</t>
  </si>
  <si>
    <r>
      <t xml:space="preserve">4/27/2016 Eliminated from the RAS according to email from Scott Amarucci. However it will be maintained as operating limit and monitored by local market risk area.
In BSPR there are no covered bonds, securitisations nor TLTRO.
</t>
    </r>
    <r>
      <rPr>
        <sz val="11"/>
        <color rgb="FFFF0000"/>
        <rFont val="Calibri"/>
        <family val="2"/>
        <scheme val="minor"/>
      </rPr>
      <t>[SA]: Agree</t>
    </r>
    <r>
      <rPr>
        <sz val="11"/>
        <color theme="1"/>
        <rFont val="Calibri"/>
        <family val="2"/>
        <scheme val="minor"/>
      </rPr>
      <t xml:space="preserve">
As discussed with Beatriz Shapiro on 2/12/2016 - Metric is being analyzed by Manolo Lasso.  He should inform the BSPR Market Risk area directly on applicability.</t>
    </r>
  </si>
  <si>
    <t>4/27/2016 Changed for percentage instead of dollar value</t>
  </si>
  <si>
    <r>
      <t xml:space="preserve">4/27/2016 Changed for percentage instead of dollar value
Currently the Market Risk area calculates the 'ALM MVE (+200bps)' since interest curve cannot go down to (-200bps).  The risk is with the (+200bps) which is the more severe since it's where we could experience losses.
</t>
    </r>
    <r>
      <rPr>
        <sz val="11"/>
        <color rgb="FFFF0000"/>
        <rFont val="Calibri"/>
        <family val="2"/>
        <scheme val="minor"/>
      </rPr>
      <t>[SA]: Ok - will need to follow up with M. Lasso</t>
    </r>
    <r>
      <rPr>
        <sz val="11"/>
        <color theme="1"/>
        <rFont val="Calibri"/>
        <family val="2"/>
        <scheme val="minor"/>
      </rPr>
      <t xml:space="preserve">
As discussed with Beatriz Shapiro on 2/12/2016 - Manolo Lasso will be discussing metric with Spain.
4/19/16 Confirmed with Market Risk Area. OK</t>
    </r>
  </si>
  <si>
    <t>4/27/2016 Eliminated according to discuttion with Corey Shaw. To be included later in the year.</t>
  </si>
  <si>
    <t>4/27/2016 Eliminated according to discuttion with Corey Shaw. To be included later in the year when the customer risk rating process is fully developed for and implemented BSPR.
Pending methodology from SHUSA</t>
  </si>
  <si>
    <t>4/28/2016 Excludes Public Sector</t>
  </si>
  <si>
    <t>4/28/2016 Incudes Public Sector</t>
  </si>
  <si>
    <r>
      <t xml:space="preserve">-Please confirm if the Material Portfolios are to be divided between Total Outstanding Portfolio or Total Outstanding of the Material Portfolios. 
</t>
    </r>
    <r>
      <rPr>
        <sz val="11"/>
        <color rgb="FFFF0000"/>
        <rFont val="Calibri"/>
        <family val="2"/>
        <scheme val="minor"/>
      </rPr>
      <t>[SA]: Total outstanding of the material portfolios</t>
    </r>
    <r>
      <rPr>
        <sz val="11"/>
        <color theme="1"/>
        <rFont val="Calibri"/>
        <family val="2"/>
        <scheme val="minor"/>
      </rPr>
      <t xml:space="preserve">
-Are we supposed to use the methodology that SBNA uses included in the RAS Metrics Glossary? (Most recent month's total NCO multiplied by 12 and divided by the Total outstanding balances)
</t>
    </r>
    <r>
      <rPr>
        <sz val="11"/>
        <color rgb="FFFF0000"/>
        <rFont val="Calibri"/>
        <family val="2"/>
        <scheme val="minor"/>
      </rPr>
      <t xml:space="preserve">[SA]: No - changing to rolling 12-month NCO/rolling 12-month outstanding balance
</t>
    </r>
    <r>
      <rPr>
        <sz val="11"/>
        <color rgb="FF00B0F0"/>
        <rFont val="Calibri"/>
        <family val="2"/>
        <scheme val="minor"/>
      </rPr>
      <t xml:space="preserve">BSPR - shouldn't the denominator of the metric be the </t>
    </r>
    <r>
      <rPr>
        <b/>
        <u/>
        <sz val="11"/>
        <color rgb="FF00B0F0"/>
        <rFont val="Calibri"/>
        <family val="2"/>
        <scheme val="minor"/>
      </rPr>
      <t>average</t>
    </r>
    <r>
      <rPr>
        <sz val="11"/>
        <color rgb="FF00B0F0"/>
        <rFont val="Calibri"/>
        <family val="2"/>
        <scheme val="minor"/>
      </rPr>
      <t xml:space="preserve"> of the rolling 12-month outstanding balance (such as SCUSA)</t>
    </r>
    <r>
      <rPr>
        <sz val="11"/>
        <color rgb="FFFF0000"/>
        <rFont val="Calibri"/>
        <family val="2"/>
        <scheme val="minor"/>
      </rPr>
      <t xml:space="preserve">
</t>
    </r>
    <r>
      <rPr>
        <sz val="11"/>
        <color theme="1"/>
        <rFont val="Calibri"/>
        <family val="2"/>
        <scheme val="minor"/>
      </rPr>
      <t xml:space="preserve">
-In order to calculate the annualized amount should we multiply the Most recent month's NCO by 12 or by (number of month/12)?
</t>
    </r>
    <r>
      <rPr>
        <sz val="11"/>
        <color rgb="FFFF0000"/>
        <rFont val="Calibri"/>
        <family val="2"/>
        <scheme val="minor"/>
      </rPr>
      <t xml:space="preserve">[SA]: As above
</t>
    </r>
    <r>
      <rPr>
        <sz val="11"/>
        <color theme="1"/>
        <rFont val="Calibri"/>
        <family val="2"/>
        <scheme val="minor"/>
      </rPr>
      <t xml:space="preserve">
-In order to be aligned with the Local Credit Trends Report  which considers 12 month NCO divided by Average Portfolio, could we consider the local monitoring metric for the RAS?</t>
    </r>
    <r>
      <rPr>
        <sz val="11"/>
        <color rgb="FFFF0000"/>
        <rFont val="Calibri"/>
        <family val="2"/>
        <scheme val="minor"/>
      </rPr>
      <t xml:space="preserve"> 
[SA]: As above - we are discussing with Oliver Wyman the possibility of adding change in provisions over 12-mo to the metric</t>
    </r>
  </si>
  <si>
    <r>
      <t xml:space="preserve">Used 'Concentration To One Obligor </t>
    </r>
    <r>
      <rPr>
        <b/>
        <u/>
        <sz val="11"/>
        <color theme="1"/>
        <rFont val="Calibri"/>
        <family val="2"/>
        <scheme val="minor"/>
      </rPr>
      <t xml:space="preserve">Without </t>
    </r>
    <r>
      <rPr>
        <sz val="11"/>
        <color theme="1"/>
        <rFont val="Calibri"/>
        <family val="2"/>
        <scheme val="minor"/>
      </rPr>
      <t>Guarantee' RTS metric</t>
    </r>
  </si>
  <si>
    <r>
      <t xml:space="preserve">1) Confirm with SHUSA if we can use Outstanding instead of Exposure to be aligned with BSPR local Concentration Guideline. 
2) Will this metrics be divided per industry?  All the industries will be included in the RAS or just the material industries?
3) Compared the SBNA OCC grouping vs. BSPR current local Concentration Guideline.  Overall we can work on the segmentation however in some cases locally we would need another level of segregation (for risk management purposes as well as definition of strategies per our credit policies) which we can later aggregate to reach the SBNA OCC grouping.     
Groups which BSPR will have a higher level of segregation for further aggregation for the RAS: 
</t>
    </r>
    <r>
      <rPr>
        <b/>
        <u/>
        <sz val="11"/>
        <color theme="1"/>
        <rFont val="Calibri"/>
        <family val="2"/>
        <scheme val="minor"/>
      </rPr>
      <t xml:space="preserve">Government &amp; Education: </t>
    </r>
    <r>
      <rPr>
        <sz val="11"/>
        <color theme="1"/>
        <rFont val="Calibri"/>
        <family val="2"/>
        <scheme val="minor"/>
      </rPr>
      <t xml:space="preserve">
-Government &amp; Education (Municipalities)
-Government &amp; Education (Indirect Risk (PRIDCO))
-Government &amp; Education (Sovereign Risk / Agencies / Public Corp.)
-Government &amp; Education (Education)
</t>
    </r>
    <r>
      <rPr>
        <b/>
        <u/>
        <sz val="11"/>
        <color theme="1"/>
        <rFont val="Calibri"/>
        <family val="2"/>
        <scheme val="minor"/>
      </rPr>
      <t xml:space="preserve">Health Care &amp; Pharmaceuticals
</t>
    </r>
    <r>
      <rPr>
        <b/>
        <sz val="11"/>
        <color theme="1"/>
        <rFont val="Calibri"/>
        <family val="2"/>
        <scheme val="minor"/>
      </rPr>
      <t>-</t>
    </r>
    <r>
      <rPr>
        <sz val="11"/>
        <color theme="1"/>
        <rFont val="Calibri"/>
        <family val="2"/>
        <scheme val="minor"/>
      </rPr>
      <t xml:space="preserve">Health Care &amp; Pharmaceuticals (Health Care)
-Health Care &amp; Pharmaceuticals (Hospital)
</t>
    </r>
    <r>
      <rPr>
        <b/>
        <u/>
        <sz val="11"/>
        <color theme="1"/>
        <rFont val="Calibri"/>
        <family val="2"/>
        <scheme val="minor"/>
      </rPr>
      <t>Real Estate &amp; Construction</t>
    </r>
    <r>
      <rPr>
        <sz val="11"/>
        <color theme="1"/>
        <rFont val="Calibri"/>
        <family val="2"/>
        <scheme val="minor"/>
      </rPr>
      <t xml:space="preserve">
-Real Estate &amp; Construction (Commercial Real Estate)
-Real Estate &amp; Construction (Construction Developers)
</t>
    </r>
    <r>
      <rPr>
        <b/>
        <u/>
        <sz val="11"/>
        <color theme="1"/>
        <rFont val="Calibri"/>
        <family val="2"/>
        <scheme val="minor"/>
      </rPr>
      <t>Restaurant &amp; Hotel</t>
    </r>
    <r>
      <rPr>
        <sz val="11"/>
        <color theme="1"/>
        <rFont val="Calibri"/>
        <family val="2"/>
        <scheme val="minor"/>
      </rPr>
      <t xml:space="preserve">
-Hotels and Tourism (Excluding Restaurant)
</t>
    </r>
    <r>
      <rPr>
        <b/>
        <u/>
        <sz val="11"/>
        <color theme="1"/>
        <rFont val="Calibri"/>
        <family val="2"/>
        <scheme val="minor"/>
      </rPr>
      <t>Retail Stores Exc. Food &amp; Drug</t>
    </r>
    <r>
      <rPr>
        <sz val="11"/>
        <color theme="1"/>
        <rFont val="Calibri"/>
        <family val="2"/>
        <scheme val="minor"/>
      </rPr>
      <t xml:space="preserve">
-Retail Stores Exc. Food &amp; Drug (Retail Sales including Auto Sales and Restaurant)
-Retail Stores Exc. Food &amp; Drug (Construction Related)</t>
    </r>
  </si>
  <si>
    <r>
      <t xml:space="preserve">Metric was change from 'Institutional exposure (PR)' to 'Public sector exposure (PR)' in order to include all exposure with PR government, municipalities, government agencies, etc.
</t>
    </r>
    <r>
      <rPr>
        <sz val="11"/>
        <color rgb="FFFF0000"/>
        <rFont val="Calibri"/>
        <family val="2"/>
        <scheme val="minor"/>
      </rPr>
      <t>[SA]: OK</t>
    </r>
    <r>
      <rPr>
        <sz val="11"/>
        <color theme="1"/>
        <rFont val="Calibri"/>
        <family val="2"/>
        <scheme val="minor"/>
      </rPr>
      <t xml:space="preserve">
Confirm with SHUSA if we can use Outstanding instead of Exposure to be aligned with local Concentration Guideline. Concenration Guideline presented Quarterly.
</t>
    </r>
    <r>
      <rPr>
        <sz val="11"/>
        <color rgb="FFFF0000"/>
        <rFont val="Calibri"/>
        <family val="2"/>
        <scheme val="minor"/>
      </rPr>
      <t>[SA]: As above - align to SBNA</t>
    </r>
  </si>
  <si>
    <r>
      <t xml:space="preserve">4/27/2016 Agreed to be +/- 100 and required to be calculated in percentage.
Currently the Market Risk area calculates the 'ALM MVE (+200bps)' since interest curve cannot go down to (-200bps).  The risk is with the (+200bps) which is the more severe since it's where we could experience losses.
</t>
    </r>
    <r>
      <rPr>
        <sz val="11"/>
        <color rgb="FFFF0000"/>
        <rFont val="Calibri"/>
        <family val="2"/>
        <scheme val="minor"/>
      </rPr>
      <t>[SA]: Ok - will need to follow up with M. Lasso</t>
    </r>
    <r>
      <rPr>
        <sz val="11"/>
        <color theme="1"/>
        <rFont val="Calibri"/>
        <family val="2"/>
        <scheme val="minor"/>
      </rPr>
      <t xml:space="preserve">
As discussed with Beatriz Shapiro on 2/12/2016 - Manolo Lasso will be discussing metric with Spain.
4/19/16 Confirmed with Market Risk Area. OK</t>
    </r>
  </si>
  <si>
    <r>
      <t xml:space="preserve">-Please confirm if the Material Portfolios are to be divided between Total Outstanding Portfolio or Total Outstanding of the Material Portfolios. 
</t>
    </r>
    <r>
      <rPr>
        <sz val="11"/>
        <color rgb="FFFF0000"/>
        <rFont val="Calibri"/>
        <family val="2"/>
        <scheme val="minor"/>
      </rPr>
      <t>[SA]: Total outstanding of the material portfolios</t>
    </r>
    <r>
      <rPr>
        <sz val="11"/>
        <color theme="1"/>
        <rFont val="Calibri"/>
        <family val="2"/>
        <scheme val="minor"/>
      </rPr>
      <t xml:space="preserve">
-Are we supposed to use the methodology that SBNA uses included in the RAS Metrics Glossary? (Most recent month's total NCO multiplied by 12 and divided by the Total outstanding balances)
</t>
    </r>
    <r>
      <rPr>
        <sz val="11"/>
        <color rgb="FFFF0000"/>
        <rFont val="Calibri"/>
        <family val="2"/>
        <scheme val="minor"/>
      </rPr>
      <t xml:space="preserve">[SA]: No - changing to rolling 12-month NCO/rolling 12-month outstanding balance
</t>
    </r>
    <r>
      <rPr>
        <sz val="11"/>
        <color rgb="FF00B0F0"/>
        <rFont val="Calibri"/>
        <family val="2"/>
        <scheme val="minor"/>
      </rPr>
      <t xml:space="preserve">BSPR - shouldn't the denominator of the metric be the </t>
    </r>
    <r>
      <rPr>
        <b/>
        <u/>
        <sz val="11"/>
        <color rgb="FF00B0F0"/>
        <rFont val="Calibri"/>
        <family val="2"/>
        <scheme val="minor"/>
      </rPr>
      <t>average</t>
    </r>
    <r>
      <rPr>
        <sz val="11"/>
        <color rgb="FF00B0F0"/>
        <rFont val="Calibri"/>
        <family val="2"/>
        <scheme val="minor"/>
      </rPr>
      <t xml:space="preserve"> of the rolling 12-month outstanding balance (such as SCUSA)</t>
    </r>
    <r>
      <rPr>
        <sz val="11"/>
        <color rgb="FFFF0000"/>
        <rFont val="Calibri"/>
        <family val="2"/>
        <scheme val="minor"/>
      </rPr>
      <t xml:space="preserve">
</t>
    </r>
    <r>
      <rPr>
        <sz val="11"/>
        <color theme="1"/>
        <rFont val="Calibri"/>
        <family val="2"/>
        <scheme val="minor"/>
      </rPr>
      <t xml:space="preserve">-In order to calculate the annualized amount should we multiply the Most recent month's NCO by 12 or by (number of month/12)?
</t>
    </r>
    <r>
      <rPr>
        <sz val="11"/>
        <color rgb="FFFF0000"/>
        <rFont val="Calibri"/>
        <family val="2"/>
        <scheme val="minor"/>
      </rPr>
      <t xml:space="preserve">[SA]: As above
</t>
    </r>
    <r>
      <rPr>
        <sz val="11"/>
        <color theme="1"/>
        <rFont val="Calibri"/>
        <family val="2"/>
        <scheme val="minor"/>
      </rPr>
      <t>-In order to be aligned with the Local Credit Trends Report  which considers 12 month NCO divided by Average Portfolio, could we consider the local monitoring metric for the RAS?</t>
    </r>
    <r>
      <rPr>
        <sz val="11"/>
        <color rgb="FFFF0000"/>
        <rFont val="Calibri"/>
        <family val="2"/>
        <scheme val="minor"/>
      </rPr>
      <t xml:space="preserve"> 
[SA]: As above - we are discussing with Oliver Wyman the possibility of adding change in provisions over 12-mo to the metric
</t>
    </r>
    <r>
      <rPr>
        <sz val="11"/>
        <color rgb="FF0070C0"/>
        <rFont val="Calibri"/>
        <family val="2"/>
        <scheme val="minor"/>
      </rPr>
      <t>4/22/2016 Pendiente información de KPI Total 12 Average Portfolio para completar la información histórica.</t>
    </r>
  </si>
  <si>
    <r>
      <t xml:space="preserve">Metric was change from 'Institutional exposure (PR)' to 'Public sector exposure (PR)' in order to include all exposure with PR government, municipalities, government agencies, etc.
</t>
    </r>
    <r>
      <rPr>
        <sz val="11"/>
        <color rgb="FFFF0000"/>
        <rFont val="Calibri"/>
        <family val="2"/>
        <scheme val="minor"/>
      </rPr>
      <t>[SA]: OK</t>
    </r>
    <r>
      <rPr>
        <sz val="11"/>
        <color theme="1"/>
        <rFont val="Calibri"/>
        <family val="2"/>
        <scheme val="minor"/>
      </rPr>
      <t xml:space="preserve">
Confirm with SHUSA if we can use Outstanding instead of Exposure to be aligned with local Concentration Guideline. Concenration Guideline presented Quarterly.
</t>
    </r>
    <r>
      <rPr>
        <sz val="11"/>
        <color rgb="FFFF0000"/>
        <rFont val="Calibri"/>
        <family val="2"/>
        <scheme val="minor"/>
      </rPr>
      <t xml:space="preserve">[SA]: As above - align to SBNA
</t>
    </r>
    <r>
      <rPr>
        <sz val="11"/>
        <color rgb="FF0070C0"/>
        <rFont val="Calibri"/>
        <family val="2"/>
        <scheme val="minor"/>
      </rPr>
      <t xml:space="preserve">
4/22/2016 Pendiente infromación, tenemos para Bancrp en 0000 Risk Tolerance para BSPR.</t>
    </r>
  </si>
  <si>
    <r>
      <t xml:space="preserve">4/27/2016 Agreed to be +/- 100 and required to be calculated in percentage
Currently the Market Risk area calculates the 'ALM MVE (+200bps)' since interest curve cannot go down to (-200bps).  The risk is with the (+200bps) which is the more severe since it's where we could experience losses.
</t>
    </r>
    <r>
      <rPr>
        <sz val="11"/>
        <color rgb="FFFF0000"/>
        <rFont val="Calibri"/>
        <family val="2"/>
        <scheme val="minor"/>
      </rPr>
      <t>[SA]: Ok - will need to follow up with M. Lasso</t>
    </r>
    <r>
      <rPr>
        <sz val="11"/>
        <color theme="1"/>
        <rFont val="Calibri"/>
        <family val="2"/>
        <scheme val="minor"/>
      </rPr>
      <t xml:space="preserve">
As discussed with Beatriz Shapiro on 2/12/2016 - Manolo Lasso will be discussing metric with Spain.
4/19/16 Confirmed with Market Risk Area. OK</t>
    </r>
  </si>
  <si>
    <t>4/8/2016 Eliminated according to 2016 RAS Calibration  Supporting Documentation Plan received from SHUSA.</t>
  </si>
  <si>
    <t>4/18/16 Eliminated according to conversation with Portfolio Management (Luis Lopez) and with approval of JPJP. They do have a budget for the Standardized portfolio but not for the Non-Standardized since the management procedures and strategies are different.</t>
  </si>
  <si>
    <r>
      <t xml:space="preserve">Excludes CRE and Public Sector because there are separate specific metrics to monitor these exposures.
</t>
    </r>
    <r>
      <rPr>
        <b/>
        <sz val="11"/>
        <color theme="1"/>
        <rFont val="Calibri"/>
        <family val="2"/>
        <scheme val="minor"/>
      </rPr>
      <t xml:space="preserve">SHUSA: </t>
    </r>
    <r>
      <rPr>
        <sz val="11"/>
        <color theme="1"/>
        <rFont val="Calibri"/>
        <family val="2"/>
        <scheme val="minor"/>
      </rPr>
      <t xml:space="preserve"> Per SBNA methodology for calibration of OCC limit - We set a max $ amount for all industries (e.g. SBNA is $5 bn max per industry), any industry which goes above that needs special approval from the Board; SBNA set the limit as being approx. 50% of SBNA CET1+ACL)
BSPR: Currently, the BSPR Concentration Guideline (which is approved by the BOD) has a maximum exposure of 10% (excluding CRE and Public Sector).  This means that 10% of our total portfolio would be $3,880MM x 10% = </t>
    </r>
    <r>
      <rPr>
        <b/>
        <u/>
        <sz val="11"/>
        <color theme="1"/>
        <rFont val="Calibri"/>
        <family val="2"/>
        <scheme val="minor"/>
      </rPr>
      <t>$388MM</t>
    </r>
    <r>
      <rPr>
        <sz val="11"/>
        <color theme="1"/>
        <rFont val="Calibri"/>
        <family val="2"/>
        <scheme val="minor"/>
      </rPr>
      <t>.  Therefore, we would have to apply the max concentration approved by the BOD for an industry to set the Red Limit and apply as a standard max limit for the rest of the industries in order to remain consistent with the BSPR Concentration Guideline.
SHUSA said they will discuss further and provide feedback</t>
    </r>
  </si>
  <si>
    <r>
      <t xml:space="preserve">Excludes CRE and Public Sector because there are separate specific metrics to monitor these exposures.
</t>
    </r>
    <r>
      <rPr>
        <b/>
        <sz val="11"/>
        <color theme="1"/>
        <rFont val="Calibri"/>
        <family val="2"/>
        <scheme val="minor"/>
      </rPr>
      <t xml:space="preserve">SHUSA: </t>
    </r>
    <r>
      <rPr>
        <sz val="11"/>
        <color theme="1"/>
        <rFont val="Calibri"/>
        <family val="2"/>
        <scheme val="minor"/>
      </rPr>
      <t xml:space="preserve"> Per SBNA methodology for calibration of OCC limit - We set a max $ amount for all industries (e.g. SBNA is $5 bn max per industry), any industry which goes above that needs special approval from the Board; SBNA set the limit as being approx. 50% of SBNA CET1+ACL)
BSPR: Currently, the BSPR Concentration Guideline (which is approved by the BOD) has a maximum exposure of 10% (excluding CRE and Public Sector.  This means that 10% of our total portfolio would be $4,004MM x 10% = $1,400MM.  Therefore, we would have to apply the max concentration approved by the BOD for an industry to set the Red Limit and apply as a standard max limit for the rest of the industries in order to remain consistent with the BSPR Concentration Guideline. After Red Limit is defined, the Green Limit is set using a 20% deviation. The Amber threshold is the remaining range between the Green and the Red threshold.
SHUSA said they will discuss further and provide feedback</t>
    </r>
  </si>
  <si>
    <t>4/27/2016 Changedfor +/- 100bsp</t>
  </si>
  <si>
    <t xml:space="preserve">4/28/2016 SHUSA Compliance team informed that the SAN-PR customer risk rating process wasn't fully built out for all customers so we are going to wait to develop triggers and thresholds until later in this year.  </t>
  </si>
  <si>
    <t xml:space="preserve">4/28/2016 SHUSA Compliance team informed that  we are going to wait to develop triggers and thresholds until later in this year.  </t>
  </si>
  <si>
    <t>4/27/2016 Changedfor +/- 100</t>
  </si>
  <si>
    <t>4/27/2016 Eliminated from the RAS according to email from Scott Amarucci. However it will be maintained as operating limit and monitored by local market risk area.</t>
  </si>
  <si>
    <r>
      <t xml:space="preserve">ALM MVE (+/-200bps) </t>
    </r>
    <r>
      <rPr>
        <b/>
        <sz val="11"/>
        <color theme="1"/>
        <rFont val="Calibri"/>
        <family val="2"/>
        <scheme val="minor"/>
      </rPr>
      <t>BANCORP</t>
    </r>
  </si>
  <si>
    <r>
      <t xml:space="preserve">ALM MVE (+/-100bps) </t>
    </r>
    <r>
      <rPr>
        <b/>
        <sz val="11"/>
        <color theme="1"/>
        <rFont val="Calibri"/>
        <family val="2"/>
        <scheme val="minor"/>
      </rPr>
      <t>BSPR</t>
    </r>
  </si>
  <si>
    <r>
      <t xml:space="preserve">ALM NII (+/-100bps) </t>
    </r>
    <r>
      <rPr>
        <b/>
        <sz val="11"/>
        <color theme="1"/>
        <rFont val="Calibri"/>
        <family val="2"/>
        <scheme val="minor"/>
      </rPr>
      <t>BANCORP</t>
    </r>
  </si>
  <si>
    <r>
      <t xml:space="preserve">ALM NII (+/-100bps) </t>
    </r>
    <r>
      <rPr>
        <b/>
        <sz val="11"/>
        <color theme="1"/>
        <rFont val="Calibri"/>
        <family val="2"/>
        <scheme val="minor"/>
      </rPr>
      <t>BSPR</t>
    </r>
  </si>
  <si>
    <r>
      <t xml:space="preserve">ALM MVE (+/-100bps) </t>
    </r>
    <r>
      <rPr>
        <b/>
        <sz val="11"/>
        <color theme="1"/>
        <rFont val="Calibri"/>
        <family val="2"/>
        <scheme val="minor"/>
      </rPr>
      <t>BANCORP</t>
    </r>
  </si>
  <si>
    <r>
      <t xml:space="preserve">Single Obligor (Corp. and IFIs) Exposure </t>
    </r>
    <r>
      <rPr>
        <b/>
        <sz val="11"/>
        <color rgb="FFFF0000"/>
        <rFont val="Calibri"/>
        <family val="2"/>
        <scheme val="minor"/>
      </rPr>
      <t>Without Guarantee</t>
    </r>
  </si>
  <si>
    <t>Material Operational Risk Events</t>
  </si>
  <si>
    <t>Quarterly</t>
  </si>
  <si>
    <t>Currently, the BSPR Concentration Guideline (which is approved by the BOD) has a maximum exposure of 28% for the industry of CRE (portfolio with the highest allowed concentration).  This means that 28% of our total portfolio would be $3,880MM x 28% = $1,086MM  (considered the March 2016 Total Exposure Portfolio of $3,880MM).  Therefore, we would have to apply the max concentration approved by the BOD for an industry to set the Red Limit and apply as a standard max limit for the rest of the industries in order to remain consistent with the BSPR Concentration Guideline. After Red Limit is defined, the Green Limit is set using a 20% deviation. The Amber threshold is the remaining range between the Green and the Red threshold.
The 20% deviation from the Green to the Red (Limit) represents the buffer permitted by the BOD to the Senior Management to manage the risks without risking the Bank’s capital.  Per the Capital Stress Test (CCAR), there is ~20% distance from the baseline to the adverse scenario (stressed) while still maintaining the capital levels above the limits required by the regulator.  That ~20%  deviation is used from the Red level (Limit) to the Green in the RAS thus integrating the Capital Stress Test (CCAR) into the RAS</t>
  </si>
  <si>
    <t>Currently, the BSPR Concentration Guideline (which is approved by the BOD) has a maximum exposure of 14% for the Public Sector.  This means that 14% of our total portfolio would be $3,880MM x 14% = $543MM  (considered the March 2016 Total Exposure Portfolio of $3,880MM).  Therefore, we would have to apply the max concentration approved by the BOD for an industry to set the Red Limit and apply as a standard max limit for the rest of the industries in order to remain consistent with the BSPR Concentration Guideline. After Red Limit is defined, the Green Limit is set using a 20% deviation. The Amber threshold is the remaining range between the Green and the Red threshold. 
The 20% deviation from the Green to the Red (Limit) represents the buffer permitted by the BOD to the Senior Management to manage the risks without risking the Bank’s capital.  Per the Capital Stress Test (CCAR), there is ~20% distance from the baseline to the adverse scenario (stressed) while still maintaining the capital levels above the limits required by the regulator.  That ~20%  deviation is used from the Red level (Limit) to the Green in the RAS thus integrating the Capital Stress Test (CCAR) into the RAS.</t>
  </si>
  <si>
    <t>SHUSA Operational Team is proposing to eliminate this metric</t>
  </si>
  <si>
    <t>Pending calibration confirmation from SHUSA Operational Team</t>
  </si>
  <si>
    <t>$69.6MM</t>
  </si>
  <si>
    <t>$55.7MM</t>
  </si>
  <si>
    <t>$55.8MM</t>
  </si>
  <si>
    <t>Considered the Legal Lending Limit as of 3/31/2016 ($69.6MM).
The 20% deviation from the Red (Limit) to the Green level represents the buffer permitted by the BOD to the Senior Management to manage the risks without risking the Bank’s capital.  Per the Capital Stress Test (CCAR), there is ~20% distance from the baseline to the adverse scenario (stressed) while still maintaining the capital levels above the limits required by the regulator.  That ~20%  deviation is used from the Red (Limit) to the Green level in the RAS thus integrating the Capital Stress Test (CCAR) into the RAS.</t>
  </si>
  <si>
    <t>Currently, the BSPR Concentration Guideline (which is approved by the BOD) has a maximum exposure of 10% (excluding CRE and Public Sector).  This means that 10% of Bancorp total portfolio would be $4,004MM x 10% = $400MM (considered the March 2016 Total Exposure Portfolio of $4,004MM).  Therefore, we would have to apply the max concentration approved by the BOD for an industry to set the Red Limit and apply as a standard max limit for the rest of the industries in order to remain consistent with the BSPR Concentration Guideline. After Red Limit is defined, the Green Limit is set using a 20% deviation. The Amber threshold is the remaining range between the Green and the Red threshold.
The 20% deviation from the Red (Limit) to the Green level represents the buffer permitted by the BOD to the Senior Management to manage the risks without risking the Bank’s capital.  Per the Capital Stress Test (CCAR), there is ~20% distance from the baseline to the adverse scenario (stressed) while still maintaining the capital levels above the limits required by the regulator.  That ~20%  deviation is used from the Red (Limit) to the Green level in the RAS thus integrating the Capital Stress Test (CCAR) into the RAS.</t>
  </si>
  <si>
    <t>Currently, the BSPR Concentration Guideline (which is approved by the BOD) has a maximum exposure of 10% (excluding CRE and Public Sector).  This means that 10% of BSPR total portfolio would be $3,880MM x 10% = $388MM (considered the March 2016 Total Exposure Portfolio of $3,880MM).  Therefore, we would have to apply the max concentration approved by the BOD for an industry to set the Red Limit and apply as a standard max limit for the rest of the industries in order to remain consistent with the BSPR Concentration Guideline. After Red Limit is defined, the Green Limit is set using a 20% deviation. The Amber threshold is the remaining range between the Green and the Red threshold.
The 20% deviation from the Red (Limit) to the Green level represents the buffer permitted by the BOD to the Senior Management to manage the risks without risking the Bank’s capital.  Per the Capital Stress Test (CCAR), there is ~20% distance from the baseline to the adverse scenario (stressed) while still maintaining the capital levels above the limits required by the regulator.  That ~20%  deviation is used from the Red (Limit) to the Green level in the RAS thus integrating the Capital Stress Test (CCAR) into the RAS.</t>
  </si>
  <si>
    <t>OCC - SHUSA</t>
  </si>
  <si>
    <t>Agribusiness</t>
  </si>
  <si>
    <t>Agriculture</t>
  </si>
  <si>
    <t>Apparel &amp; Textiles Manufacturing</t>
  </si>
  <si>
    <t>Auto-Related</t>
  </si>
  <si>
    <t>Banks</t>
  </si>
  <si>
    <t>Commercial Services</t>
  </si>
  <si>
    <t>Consumer Services</t>
  </si>
  <si>
    <t>Durables Manufacturing Exc. Auto</t>
  </si>
  <si>
    <t>Entertainment &amp; Recreation</t>
  </si>
  <si>
    <t>Finance &amp; Insurance</t>
  </si>
  <si>
    <t>Financial Institutions and Insurance</t>
  </si>
  <si>
    <t>Food &amp; Beverage Manufacturing</t>
  </si>
  <si>
    <t>Food &amp; Drug Stores</t>
  </si>
  <si>
    <t>Government &amp; Education</t>
  </si>
  <si>
    <t>Government &amp; Education (Municipalities)</t>
  </si>
  <si>
    <t>Government &amp; Education (Indirect Risk (PRIDCO))</t>
  </si>
  <si>
    <t>Government &amp; Education (Sovereign Risk / Agencies / Public Corp.)</t>
  </si>
  <si>
    <t>Government &amp; Education (Education)</t>
  </si>
  <si>
    <t>Health Care &amp; Pharmaceuticals</t>
  </si>
  <si>
    <t>Health Care &amp; Pharmaceuticals (Health Care)</t>
  </si>
  <si>
    <t>Health Care &amp; Pharmaceuticals (Hospital)</t>
  </si>
  <si>
    <t>Loans to Individuals on Commercial Systems</t>
  </si>
  <si>
    <t>Materials &amp; Commodities Exc. Energy</t>
  </si>
  <si>
    <t>Media &amp; Telecom</t>
  </si>
  <si>
    <t>Oil &amp; Gas &amp; Coal</t>
  </si>
  <si>
    <t>Oil &amp; Gas</t>
  </si>
  <si>
    <t>Professional Services</t>
  </si>
  <si>
    <t>Real Estate &amp; Construction</t>
  </si>
  <si>
    <t>Real Estate &amp; Construction (Commercial Real Estate)</t>
  </si>
  <si>
    <t>Real Estate &amp; Construction (Construction Developers)</t>
  </si>
  <si>
    <t>Restaurant &amp; Hotel</t>
  </si>
  <si>
    <t>Hotels and Tourism (Excluding Restaurant)</t>
  </si>
  <si>
    <t>Retail Stores Exc. Food &amp; Drug</t>
  </si>
  <si>
    <t>Retail Stores Exc. Food &amp; Drug (Retail Sales including Auto Sales and Restaurant)</t>
  </si>
  <si>
    <t>Retail Stores Exc. Food &amp; Drug (Construction Related)</t>
  </si>
  <si>
    <t>Transportation Services</t>
  </si>
  <si>
    <t>Utilities</t>
  </si>
  <si>
    <t>Wholesale Distribution</t>
  </si>
  <si>
    <t>Wholesale</t>
  </si>
  <si>
    <t>Real Estate &amp; Construction (Commercial Real Estate) + Real Estate &amp; Construction (Construction Developers)</t>
  </si>
  <si>
    <t>Retail Stores Exc. Food &amp; Drug (Retail Sales including Auto Sales and Restaurant) + Retail Stores Exc. Food &amp; Drug (Construction Related)</t>
  </si>
  <si>
    <t>Health Care &amp; Pharmaceuticals (Health Care) + Health Care &amp; Pharmaceuticals (Hospital)</t>
  </si>
  <si>
    <t>Government &amp; Education (Municipalities) + Government &amp; Education (Indirect Risk (PRIDCO)) + Government &amp; Education (Sovereign Risk / Agencies / Public Corp.) + Government &amp; Education (Education)</t>
  </si>
  <si>
    <t>Leslie Adames (threshold calibration)
Comptrollership / Hector Ramos (monthly data)</t>
  </si>
  <si>
    <t>Leslie Adames (threshold calibration)
Treasury</t>
  </si>
  <si>
    <t>Capital Policy  from November 27, 2015 which was approved by the Board on December 8, 2015. Information is located in page 7, Table 3: 2015 SBC/BSPR Capital Expectations. the Planned capital hold was considered for the Amber trigger and the Business-as-usual was consideredfor the Red limit.</t>
  </si>
  <si>
    <t>&lt;=104%</t>
  </si>
  <si>
    <t>The methodology provided by SHUSA and Oliver Wyman is explained in the PDF file 20160426 CCAR-linked RAS methodology.pdf and the final calibration data is included in the PDF file 20160503 BSPR RAS Metrics.pdf. Please refer to slide 3.</t>
  </si>
  <si>
    <t>The methodology provided by SHUSA and Oliver Wyman is explained in the PDF file 20160426 CCAR-linked RAS methodology.pdf and the final calibration data is included in the PDF file 20160503 BSPR RAS Metrics.pdf. Please refer to slide 2.</t>
  </si>
  <si>
    <t>The methodology provided by SHUSA and Oliver Wyman is explained in the PDF file 20160426 CCAR-linked RAS methodology.pdf and the final calibration data is included in the PDF file 20160503 BSPR RAS Metrics.pdf. Please refer to slide 4.</t>
  </si>
  <si>
    <t>CCAR (threshold calibration)
Risk MI / Rafael Martínez (monthly data)</t>
  </si>
  <si>
    <t xml:space="preserve">CCAR (threshold calibration)
</t>
  </si>
  <si>
    <t>Capital Policy  from November 27, 2015 which was approved by the Board on December 8, 2015. Information is located in page 7, Table 3: 2015 SBC/BSPR Capital Expectations. the Planned capital hold was considered for the Amber trigger and the Business-as-usual was considered for the Red limit.</t>
  </si>
  <si>
    <t>Highest industry exposure according to OCC segmentation excluding Realestate &amp; Construction (which includes CRE) and Government and Education (which inclides Public Sector).
Excludes CRE and Public Sector because there are specific metrics to monitor those portfolios.</t>
  </si>
  <si>
    <t>x &gt; 10</t>
  </si>
  <si>
    <t xml:space="preserve"> x &lt; 0.1</t>
  </si>
  <si>
    <t>x &lt; 99.5</t>
  </si>
  <si>
    <t xml:space="preserve"> x &lt; 3</t>
  </si>
  <si>
    <t>x &gt; 5</t>
  </si>
  <si>
    <t xml:space="preserve"> x ≤ 5</t>
  </si>
  <si>
    <t>5 &lt; x ≤ 10</t>
  </si>
  <si>
    <t>0.1 ≤ x &lt; 0.2</t>
  </si>
  <si>
    <t>x ≥ 0.2</t>
  </si>
  <si>
    <t xml:space="preserve"> x ≥ 99.75</t>
  </si>
  <si>
    <t>99.75 &gt; x ≥ 99.5</t>
  </si>
  <si>
    <t>x ≥ 6</t>
  </si>
  <si>
    <t xml:space="preserve"> x ≤ 3</t>
  </si>
  <si>
    <t>3 &lt; x ≤ 5</t>
  </si>
  <si>
    <t>3 ≤ x &lt; 6</t>
  </si>
  <si>
    <t>Thresholds for the monitoring metrics that are currently on the Corporate tool as part of the 140 core KRI’s</t>
  </si>
  <si>
    <t>Concentration Guideline (threshold calibration)
Risk MI / Rafael Martínez</t>
  </si>
  <si>
    <t>Methodology provided by SHUSA and Oliver Wyman is explained in the PDF file 20160426 CCAR-linked RAS methodology.pdf and the final calibration data is included in the PDF file 20160503 BSPR RAS Metrics.pdf. Please refer to slide 1.</t>
  </si>
  <si>
    <t>9Q stressed cummulativw credit losses and any available capital surplus under the CCAR BHC Stress scenario allocated by material portfolio</t>
  </si>
  <si>
    <t>Currently, the BSPR Concentration Guideline (which is approved by the BOD) has a maximum exposure of 28% for the industry of CRE (portfolio with the highest allowed concentration).  This means that 28% of our total portfolio would be $4,004MM x 28% = $1,121MM  (considered the March 2016 Total Exposure Portfolio of $4,004MM).  Therefore, we would have to apply the max concentration approved by the BOD for an industry to set the Red Limit and apply as a standard max limit for the rest of the industries in order to remain consistent with the BSPR Concentration Guideline. After Red Limit is defined, the Green Limit is set using a 20% deviation. The Amber threshold is the remaining range between the Green and the Red threshold.
The 20% deviation from the Green to the Red (Limit) represents the buffer permitted by the BOD to the Senior Management to manage the risks without risking the Bank’s capital.  Per the Capital Stress Test (CCAR), there is ~20% distance from the baseline to the adverse scenario (stressed) while still maintaining the capital levels above the limits required by the regulator.  That ~20%  deviation is used from the Red level (Limit) to the Green in the RAS thus integrating the Capital Stress Test (CCAR) into the RAS</t>
  </si>
  <si>
    <t>Currently, the BSPR Concentration Guideline (which is approved by the BOD) has a maximum exposure of 14% for the Public Sector.  This means that 14% of our total portfolio would be $4,004MM x 14% = $561MM  (considered the March 2016 Total Exposure Portfolio of $4,004MM).  Therefore, we would have to apply the max concentration approved by the BOD for an industry to set the Red Limit and apply as a standard max limit for the rest of the industries in order to remain consistent with the BSPR Concentration Guideline. After Red Limit is defined, the Green Limit is set using a 20% deviation. The Amber threshold is the remaining range between the Green and the Red threshold. 
The 20% deviation from the Green to the Red (Limit) represents the buffer permitted by the BOD to the Senior Management to manage the risks without risking the Bank’s capital.  Per the Capital Stress Test (CCAR), there is ~20% distance from the baseline to the adverse scenario (stressed) while still maintaining the capital levels above the limits required by the regulator.  That ~20%  deviation is used from the Red level (Limit) to the Green in the RAS thus integrating the Capital Stress Test (CCAR) into the RAS.</t>
  </si>
  <si>
    <t>The amount of days remaining until there is a cash shortfall under stressed conditions.</t>
  </si>
  <si>
    <r>
      <t xml:space="preserve">Tangible Common Equity Ratio </t>
    </r>
    <r>
      <rPr>
        <b/>
        <sz val="11"/>
        <color rgb="FF000000"/>
        <rFont val="Calibri"/>
        <family val="2"/>
        <scheme val="minor"/>
      </rPr>
      <t>BSPR</t>
    </r>
  </si>
  <si>
    <r>
      <t xml:space="preserve">Tangible Common Equity Ratio </t>
    </r>
    <r>
      <rPr>
        <b/>
        <sz val="11"/>
        <color rgb="FF000000"/>
        <rFont val="Calibri"/>
        <family val="2"/>
        <scheme val="minor"/>
      </rPr>
      <t>BANCORP</t>
    </r>
  </si>
  <si>
    <t>Card Fraud</t>
  </si>
  <si>
    <t>Card Fraud Ratio (70% weight) = # of debit or credit card fraud cases / total # active cards 
Corporate KRI # CI21607</t>
  </si>
  <si>
    <t xml:space="preserve">The number of material operational risk events (as Defined by the SHUSA Operational Risk Event Escalation) .
Methodology: No calculation necessary. Data extraction of Operational Risk Events
Measures the ratio of gross operational risk losses to gross margin
- Operational Risk Losses reported in the period (excluding recoveries – direct or indirect, excluding legal reserves and including legal settlements)
Gross Margin (Net Revenue) is defined as: Net Interest Income + Fees + Other Fees + Security and Related Derivatives Gains – Security and Related Derivatives losses reported in the period
</t>
  </si>
  <si>
    <t>Calibration provided by the SHUSA Operaterational Risk Team in coordination with the PR Ops Risk Team. Data is extracted from the Excel file New Group Metrics_ORM_020516 - Consolidated v6 on the sheet Group OR Metrics - Proposed.</t>
  </si>
  <si>
    <t>Calibration provided by the SHUSA Operaterational Risk Team in coordination with the PR Ops Risk Team. Data is extracted from the Excel file New Group Metrics_ORM_020516 - Consolidated v6 on the sheet Gross Loss Gross Margin.</t>
  </si>
  <si>
    <t>5/6/2016Entonces no se incluirá en RAS aunque sigamos nosotros calculandola. Parece mejor circunscribirnos a las métricas asociadas al New Capital Rule</t>
  </si>
  <si>
    <t>Total Credit Losses Mortgages</t>
  </si>
  <si>
    <t>Total Credit Losses Commercial Banking</t>
  </si>
  <si>
    <t>Total Credit Losses Personal Loans</t>
  </si>
  <si>
    <t>Total Credit Losses Credit Cards</t>
  </si>
  <si>
    <t>RAS Metrics Glossary: The projected 9Q cummulative increase in PPNR impairment between the CCAR BHC Stress and BHC Baseline scenarios and any available capital surplus under the CCAR BHC scenario. Material components include Total Revenue, Expenses due to Operational Risk and Expenses due to Residual Value Risk.</t>
  </si>
  <si>
    <t>Considers only regulatory matters no Internal Audit recommendations. Includes MRIA's and MRA's</t>
  </si>
  <si>
    <t>Zero tolerance to Operational Risk events</t>
  </si>
  <si>
    <t xml:space="preserve">Liquidity Coverage Ratio (%) </t>
  </si>
  <si>
    <t xml:space="preserve">The Capital Policy was used to calibrate , refer to page 7, Table 3. The Post-stress minimum was used to set the Red limit. To this the Management Adjustment was added in order to set as the Ambar trigger (10.75% + 2.00%). 
This methodology was discussed and approved between the PR Capital Team and SHUSA's Capital Team. </t>
  </si>
  <si>
    <t xml:space="preserve">The Capital Policy was used to calibrate , refer to page 7, Table 3. The Post-stress minimum was used to set the Red limit. To this the Stress absorption (1.71%) was added to  calculate the Business-as-usual minimum, which was set as the Ambar trigger. 
This methodology was discussed and approved between the PR Capital Team and SHUSA's Capital Team. </t>
  </si>
  <si>
    <t xml:space="preserve">The Capital Policy was used to calibrate , refer to page 7, Table 3. The Post-stress minimum was used to set the Red limit. To this the Management Adjustment was added in order to set as the Ambar trigger (12.15% + 2.00%). 
This methodology was discussed and approved between the PR Capital Team and SHUSA's Capital Team. </t>
  </si>
  <si>
    <t xml:space="preserve">The Capital Policy was used to calibrate , refer to page 7, Table 3. The Post-stress minimum was used to set the Red limit. To this the Management Adjustment was added in order to set as the Ambar trigger (6.80% + 2.00%). 
This methodology was discussed and approved between the PR Capital Team and SHUSA's Capital Team. </t>
  </si>
  <si>
    <t xml:space="preserve">Liquidity Policy
Pending updated Liquidity Policy, triggers and limits provided by Market Risk Department according to analysis and presentation done and approved by the Board on February 2016. Refer to document Market Risk 2016 Limits Analysis v2 - Copy.docx, section 2.2. The Local Limit 2016 was set as the Ambar trigger and the 2016  RAS was set as the Red limit.
</t>
  </si>
  <si>
    <t xml:space="preserve">Liquidity Policy
Pending updated Liquidity Policy, triggers and limits provided by Market Risk Department according to analysis and presentation done and approved by the Board on February 2016. Refer to document Market Risk 2016 Limits Analysis v2 - Copy.docx, section 2.2. The Local Limit 2016 was set as the Ambar trigger and the 2016 RAS was set as the Red limit.
</t>
  </si>
  <si>
    <t xml:space="preserve">Total Gross Operational Risk Losses / Total Gross Margin on a 12 month trailing basis </t>
  </si>
  <si>
    <t xml:space="preserve">Gross Operational Risk Losses / Gross Marginon a 12 month trailing basis </t>
  </si>
  <si>
    <t>5/10/2016 Eliminated according to email from Katherine Schade from OW that indicated the Total Losses metric is reported as a dingle item aggregated for all BSPR portfolios.</t>
  </si>
  <si>
    <t>$296MM</t>
  </si>
  <si>
    <t>$319MM</t>
  </si>
  <si>
    <t>$315MM</t>
  </si>
  <si>
    <t>$340MM</t>
  </si>
  <si>
    <t>RAS Metrics Glossary: 9Q stressed cummulativw credit losses and any available capital surplus under the CCAR BHC Stress scenario</t>
  </si>
  <si>
    <r>
      <t xml:space="preserve">Total Credit Losses </t>
    </r>
    <r>
      <rPr>
        <sz val="11"/>
        <color rgb="FFFF0000"/>
        <rFont val="Calibri"/>
        <family val="2"/>
        <scheme val="minor"/>
      </rPr>
      <t>(9Q stressed CCAR losses)</t>
    </r>
  </si>
  <si>
    <r>
      <t xml:space="preserve">Impairment to Pre-Provision Net Revenue (PPNR) </t>
    </r>
    <r>
      <rPr>
        <sz val="11"/>
        <color rgb="FFFF0000"/>
        <rFont val="Calibri"/>
        <family val="2"/>
        <scheme val="minor"/>
      </rPr>
      <t xml:space="preserve"> (9Q CCAR stressed)</t>
    </r>
  </si>
  <si>
    <t xml:space="preserve">Gross Operational Risk Losses / Gross Margin on a 12 month trailing basis </t>
  </si>
  <si>
    <t>&gt; -4.0%</t>
  </si>
  <si>
    <t>&lt;=-4.0%</t>
  </si>
  <si>
    <t>&lt;= -5.0%</t>
  </si>
  <si>
    <t>&gt; -5.4%</t>
  </si>
  <si>
    <t>&lt;=-5.4%</t>
  </si>
  <si>
    <t>&lt;= -6.0%</t>
  </si>
  <si>
    <t>&gt; 90 days</t>
  </si>
  <si>
    <t>&lt; 90 days</t>
  </si>
  <si>
    <t>&lt;= 60 days</t>
  </si>
  <si>
    <t>&gt; 104%</t>
  </si>
  <si>
    <t>&lt;= 102%</t>
  </si>
  <si>
    <t>&lt;= 110%</t>
  </si>
  <si>
    <t>&lt;= 100%</t>
  </si>
  <si>
    <t>&lt;=5.4%</t>
  </si>
  <si>
    <t xml:space="preserve">Liquidity Policy
Pending updated Liquidity Policy, triggers and limits provided by Market Risk Department according to analysis and presentation done and approved by the Board on February 2016. Refer to document Market Risk 2016 Limits Analysis v2 - Copy.docx, section 2.2. The 2016 Local Limit  was set as the Ambar trigger and the 2016 RAS  was set as the Red limit.
</t>
  </si>
  <si>
    <t xml:space="preserve"> x &lt; 2</t>
  </si>
  <si>
    <t>2 ≤ x &lt; 3</t>
  </si>
  <si>
    <t>x ≥ 3</t>
  </si>
  <si>
    <t>Corporate tool as part of the 140 core KRI’s: CI22187
P1 and P2 incidents in production (33.3% weight)</t>
  </si>
  <si>
    <t xml:space="preserve">IRR Policy
Pending updated IRR Policy, triggers and limits provided by Market Risk Department according to analysis and presentation done and approved by the Board on February 2016. Refer to document Market Risk 2016 Limits Analysis v2 - Copy.docx, section 2.1. The Local Limit 2016 was set as the Ambar trigger and the RAS 2016 was set as the Red limit. These were then translated into percentages as per SHUSA's request, which is included in RAS Limits porcentual v3 excel document provided by the Market Risk Department.
</t>
  </si>
  <si>
    <t>RAS Metrics Glossary: 9Q stressed cummulativw credit losses and any available capital surplus under the CCAR BHC Stress scenario allocated by material portfolio</t>
  </si>
  <si>
    <t>Total Number of Material Operational Risk Events</t>
  </si>
  <si>
    <t>Open MRIAs or equivalent regulatory matters requiring immediate attention (MRIA)</t>
  </si>
  <si>
    <t>Open MRIAs or equivalent matters requiring immediate attention (MRIA)</t>
  </si>
</sst>
</file>

<file path=xl/styles.xml><?xml version="1.0" encoding="utf-8"?>
<styleSheet xmlns="http://schemas.openxmlformats.org/spreadsheetml/2006/main" xmlns:mc="http://schemas.openxmlformats.org/markup-compatibility/2006" xmlns:x14ac="http://schemas.microsoft.com/office/spreadsheetml/2009/9/ac" mc:Ignorable="x14ac">
  <numFmts count="38">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4" formatCode="_(&quot;$&quot;* #,##0.00_);_(&quot;$&quot;* \(#,##0.00\);_(&quot;$&quot;* &quot;-&quot;??_);_(@_)"/>
    <numFmt numFmtId="43" formatCode="_(* #,##0.00_);_(* \(#,##0.00\);_(* &quot;-&quot;??_);_(@_)"/>
    <numFmt numFmtId="164" formatCode="&quot;$&quot;#,##0"/>
    <numFmt numFmtId="165" formatCode="0.0%"/>
    <numFmt numFmtId="166" formatCode="_(* #,##0_);_(* \(#,##0\);_(* &quot;-&quot;??_);_(@_)"/>
    <numFmt numFmtId="167" formatCode="_(&quot;$&quot;* #,##0_);_(&quot;$&quot;* \(#,##0\);_(&quot;$&quot;* &quot;-&quot;??_);_(@_)"/>
    <numFmt numFmtId="168" formatCode="&quot;$&quot;#,##0.0_);\(&quot;$&quot;#,##0.0\)"/>
    <numFmt numFmtId="169" formatCode="0.0"/>
    <numFmt numFmtId="170" formatCode="[$-500A]dddd\,\ dd&quot; de &quot;mmmm&quot; de &quot;yyyy;@"/>
    <numFmt numFmtId="171" formatCode="_([$€-2]* #,##0.00_);_([$€-2]* \(#,##0.00\);_([$€-2]* &quot;-&quot;??_)"/>
    <numFmt numFmtId="172" formatCode="_-* #,##0.00\ [$€-1]_-;\-* #,##0.00\ [$€-1]_-;_-* &quot;-&quot;??\ [$€-1]_-"/>
    <numFmt numFmtId="173" formatCode="General_)"/>
    <numFmt numFmtId="174" formatCode="0.00_)"/>
    <numFmt numFmtId="175" formatCode="[$-409]mmmm\ d\,\ yyyy;@"/>
    <numFmt numFmtId="176" formatCode="#,##0.0_%\);[Red]\(#,##0.0%\)"/>
    <numFmt numFmtId="177" formatCode="#,##0.0_%;[Red]\(#,##0.0%\)"/>
    <numFmt numFmtId="178" formatCode="#,##0.0%;[Red]\(#,##0.0%\)"/>
    <numFmt numFmtId="179" formatCode="#,##0.0%;\(#,##0.0%\)"/>
    <numFmt numFmtId="180" formatCode="0.0000%"/>
    <numFmt numFmtId="181" formatCode="0.00000%"/>
    <numFmt numFmtId="182" formatCode="_-* #,##0.00\ _P_t_s_-;\-* #,##0.00\ _P_t_s_-;_-* &quot;-&quot;??\ _P_t_s_-;_-@_-"/>
    <numFmt numFmtId="183" formatCode="m/d"/>
    <numFmt numFmtId="184" formatCode="#,#00"/>
    <numFmt numFmtId="185" formatCode="_ * #,##0_ ;_ * \-#,##0_ ;_ * &quot;-&quot;_ ;_ @_ "/>
    <numFmt numFmtId="186" formatCode="_ * #,##0.00_ ;_ * \-#,##0.00_ ;_ * &quot;-&quot;??_ ;_ @_ "/>
    <numFmt numFmtId="187" formatCode="&quot;£&quot;#,##0;[Red]\-&quot;£&quot;#,##0"/>
    <numFmt numFmtId="188" formatCode="%#,#00"/>
    <numFmt numFmtId="189" formatCode="#.##000"/>
    <numFmt numFmtId="190" formatCode="mmm\ dd\,\ yyyy"/>
    <numFmt numFmtId="191" formatCode="#,##0.00%;[Red]\(#,##0.00%\)"/>
    <numFmt numFmtId="192" formatCode="0.0%;\(0.0%\)"/>
    <numFmt numFmtId="193" formatCode="0.000000000"/>
    <numFmt numFmtId="194" formatCode="0.0000000"/>
  </numFmts>
  <fonts count="113">
    <font>
      <sz val="11"/>
      <color theme="1"/>
      <name val="Calibri"/>
      <family val="2"/>
      <scheme val="minor"/>
    </font>
    <font>
      <b/>
      <sz val="11"/>
      <color rgb="FFFFFFFF"/>
      <name val="Calibri"/>
      <family val="2"/>
      <scheme val="minor"/>
    </font>
    <font>
      <sz val="11"/>
      <color rgb="FF000000"/>
      <name val="Calibri"/>
      <family val="2"/>
      <scheme val="minor"/>
    </font>
    <font>
      <b/>
      <sz val="11"/>
      <color theme="1"/>
      <name val="Calibri"/>
      <family val="2"/>
      <scheme val="minor"/>
    </font>
    <font>
      <sz val="11"/>
      <name val="Calibri"/>
      <family val="2"/>
      <scheme val="minor"/>
    </font>
    <font>
      <i/>
      <sz val="11"/>
      <color theme="1"/>
      <name val="Calibri"/>
      <family val="2"/>
      <scheme val="minor"/>
    </font>
    <font>
      <b/>
      <sz val="11"/>
      <name val="Calibri"/>
      <family val="2"/>
      <scheme val="minor"/>
    </font>
    <font>
      <sz val="11"/>
      <color theme="1"/>
      <name val="Calibri"/>
      <family val="2"/>
      <scheme val="minor"/>
    </font>
    <font>
      <b/>
      <i/>
      <sz val="11"/>
      <color theme="1"/>
      <name val="Calibri"/>
      <family val="2"/>
      <scheme val="minor"/>
    </font>
    <font>
      <b/>
      <sz val="11"/>
      <color theme="0"/>
      <name val="Calibri"/>
      <family val="2"/>
      <scheme val="minor"/>
    </font>
    <font>
      <sz val="11"/>
      <color theme="0"/>
      <name val="Calibri"/>
      <family val="2"/>
      <scheme val="minor"/>
    </font>
    <font>
      <sz val="11"/>
      <color rgb="FFFF0000"/>
      <name val="Calibri"/>
      <family val="2"/>
      <scheme val="minor"/>
    </font>
    <font>
      <b/>
      <u/>
      <sz val="11"/>
      <color theme="1"/>
      <name val="Calibri"/>
      <family val="2"/>
      <scheme val="minor"/>
    </font>
    <font>
      <sz val="11"/>
      <color rgb="FF00B0F0"/>
      <name val="Calibri"/>
      <family val="2"/>
      <scheme val="minor"/>
    </font>
    <font>
      <b/>
      <u/>
      <sz val="11"/>
      <color rgb="FF00B0F0"/>
      <name val="Calibri"/>
      <family val="2"/>
      <scheme val="minor"/>
    </font>
    <font>
      <b/>
      <sz val="11"/>
      <color rgb="FFFF0000"/>
      <name val="Calibri"/>
      <family val="2"/>
      <scheme val="minor"/>
    </font>
    <font>
      <b/>
      <sz val="20"/>
      <name val="Calibri"/>
      <family val="2"/>
      <scheme val="minor"/>
    </font>
    <font>
      <b/>
      <sz val="10"/>
      <color theme="0"/>
      <name val="Calibri"/>
      <family val="2"/>
      <scheme val="minor"/>
    </font>
    <font>
      <b/>
      <sz val="8"/>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8"/>
      <name val="Tahoma"/>
      <family val="2"/>
    </font>
    <font>
      <sz val="8"/>
      <color indexed="8"/>
      <name val="Tahoma"/>
      <family val="2"/>
    </font>
    <font>
      <sz val="10"/>
      <color indexed="8"/>
      <name val="Arial"/>
      <family val="2"/>
    </font>
    <font>
      <sz val="8"/>
      <color indexed="10"/>
      <name val="Tahoma"/>
      <family val="2"/>
    </font>
    <font>
      <sz val="10"/>
      <name val="Arial"/>
      <family val="2"/>
    </font>
    <font>
      <sz val="10"/>
      <name val="Book Antiqua"/>
      <family val="1"/>
    </font>
    <font>
      <sz val="10"/>
      <name val="Tahoma"/>
      <family val="2"/>
    </font>
    <font>
      <sz val="8"/>
      <color theme="1"/>
      <name val="Tahoma"/>
      <family val="2"/>
    </font>
    <font>
      <sz val="10"/>
      <color theme="1"/>
      <name val="Arial"/>
      <family val="2"/>
    </font>
    <font>
      <b/>
      <sz val="12"/>
      <name val="Arial"/>
      <family val="2"/>
    </font>
    <font>
      <b/>
      <sz val="10"/>
      <name val="Arial"/>
      <family val="2"/>
    </font>
    <font>
      <sz val="11"/>
      <color indexed="8"/>
      <name val="Calibri"/>
      <family val="2"/>
    </font>
    <font>
      <sz val="11"/>
      <color indexed="8"/>
      <name val="Czcionka tekstu podstawowego"/>
      <family val="2"/>
      <charset val="238"/>
    </font>
    <font>
      <sz val="12"/>
      <name val="Arial"/>
      <family val="2"/>
    </font>
    <font>
      <u/>
      <sz val="7.7"/>
      <color theme="10"/>
      <name val="Calibri"/>
      <family val="2"/>
    </font>
    <font>
      <b/>
      <sz val="11"/>
      <color indexed="8"/>
      <name val="Calibri"/>
      <family val="2"/>
    </font>
    <font>
      <sz val="10"/>
      <name val="MS Sans Serif"/>
      <family val="2"/>
    </font>
    <font>
      <sz val="10"/>
      <name val="Helv"/>
    </font>
    <font>
      <sz val="12"/>
      <name val="SWISS"/>
    </font>
    <font>
      <sz val="12"/>
      <name val="Helv"/>
    </font>
    <font>
      <sz val="8"/>
      <name val="Arial"/>
      <family val="2"/>
    </font>
    <font>
      <b/>
      <sz val="10"/>
      <name val="MS Sans Serif"/>
      <family val="2"/>
    </font>
    <font>
      <sz val="10"/>
      <color indexed="8"/>
      <name val="匠牥晩††††††††††"/>
    </font>
    <font>
      <b/>
      <i/>
      <sz val="16"/>
      <name val="Helv"/>
    </font>
    <font>
      <sz val="11"/>
      <color indexed="9"/>
      <name val="Calibri"/>
      <family val="2"/>
    </font>
    <font>
      <sz val="8"/>
      <name val="Times New Roman"/>
      <family val="1"/>
    </font>
    <font>
      <sz val="11"/>
      <color indexed="20"/>
      <name val="Calibri"/>
      <family val="2"/>
    </font>
    <font>
      <sz val="11"/>
      <color indexed="8"/>
      <name val="Calibri"/>
      <family val="2"/>
      <scheme val="minor"/>
    </font>
    <font>
      <b/>
      <i/>
      <u/>
      <sz val="10"/>
      <name val="Arial"/>
      <family val="2"/>
    </font>
    <font>
      <sz val="12"/>
      <name val="Tms Rmn"/>
    </font>
    <font>
      <b/>
      <sz val="11"/>
      <color indexed="52"/>
      <name val="Calibri"/>
      <family val="2"/>
    </font>
    <font>
      <b/>
      <sz val="11"/>
      <color indexed="9"/>
      <name val="Calibri"/>
      <family val="2"/>
    </font>
    <font>
      <b/>
      <sz val="10"/>
      <name val="Arial Unicode MS"/>
      <family val="2"/>
    </font>
    <font>
      <sz val="11"/>
      <color theme="1"/>
      <name val="Book Antiqua"/>
      <family val="2"/>
    </font>
    <font>
      <sz val="10"/>
      <name val="BERNHARD"/>
    </font>
    <font>
      <sz val="12"/>
      <name val="Times New Roman"/>
      <family val="1"/>
    </font>
    <font>
      <sz val="10"/>
      <name val="MS Serif"/>
      <family val="1"/>
    </font>
    <font>
      <sz val="1"/>
      <color indexed="8"/>
      <name val="Courier"/>
      <family val="3"/>
    </font>
    <font>
      <b/>
      <sz val="1"/>
      <color indexed="8"/>
      <name val="Courier"/>
      <family val="3"/>
    </font>
    <font>
      <sz val="10"/>
      <color indexed="16"/>
      <name val="MS Serif"/>
      <family val="1"/>
    </font>
    <font>
      <i/>
      <sz val="11"/>
      <color indexed="23"/>
      <name val="Calibri"/>
      <family val="2"/>
    </font>
    <font>
      <sz val="11"/>
      <color indexed="17"/>
      <name val="Calibri"/>
      <family val="2"/>
    </font>
    <font>
      <b/>
      <sz val="12"/>
      <color indexed="9"/>
      <name val="Tms Rmn"/>
    </font>
    <font>
      <b/>
      <sz val="15"/>
      <color indexed="56"/>
      <name val="Calibri"/>
      <family val="2"/>
    </font>
    <font>
      <sz val="18"/>
      <name val="Times New Roman"/>
      <family val="1"/>
    </font>
    <font>
      <b/>
      <sz val="13"/>
      <color indexed="56"/>
      <name val="Calibri"/>
      <family val="2"/>
    </font>
    <font>
      <b/>
      <sz val="13"/>
      <color indexed="56"/>
      <name val="Calibri"/>
      <family val="2"/>
      <scheme val="minor"/>
    </font>
    <font>
      <b/>
      <sz val="11"/>
      <color indexed="56"/>
      <name val="Calibri"/>
      <family val="2"/>
    </font>
    <font>
      <b/>
      <sz val="8"/>
      <name val="MS Sans Serif"/>
      <family val="2"/>
    </font>
    <font>
      <u/>
      <sz val="9"/>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name val="Arial Unicode MS"/>
      <family val="2"/>
    </font>
    <font>
      <sz val="9"/>
      <name val="Courier"/>
      <family val="3"/>
    </font>
    <font>
      <sz val="11"/>
      <name val="Times New Roman"/>
      <family val="1"/>
    </font>
    <font>
      <b/>
      <sz val="9"/>
      <color indexed="8"/>
      <name val="Tahoma"/>
      <family val="2"/>
    </font>
    <font>
      <b/>
      <sz val="11"/>
      <color indexed="63"/>
      <name val="Calibri"/>
      <family val="2"/>
    </font>
    <font>
      <sz val="8"/>
      <name val="Wingdings"/>
      <charset val="2"/>
    </font>
    <font>
      <sz val="8"/>
      <name val="Helv"/>
    </font>
    <font>
      <sz val="8"/>
      <name val="MS Sans Serif"/>
      <family val="2"/>
    </font>
    <font>
      <b/>
      <sz val="14"/>
      <color indexed="9"/>
      <name val="Arial"/>
      <family val="2"/>
    </font>
    <font>
      <b/>
      <sz val="14"/>
      <name val="Arial"/>
      <family val="2"/>
    </font>
    <font>
      <b/>
      <sz val="12"/>
      <color indexed="9"/>
      <name val="Arial"/>
      <family val="2"/>
    </font>
    <font>
      <b/>
      <sz val="10"/>
      <color indexed="9"/>
      <name val="Arial"/>
      <family val="2"/>
    </font>
    <font>
      <b/>
      <i/>
      <sz val="8"/>
      <color indexed="9"/>
      <name val="Arial"/>
      <family val="2"/>
    </font>
    <font>
      <b/>
      <sz val="8"/>
      <name val="Arial"/>
      <family val="2"/>
    </font>
    <font>
      <b/>
      <sz val="8"/>
      <color indexed="8"/>
      <name val="Helv"/>
    </font>
    <font>
      <b/>
      <sz val="18"/>
      <color indexed="56"/>
      <name val="Cambria"/>
      <family val="2"/>
    </font>
    <font>
      <sz val="11"/>
      <color indexed="10"/>
      <name val="Calibri"/>
      <family val="2"/>
    </font>
    <font>
      <b/>
      <sz val="10"/>
      <color theme="1"/>
      <name val="Calibri"/>
      <family val="2"/>
      <scheme val="minor"/>
    </font>
    <font>
      <b/>
      <sz val="16"/>
      <name val="Calibri"/>
      <family val="2"/>
      <scheme val="minor"/>
    </font>
    <font>
      <sz val="14"/>
      <color theme="1"/>
      <name val="Wingdings 2"/>
      <family val="1"/>
      <charset val="2"/>
    </font>
    <font>
      <sz val="11"/>
      <color theme="7" tint="-0.249977111117893"/>
      <name val="Calibri"/>
      <family val="2"/>
      <scheme val="minor"/>
    </font>
    <font>
      <sz val="11"/>
      <color rgb="FF0070C0"/>
      <name val="Calibri"/>
      <family val="2"/>
      <scheme val="minor"/>
    </font>
    <font>
      <sz val="10"/>
      <name val="Calibri"/>
      <family val="2"/>
      <scheme val="minor"/>
    </font>
    <font>
      <sz val="11"/>
      <color theme="1"/>
      <name val="Wingdings 2"/>
      <family val="1"/>
      <charset val="2"/>
    </font>
    <font>
      <b/>
      <sz val="10"/>
      <color rgb="FFFFFFFF"/>
      <name val="Calibri"/>
      <family val="2"/>
    </font>
    <font>
      <sz val="10"/>
      <color rgb="FF000000"/>
      <name val="Calibri"/>
      <family val="2"/>
    </font>
    <font>
      <b/>
      <sz val="11"/>
      <color rgb="FF000000"/>
      <name val="Calibri"/>
      <family val="2"/>
      <scheme val="minor"/>
    </font>
  </fonts>
  <fills count="89">
    <fill>
      <patternFill patternType="none"/>
    </fill>
    <fill>
      <patternFill patternType="gray125"/>
    </fill>
    <fill>
      <patternFill patternType="solid">
        <fgColor rgb="FF808080"/>
        <bgColor indexed="64"/>
      </patternFill>
    </fill>
    <fill>
      <patternFill patternType="solid">
        <fgColor theme="1"/>
        <bgColor indexed="64"/>
      </patternFill>
    </fill>
    <fill>
      <patternFill patternType="solid">
        <fgColor rgb="FFFF0000"/>
        <bgColor indexed="64"/>
      </patternFill>
    </fill>
    <fill>
      <patternFill patternType="solid">
        <fgColor rgb="FFFFCCCC"/>
        <bgColor indexed="64"/>
      </patternFill>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FFCC"/>
        <bgColor indexed="64"/>
      </patternFill>
    </fill>
    <fill>
      <patternFill patternType="solid">
        <fgColor rgb="FF00B050"/>
        <bgColor indexed="64"/>
      </patternFill>
    </fill>
    <fill>
      <patternFill patternType="solid">
        <fgColor rgb="FFFFFF00"/>
        <bgColor indexed="64"/>
      </patternFill>
    </fill>
    <fill>
      <patternFill patternType="solid">
        <fgColor rgb="FF00B0F0"/>
        <bgColor indexed="64"/>
      </patternFill>
    </fill>
    <fill>
      <patternFill patternType="solid">
        <fgColor theme="1" tint="0.249977111117893"/>
        <bgColor indexed="64"/>
      </patternFill>
    </fill>
    <fill>
      <patternFill patternType="solid">
        <fgColor rgb="FFFFFF99"/>
        <bgColor indexed="64"/>
      </patternFill>
    </fill>
    <fill>
      <patternFill patternType="solid">
        <fgColor theme="6" tint="0.39997558519241921"/>
        <bgColor indexed="64"/>
      </patternFill>
    </fill>
    <fill>
      <patternFill patternType="solid">
        <fgColor rgb="FF00B050"/>
        <bgColor rgb="FF000000"/>
      </patternFill>
    </fill>
    <fill>
      <patternFill patternType="solid">
        <fgColor theme="0" tint="-0.249977111117893"/>
        <bgColor indexed="64"/>
      </patternFill>
    </fill>
    <fill>
      <patternFill patternType="solid">
        <fgColor rgb="FFFFFF00"/>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13"/>
      </patternFill>
    </fill>
    <fill>
      <patternFill patternType="solid">
        <fgColor indexed="19"/>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9"/>
      </patternFill>
    </fill>
    <fill>
      <patternFill patternType="solid">
        <fgColor indexed="22"/>
        <bgColor indexed="64"/>
      </patternFill>
    </fill>
    <fill>
      <patternFill patternType="solid">
        <fgColor indexed="13"/>
        <bgColor indexed="64"/>
      </patternFill>
    </fill>
    <fill>
      <patternFill patternType="solid">
        <fgColor indexed="26"/>
        <bgColor indexed="64"/>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65"/>
        <bgColor indexed="64"/>
      </patternFill>
    </fill>
    <fill>
      <patternFill patternType="solid">
        <fgColor indexed="43"/>
      </patternFill>
    </fill>
    <fill>
      <patternFill patternType="solid">
        <fgColor indexed="26"/>
      </patternFill>
    </fill>
    <fill>
      <patternFill patternType="darkVertical"/>
    </fill>
    <fill>
      <patternFill patternType="solid">
        <fgColor indexed="63"/>
        <bgColor indexed="64"/>
      </patternFill>
    </fill>
    <fill>
      <patternFill patternType="solid">
        <fgColor indexed="8"/>
        <bgColor indexed="64"/>
      </patternFill>
    </fill>
    <fill>
      <patternFill patternType="solid">
        <fgColor indexed="62"/>
        <bgColor indexed="64"/>
      </patternFill>
    </fill>
    <fill>
      <patternFill patternType="solid">
        <fgColor theme="7" tint="0.39997558519241921"/>
        <bgColor indexed="64"/>
      </patternFill>
    </fill>
    <fill>
      <patternFill patternType="solid">
        <fgColor theme="8"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rgb="FFFF0000"/>
        <bgColor rgb="FF000000"/>
      </patternFill>
    </fill>
    <fill>
      <patternFill patternType="solid">
        <fgColor theme="0" tint="-0.499984740745262"/>
        <bgColor indexed="64"/>
      </patternFill>
    </fill>
  </fills>
  <borders count="84">
    <border>
      <left/>
      <right/>
      <top/>
      <bottom/>
      <diagonal/>
    </border>
    <border>
      <left style="thin">
        <color indexed="64"/>
      </left>
      <right style="thin">
        <color indexed="64"/>
      </right>
      <top style="medium">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style="medium">
        <color indexed="64"/>
      </top>
      <bottom/>
      <diagonal/>
    </border>
    <border>
      <left style="thin">
        <color auto="1"/>
      </left>
      <right/>
      <top style="thin">
        <color auto="1"/>
      </top>
      <bottom style="thin">
        <color auto="1"/>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auto="1"/>
      </top>
      <bottom style="thin">
        <color indexed="64"/>
      </bottom>
      <diagonal/>
    </border>
    <border>
      <left/>
      <right style="thin">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medium">
        <color indexed="64"/>
      </bottom>
      <diagonal/>
    </border>
    <border>
      <left style="medium">
        <color indexed="64"/>
      </left>
      <right/>
      <top/>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right/>
      <top style="thin">
        <color indexed="64"/>
      </top>
      <bottom/>
      <diagonal/>
    </border>
    <border>
      <left style="thin">
        <color indexed="64"/>
      </left>
      <right style="thin">
        <color indexed="64"/>
      </right>
      <top/>
      <bottom style="thin">
        <color indexed="64"/>
      </bottom>
      <diagonal/>
    </border>
    <border>
      <left style="medium">
        <color theme="0"/>
      </left>
      <right style="medium">
        <color theme="0"/>
      </right>
      <top style="medium">
        <color indexed="64"/>
      </top>
      <bottom/>
      <diagonal/>
    </border>
    <border>
      <left/>
      <right/>
      <top style="medium">
        <color indexed="64"/>
      </top>
      <bottom/>
      <diagonal/>
    </border>
    <border>
      <left style="medium">
        <color theme="0"/>
      </left>
      <right/>
      <top style="medium">
        <color indexed="64"/>
      </top>
      <bottom/>
      <diagonal/>
    </border>
    <border>
      <left/>
      <right style="medium">
        <color indexed="64"/>
      </right>
      <top style="medium">
        <color indexed="64"/>
      </top>
      <bottom/>
      <diagonal/>
    </border>
    <border>
      <left/>
      <right style="medium">
        <color theme="0"/>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2"/>
      </left>
      <right style="thin">
        <color indexed="22"/>
      </right>
      <top style="thin">
        <color indexed="22"/>
      </top>
      <bottom style="thin">
        <color indexed="22"/>
      </bottom>
      <diagonal/>
    </border>
    <border>
      <left/>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double">
        <color indexed="0"/>
      </top>
      <bottom/>
      <diagonal/>
    </border>
    <border>
      <left style="medium">
        <color theme="0"/>
      </left>
      <right style="medium">
        <color theme="0"/>
      </right>
      <top style="medium">
        <color indexed="64"/>
      </top>
      <bottom style="medium">
        <color theme="0"/>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style="hair">
        <color auto="1"/>
      </left>
      <right style="hair">
        <color auto="1"/>
      </right>
      <top style="hair">
        <color auto="1"/>
      </top>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style="hair">
        <color auto="1"/>
      </right>
      <top style="hair">
        <color auto="1"/>
      </top>
      <bottom style="hair">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style="hair">
        <color auto="1"/>
      </right>
      <top/>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hair">
        <color theme="1" tint="0.499984740745262"/>
      </bottom>
      <diagonal/>
    </border>
    <border>
      <left style="medium">
        <color indexed="64"/>
      </left>
      <right style="thin">
        <color auto="1"/>
      </right>
      <top style="medium">
        <color indexed="64"/>
      </top>
      <bottom/>
      <diagonal/>
    </border>
    <border>
      <left style="medium">
        <color indexed="64"/>
      </left>
      <right style="thin">
        <color auto="1"/>
      </right>
      <top/>
      <bottom/>
      <diagonal/>
    </border>
  </borders>
  <cellStyleXfs count="40041">
    <xf numFmtId="0" fontId="0" fillId="0"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7" fillId="0" borderId="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31" borderId="0" applyNumberFormat="0" applyBorder="0" applyAlignment="0" applyProtection="0"/>
    <xf numFmtId="0" fontId="7" fillId="31" borderId="0" applyNumberFormat="0" applyBorder="0" applyAlignment="0" applyProtection="0"/>
    <xf numFmtId="0" fontId="7" fillId="31"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43" fontId="35" fillId="0" borderId="0" applyFont="0" applyFill="0" applyBorder="0" applyAlignment="0" applyProtection="0"/>
    <xf numFmtId="0" fontId="37" fillId="0" borderId="0"/>
    <xf numFmtId="0" fontId="3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2" fillId="0" borderId="0" applyFont="0" applyFill="0" applyBorder="0" applyAlignment="0" applyProtection="0"/>
    <xf numFmtId="0" fontId="37" fillId="0" borderId="0"/>
    <xf numFmtId="43" fontId="7" fillId="0" borderId="0" applyFont="0" applyFill="0" applyBorder="0" applyAlignment="0" applyProtection="0"/>
    <xf numFmtId="43" fontId="7"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44" fontId="35" fillId="0" borderId="0" applyFont="0" applyFill="0" applyBorder="0" applyAlignment="0" applyProtection="0"/>
    <xf numFmtId="0" fontId="31" fillId="0" borderId="0"/>
    <xf numFmtId="0" fontId="35" fillId="0" borderId="0"/>
    <xf numFmtId="170" fontId="35" fillId="0" borderId="0"/>
    <xf numFmtId="0" fontId="35" fillId="0" borderId="0"/>
    <xf numFmtId="0" fontId="37" fillId="0" borderId="0"/>
    <xf numFmtId="0" fontId="37" fillId="0" borderId="0"/>
    <xf numFmtId="0" fontId="35" fillId="0" borderId="0"/>
    <xf numFmtId="0" fontId="35" fillId="0" borderId="0"/>
    <xf numFmtId="0" fontId="7" fillId="0" borderId="0"/>
    <xf numFmtId="0" fontId="38" fillId="0" borderId="0"/>
    <xf numFmtId="0" fontId="7" fillId="0" borderId="0"/>
    <xf numFmtId="0" fontId="35" fillId="0" borderId="0"/>
    <xf numFmtId="0" fontId="37" fillId="0" borderId="0"/>
    <xf numFmtId="0" fontId="37" fillId="0" borderId="0"/>
    <xf numFmtId="0" fontId="7" fillId="0" borderId="0"/>
    <xf numFmtId="0" fontId="7" fillId="0" borderId="0"/>
    <xf numFmtId="0" fontId="7" fillId="0" borderId="0"/>
    <xf numFmtId="0" fontId="37" fillId="0" borderId="0"/>
    <xf numFmtId="0" fontId="37" fillId="0" borderId="0"/>
    <xf numFmtId="0" fontId="37" fillId="0" borderId="0"/>
    <xf numFmtId="0" fontId="37" fillId="0" borderId="0"/>
    <xf numFmtId="0" fontId="7" fillId="25" borderId="50" applyNumberFormat="0" applyFont="0" applyAlignment="0" applyProtection="0"/>
    <xf numFmtId="0" fontId="7" fillId="25" borderId="50" applyNumberFormat="0" applyFont="0" applyAlignment="0" applyProtection="0"/>
    <xf numFmtId="0" fontId="7" fillId="25" borderId="50" applyNumberFormat="0" applyFont="0" applyAlignment="0" applyProtection="0"/>
    <xf numFmtId="0" fontId="7" fillId="25" borderId="50" applyNumberFormat="0" applyFont="0" applyAlignment="0" applyProtection="0"/>
    <xf numFmtId="9" fontId="32" fillId="0" borderId="0" applyFont="0" applyFill="0" applyBorder="0" applyAlignment="0" applyProtection="0"/>
    <xf numFmtId="0" fontId="37" fillId="0" borderId="0"/>
    <xf numFmtId="0" fontId="37" fillId="0" borderId="0"/>
    <xf numFmtId="0" fontId="35" fillId="0" borderId="0">
      <alignment vertical="top"/>
    </xf>
    <xf numFmtId="0" fontId="42" fillId="0" borderId="0"/>
    <xf numFmtId="0" fontId="42" fillId="0" borderId="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43" fillId="50" borderId="0" applyNumberFormat="0" applyBorder="0" applyAlignment="0" applyProtection="0"/>
    <xf numFmtId="0" fontId="43" fillId="51" borderId="0" applyNumberFormat="0" applyBorder="0" applyAlignment="0" applyProtection="0"/>
    <xf numFmtId="0" fontId="43" fillId="52" borderId="0" applyNumberFormat="0" applyBorder="0" applyAlignment="0" applyProtection="0"/>
    <xf numFmtId="0" fontId="43" fillId="53" borderId="0" applyNumberFormat="0" applyBorder="0" applyAlignment="0" applyProtection="0"/>
    <xf numFmtId="0" fontId="43" fillId="54" borderId="0" applyNumberFormat="0" applyBorder="0" applyAlignment="0" applyProtection="0"/>
    <xf numFmtId="0" fontId="43" fillId="55" borderId="0" applyNumberFormat="0" applyBorder="0" applyAlignment="0" applyProtection="0"/>
    <xf numFmtId="0" fontId="42" fillId="50" borderId="0" applyNumberFormat="0" applyBorder="0" applyAlignment="0" applyProtection="0"/>
    <xf numFmtId="0" fontId="42" fillId="50"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1" borderId="0" applyNumberFormat="0" applyBorder="0" applyAlignment="0" applyProtection="0"/>
    <xf numFmtId="0" fontId="42" fillId="51"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2" borderId="0" applyNumberFormat="0" applyBorder="0" applyAlignment="0" applyProtection="0"/>
    <xf numFmtId="0" fontId="42" fillId="52"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7"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6"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4"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42" fillId="55"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42" fillId="59" borderId="0" applyNumberFormat="0" applyBorder="0" applyAlignment="0" applyProtection="0"/>
    <xf numFmtId="0" fontId="42" fillId="59" borderId="0" applyNumberFormat="0" applyBorder="0" applyAlignment="0" applyProtection="0"/>
    <xf numFmtId="0" fontId="42" fillId="59" borderId="0" applyNumberFormat="0" applyBorder="0" applyAlignment="0" applyProtection="0"/>
    <xf numFmtId="0" fontId="42" fillId="59" borderId="0" applyNumberFormat="0" applyBorder="0" applyAlignment="0" applyProtection="0"/>
    <xf numFmtId="0" fontId="42" fillId="59" borderId="0" applyNumberFormat="0" applyBorder="0" applyAlignment="0" applyProtection="0"/>
    <xf numFmtId="0" fontId="42" fillId="59" borderId="0" applyNumberFormat="0" applyBorder="0" applyAlignment="0" applyProtection="0"/>
    <xf numFmtId="0" fontId="42" fillId="59" borderId="0" applyNumberFormat="0" applyBorder="0" applyAlignment="0" applyProtection="0"/>
    <xf numFmtId="0" fontId="42" fillId="59" borderId="0" applyNumberFormat="0" applyBorder="0" applyAlignment="0" applyProtection="0"/>
    <xf numFmtId="0" fontId="42" fillId="59" borderId="0" applyNumberFormat="0" applyBorder="0" applyAlignment="0" applyProtection="0"/>
    <xf numFmtId="0" fontId="42" fillId="59" borderId="0" applyNumberFormat="0" applyBorder="0" applyAlignment="0" applyProtection="0"/>
    <xf numFmtId="0" fontId="42" fillId="59" borderId="0" applyNumberFormat="0" applyBorder="0" applyAlignment="0" applyProtection="0"/>
    <xf numFmtId="0" fontId="42" fillId="59" borderId="0" applyNumberFormat="0" applyBorder="0" applyAlignment="0" applyProtection="0"/>
    <xf numFmtId="0" fontId="42" fillId="59" borderId="0" applyNumberFormat="0" applyBorder="0" applyAlignment="0" applyProtection="0"/>
    <xf numFmtId="0" fontId="42" fillId="59" borderId="0" applyNumberFormat="0" applyBorder="0" applyAlignment="0" applyProtection="0"/>
    <xf numFmtId="0" fontId="42" fillId="59" borderId="0" applyNumberFormat="0" applyBorder="0" applyAlignment="0" applyProtection="0"/>
    <xf numFmtId="0" fontId="42" fillId="59" borderId="0" applyNumberFormat="0" applyBorder="0" applyAlignment="0" applyProtection="0"/>
    <xf numFmtId="0" fontId="42" fillId="59" borderId="0" applyNumberFormat="0" applyBorder="0" applyAlignment="0" applyProtection="0"/>
    <xf numFmtId="0" fontId="42" fillId="59" borderId="0" applyNumberFormat="0" applyBorder="0" applyAlignment="0" applyProtection="0"/>
    <xf numFmtId="0" fontId="42" fillId="59" borderId="0" applyNumberFormat="0" applyBorder="0" applyAlignment="0" applyProtection="0"/>
    <xf numFmtId="0" fontId="42" fillId="59" borderId="0" applyNumberFormat="0" applyBorder="0" applyAlignment="0" applyProtection="0"/>
    <xf numFmtId="0" fontId="42" fillId="59" borderId="0" applyNumberFormat="0" applyBorder="0" applyAlignment="0" applyProtection="0"/>
    <xf numFmtId="0" fontId="42" fillId="59" borderId="0" applyNumberFormat="0" applyBorder="0" applyAlignment="0" applyProtection="0"/>
    <xf numFmtId="0" fontId="42" fillId="59"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42" fillId="61"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43" fillId="58" borderId="0" applyNumberFormat="0" applyBorder="0" applyAlignment="0" applyProtection="0"/>
    <xf numFmtId="0" fontId="43" fillId="59" borderId="0" applyNumberFormat="0" applyBorder="0" applyAlignment="0" applyProtection="0"/>
    <xf numFmtId="0" fontId="43" fillId="60" borderId="0" applyNumberFormat="0" applyBorder="0" applyAlignment="0" applyProtection="0"/>
    <xf numFmtId="0" fontId="43" fillId="53" borderId="0" applyNumberFormat="0" applyBorder="0" applyAlignment="0" applyProtection="0"/>
    <xf numFmtId="0" fontId="43" fillId="58" borderId="0" applyNumberFormat="0" applyBorder="0" applyAlignment="0" applyProtection="0"/>
    <xf numFmtId="0" fontId="43" fillId="61"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62" borderId="0" applyNumberFormat="0" applyBorder="0" applyAlignment="0" applyProtection="0"/>
    <xf numFmtId="0" fontId="42" fillId="59" borderId="0" applyNumberFormat="0" applyBorder="0" applyAlignment="0" applyProtection="0"/>
    <xf numFmtId="0" fontId="42" fillId="59"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0" borderId="0" applyNumberFormat="0" applyBorder="0" applyAlignment="0" applyProtection="0"/>
    <xf numFmtId="0" fontId="42" fillId="60"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63" borderId="0" applyNumberFormat="0" applyBorder="0" applyAlignment="0" applyProtection="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24" fillId="20" borderId="0" applyNumberFormat="0" applyBorder="0" applyAlignment="0" applyProtection="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43" fontId="7"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43" fontId="42"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43" fontId="35"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43" fontId="35"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43" fontId="35"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43" fontId="35"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3" fontId="44"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44" fontId="35"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5" fontId="44"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4"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2" fontId="44" fillId="0" borderId="0" applyFont="0" applyFill="0" applyBorder="0" applyAlignment="0" applyProtection="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5" fillId="0" borderId="0" applyNumberFormat="0" applyFill="0" applyBorder="0" applyAlignment="0" applyProtection="0">
      <alignment vertical="top"/>
      <protection locked="0"/>
    </xf>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35"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3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3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3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37" fillId="0" borderId="0"/>
    <xf numFmtId="0" fontId="37" fillId="0" borderId="0"/>
    <xf numFmtId="0" fontId="37" fillId="0" borderId="0"/>
    <xf numFmtId="0" fontId="37" fillId="0" borderId="0"/>
    <xf numFmtId="0" fontId="37" fillId="0" borderId="0"/>
    <xf numFmtId="0" fontId="37" fillId="0" borderId="0"/>
    <xf numFmtId="9"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7" fillId="27" borderId="0" applyNumberFormat="0" applyBorder="0" applyAlignment="0" applyProtection="0"/>
    <xf numFmtId="0" fontId="7" fillId="31"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47" borderId="0" applyNumberFormat="0" applyBorder="0" applyAlignment="0" applyProtection="0"/>
    <xf numFmtId="0" fontId="7" fillId="28"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8" borderId="0" applyNumberFormat="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35"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42" fillId="0" borderId="0" applyFont="0" applyFill="0" applyBorder="0" applyAlignment="0" applyProtection="0"/>
    <xf numFmtId="43" fontId="47" fillId="0" borderId="0" applyFont="0" applyFill="0" applyBorder="0" applyAlignment="0" applyProtection="0"/>
    <xf numFmtId="0" fontId="37" fillId="0" borderId="0"/>
    <xf numFmtId="43" fontId="35"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35"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42" fillId="0" borderId="0" applyFont="0" applyFill="0" applyBorder="0" applyAlignment="0" applyProtection="0"/>
    <xf numFmtId="0" fontId="37" fillId="0" borderId="0"/>
    <xf numFmtId="43" fontId="35" fillId="0" borderId="0" applyFont="0" applyFill="0" applyBorder="0" applyAlignment="0" applyProtection="0"/>
    <xf numFmtId="43" fontId="42"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35"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37" fillId="0" borderId="0"/>
    <xf numFmtId="43" fontId="35" fillId="0" borderId="0" applyFont="0" applyFill="0" applyBorder="0" applyAlignment="0" applyProtection="0"/>
    <xf numFmtId="43" fontId="35"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35" fillId="0" borderId="0" applyFont="0" applyFill="0" applyBorder="0" applyAlignment="0" applyProtection="0"/>
    <xf numFmtId="42" fontId="33" fillId="0" borderId="0"/>
    <xf numFmtId="43" fontId="35"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35"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37" fillId="0" borderId="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37" fillId="0" borderId="0"/>
    <xf numFmtId="0" fontId="48" fillId="0" borderId="0"/>
    <xf numFmtId="0" fontId="48" fillId="0" borderId="0"/>
    <xf numFmtId="0" fontId="48" fillId="0" borderId="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2" fontId="35" fillId="0" borderId="0" applyFont="0" applyFill="0" applyBorder="0" applyAlignment="0" applyProtection="0"/>
    <xf numFmtId="172" fontId="35" fillId="0" borderId="0" applyFont="0" applyFill="0" applyBorder="0" applyAlignment="0" applyProtection="0"/>
    <xf numFmtId="172"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0" fontId="4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9" fillId="0" borderId="0"/>
    <xf numFmtId="0" fontId="49" fillId="0" borderId="0"/>
    <xf numFmtId="0" fontId="35" fillId="0" borderId="0"/>
    <xf numFmtId="0" fontId="35" fillId="0" borderId="0"/>
    <xf numFmtId="0" fontId="35"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173" fontId="50" fillId="0" borderId="0"/>
    <xf numFmtId="0" fontId="35"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7" fillId="0" borderId="0"/>
    <xf numFmtId="0" fontId="35" fillId="0" borderId="0"/>
    <xf numFmtId="0" fontId="35" fillId="0" borderId="0"/>
    <xf numFmtId="0" fontId="35" fillId="0" borderId="0"/>
    <xf numFmtId="0" fontId="7" fillId="0" borderId="0"/>
    <xf numFmtId="0" fontId="37" fillId="0" borderId="0"/>
    <xf numFmtId="0" fontId="35" fillId="0" borderId="0"/>
    <xf numFmtId="0" fontId="35" fillId="0" borderId="0"/>
    <xf numFmtId="0" fontId="33" fillId="0" borderId="0"/>
    <xf numFmtId="0" fontId="35" fillId="0" borderId="0"/>
    <xf numFmtId="0" fontId="35" fillId="0" borderId="0"/>
    <xf numFmtId="0" fontId="35" fillId="0" borderId="0"/>
    <xf numFmtId="0" fontId="35" fillId="0" borderId="0"/>
    <xf numFmtId="0" fontId="35"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7" fillId="0" borderId="0"/>
    <xf numFmtId="0" fontId="35" fillId="0" borderId="0"/>
    <xf numFmtId="0" fontId="35" fillId="0" borderId="0"/>
    <xf numFmtId="0" fontId="7" fillId="0" borderId="0"/>
    <xf numFmtId="0" fontId="7" fillId="0" borderId="0"/>
    <xf numFmtId="0" fontId="35" fillId="0" borderId="0"/>
    <xf numFmtId="0" fontId="47"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5"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35" fillId="0" borderId="0"/>
    <xf numFmtId="0" fontId="4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5" fillId="0" borderId="0"/>
    <xf numFmtId="0" fontId="35"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5" fillId="0" borderId="0"/>
    <xf numFmtId="0" fontId="7" fillId="0" borderId="0"/>
    <xf numFmtId="0" fontId="3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5" fillId="0" borderId="0"/>
    <xf numFmtId="0" fontId="7" fillId="0" borderId="0"/>
    <xf numFmtId="0" fontId="33"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5" fillId="0" borderId="0"/>
    <xf numFmtId="0" fontId="35"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5"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5" fillId="0" borderId="0"/>
    <xf numFmtId="0" fontId="7" fillId="0" borderId="0"/>
    <xf numFmtId="0" fontId="3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7" fillId="0" borderId="0"/>
    <xf numFmtId="0" fontId="7" fillId="0" borderId="0"/>
    <xf numFmtId="0" fontId="7" fillId="0" borderId="0"/>
    <xf numFmtId="0" fontId="7" fillId="0" borderId="0"/>
    <xf numFmtId="0" fontId="7" fillId="0" borderId="0"/>
    <xf numFmtId="0" fontId="7" fillId="0" borderId="0"/>
    <xf numFmtId="0" fontId="7" fillId="0" borderId="0"/>
    <xf numFmtId="0" fontId="37" fillId="0" borderId="0"/>
    <xf numFmtId="0" fontId="3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2" fillId="25" borderId="50" applyNumberFormat="0" applyFont="0" applyAlignment="0" applyProtection="0"/>
    <xf numFmtId="0" fontId="42" fillId="25" borderId="50" applyNumberFormat="0" applyFont="0" applyAlignment="0" applyProtection="0"/>
    <xf numFmtId="0" fontId="42" fillId="25" borderId="50" applyNumberFormat="0" applyFont="0" applyAlignment="0" applyProtection="0"/>
    <xf numFmtId="0" fontId="42" fillId="25" borderId="50" applyNumberFormat="0" applyFont="0" applyAlignment="0" applyProtection="0"/>
    <xf numFmtId="0" fontId="42" fillId="25" borderId="50" applyNumberFormat="0" applyFont="0" applyAlignment="0" applyProtection="0"/>
    <xf numFmtId="10" fontId="35" fillId="0" borderId="0" applyFont="0" applyFill="0" applyBorder="0" applyAlignment="0" applyProtection="0"/>
    <xf numFmtId="10" fontId="35" fillId="0" borderId="0" applyFont="0" applyFill="0" applyBorder="0" applyAlignment="0" applyProtection="0"/>
    <xf numFmtId="10"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35"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0" fontId="37" fillId="0" borderId="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42" fillId="0" borderId="0" applyFont="0" applyFill="0" applyBorder="0" applyAlignment="0" applyProtection="0"/>
    <xf numFmtId="0" fontId="33" fillId="65" borderId="52" applyFont="0" applyBorder="0" applyAlignment="0"/>
    <xf numFmtId="0" fontId="37" fillId="0" borderId="0"/>
    <xf numFmtId="0" fontId="7" fillId="27" borderId="0" applyNumberFormat="0" applyBorder="0" applyAlignment="0" applyProtection="0"/>
    <xf numFmtId="0" fontId="7" fillId="31"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28" borderId="0" applyNumberFormat="0" applyBorder="0" applyAlignment="0" applyProtection="0"/>
    <xf numFmtId="0" fontId="7" fillId="32"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4" borderId="0" applyNumberFormat="0" applyBorder="0" applyAlignment="0" applyProtection="0"/>
    <xf numFmtId="0" fontId="7" fillId="48" borderId="0" applyNumberFormat="0" applyBorder="0" applyAlignment="0" applyProtection="0"/>
    <xf numFmtId="5" fontId="52" fillId="0" borderId="36"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53" fillId="0" borderId="0" applyNumberFormat="0" applyFont="0" applyFill="0" applyBorder="0" applyProtection="0">
      <alignment vertical="center"/>
    </xf>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4" fontId="35" fillId="0" borderId="0" applyFont="0" applyFill="0" applyBorder="0" applyAlignment="0" applyProtection="0"/>
    <xf numFmtId="44" fontId="35" fillId="0" borderId="0" applyFont="0" applyFill="0" applyBorder="0" applyAlignment="0" applyProtection="0"/>
    <xf numFmtId="44" fontId="7" fillId="0" borderId="0" applyFont="0" applyFill="0" applyBorder="0" applyAlignment="0" applyProtection="0"/>
    <xf numFmtId="44" fontId="35" fillId="0" borderId="0" applyFont="0" applyFill="0" applyBorder="0" applyAlignment="0" applyProtection="0"/>
    <xf numFmtId="44" fontId="35" fillId="0" borderId="0" applyFont="0" applyFill="0" applyBorder="0" applyAlignment="0" applyProtection="0"/>
    <xf numFmtId="44" fontId="35" fillId="0" borderId="0" applyFont="0" applyFill="0" applyBorder="0" applyAlignment="0" applyProtection="0"/>
    <xf numFmtId="44" fontId="35" fillId="0" borderId="0" applyFont="0" applyFill="0" applyBorder="0" applyAlignment="0" applyProtection="0"/>
    <xf numFmtId="44" fontId="35" fillId="0" borderId="0" applyFont="0" applyFill="0" applyBorder="0" applyAlignment="0" applyProtection="0"/>
    <xf numFmtId="44" fontId="35" fillId="0" borderId="0" applyFont="0" applyFill="0" applyBorder="0" applyAlignment="0" applyProtection="0"/>
    <xf numFmtId="38" fontId="51" fillId="64" borderId="0" applyNumberFormat="0" applyBorder="0" applyAlignment="0" applyProtection="0"/>
    <xf numFmtId="10" fontId="51" fillId="66" borderId="2" applyNumberFormat="0" applyBorder="0" applyAlignment="0" applyProtection="0"/>
    <xf numFmtId="0" fontId="35" fillId="0" borderId="0"/>
    <xf numFmtId="0" fontId="35" fillId="0" borderId="0"/>
    <xf numFmtId="0" fontId="36" fillId="0" borderId="0"/>
    <xf numFmtId="174" fontId="54"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53" fillId="0" borderId="0"/>
    <xf numFmtId="0" fontId="35" fillId="0" borderId="0"/>
    <xf numFmtId="0" fontId="35" fillId="0" borderId="0"/>
    <xf numFmtId="0" fontId="50"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7" fillId="25" borderId="50" applyNumberFormat="0" applyFont="0" applyAlignment="0" applyProtection="0"/>
    <xf numFmtId="0" fontId="7" fillId="25" borderId="50" applyNumberFormat="0" applyFont="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44" fontId="35" fillId="0" borderId="0" applyFont="0" applyFill="0" applyBorder="0" applyAlignment="0" applyProtection="0"/>
    <xf numFmtId="175" fontId="7" fillId="0" borderId="0"/>
    <xf numFmtId="175" fontId="34" fillId="0" borderId="0" pivotButton="1"/>
    <xf numFmtId="175" fontId="7" fillId="0" borderId="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0" fontId="7" fillId="50"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0" fontId="7" fillId="50"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0" fontId="7" fillId="50"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0" fontId="7" fillId="50"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0" fontId="7" fillId="50"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0" fontId="7" fillId="50"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0" fontId="7" fillId="50"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0" fontId="7" fillId="50" borderId="0" applyNumberFormat="0" applyBorder="0" applyAlignment="0" applyProtection="0"/>
    <xf numFmtId="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0" fontId="7" fillId="50"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0" fontId="7" fillId="50"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0" fontId="7" fillId="50"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0" fontId="7" fillId="50"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0" fontId="7" fillId="50"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0" fontId="7" fillId="50"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0" fontId="7" fillId="50"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42" fillId="50"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0" fontId="7" fillId="50"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50" borderId="0" applyNumberFormat="0" applyBorder="0" applyAlignment="0" applyProtection="0"/>
    <xf numFmtId="17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0" fontId="7" fillId="27" borderId="0" applyNumberFormat="0" applyBorder="0" applyAlignment="0" applyProtection="0"/>
    <xf numFmtId="170" fontId="7" fillId="27" borderId="0" applyNumberFormat="0" applyBorder="0" applyAlignment="0" applyProtection="0"/>
    <xf numFmtId="170" fontId="7" fillId="27" borderId="0" applyNumberFormat="0" applyBorder="0" applyAlignment="0" applyProtection="0"/>
    <xf numFmtId="0" fontId="7" fillId="50" borderId="0" applyNumberFormat="0" applyBorder="0" applyAlignment="0" applyProtection="0"/>
    <xf numFmtId="0" fontId="7" fillId="27" borderId="0" applyNumberFormat="0" applyBorder="0" applyAlignment="0" applyProtection="0"/>
    <xf numFmtId="170" fontId="7" fillId="27" borderId="0" applyNumberFormat="0" applyBorder="0" applyAlignment="0" applyProtection="0"/>
    <xf numFmtId="0" fontId="7" fillId="50" borderId="0" applyNumberFormat="0" applyBorder="0" applyAlignment="0" applyProtection="0"/>
    <xf numFmtId="0" fontId="42" fillId="50" borderId="0" applyNumberFormat="0" applyBorder="0" applyAlignment="0" applyProtection="0"/>
    <xf numFmtId="170" fontId="7" fillId="27" borderId="0" applyNumberFormat="0" applyBorder="0" applyAlignment="0" applyProtection="0"/>
    <xf numFmtId="0" fontId="7" fillId="50" borderId="0" applyNumberFormat="0" applyBorder="0" applyAlignment="0" applyProtection="0"/>
    <xf numFmtId="0" fontId="42" fillId="50"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0" fontId="7" fillId="5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0" fontId="7" fillId="5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0" fontId="7" fillId="5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0" fontId="7" fillId="5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0" fontId="7" fillId="5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0" fontId="7" fillId="5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0" fontId="7" fillId="5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0" fontId="7" fillId="51" borderId="0" applyNumberFormat="0" applyBorder="0" applyAlignment="0" applyProtection="0"/>
    <xf numFmtId="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0" fontId="7" fillId="5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0" fontId="7" fillId="5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0" fontId="7" fillId="5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0" fontId="7" fillId="5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0" fontId="7" fillId="5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0" fontId="7" fillId="5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0" fontId="7" fillId="51" borderId="0" applyNumberFormat="0" applyBorder="0" applyAlignment="0" applyProtection="0"/>
    <xf numFmtId="0" fontId="7" fillId="31" borderId="0" applyNumberFormat="0" applyBorder="0" applyAlignment="0" applyProtection="0"/>
    <xf numFmtId="0" fontId="7" fillId="31" borderId="0" applyNumberFormat="0" applyBorder="0" applyAlignment="0" applyProtection="0"/>
    <xf numFmtId="0" fontId="7" fillId="31" borderId="0" applyNumberFormat="0" applyBorder="0" applyAlignment="0" applyProtection="0"/>
    <xf numFmtId="0" fontId="7" fillId="31" borderId="0" applyNumberFormat="0" applyBorder="0" applyAlignment="0" applyProtection="0"/>
    <xf numFmtId="0" fontId="7" fillId="31" borderId="0" applyNumberFormat="0" applyBorder="0" applyAlignment="0" applyProtection="0"/>
    <xf numFmtId="0" fontId="7" fillId="31" borderId="0" applyNumberFormat="0" applyBorder="0" applyAlignment="0" applyProtection="0"/>
    <xf numFmtId="0" fontId="7" fillId="31" borderId="0" applyNumberFormat="0" applyBorder="0" applyAlignment="0" applyProtection="0"/>
    <xf numFmtId="0" fontId="42" fillId="51" borderId="0" applyNumberFormat="0" applyBorder="0" applyAlignment="0" applyProtection="0"/>
    <xf numFmtId="0" fontId="7" fillId="31" borderId="0" applyNumberFormat="0" applyBorder="0" applyAlignment="0" applyProtection="0"/>
    <xf numFmtId="0" fontId="7" fillId="31" borderId="0" applyNumberFormat="0" applyBorder="0" applyAlignment="0" applyProtection="0"/>
    <xf numFmtId="0" fontId="7" fillId="31" borderId="0" applyNumberFormat="0" applyBorder="0" applyAlignment="0" applyProtection="0"/>
    <xf numFmtId="0" fontId="7" fillId="31" borderId="0" applyNumberFormat="0" applyBorder="0" applyAlignment="0" applyProtection="0"/>
    <xf numFmtId="0" fontId="7" fillId="31" borderId="0" applyNumberFormat="0" applyBorder="0" applyAlignment="0" applyProtection="0"/>
    <xf numFmtId="0" fontId="7" fillId="31" borderId="0" applyNumberFormat="0" applyBorder="0" applyAlignment="0" applyProtection="0"/>
    <xf numFmtId="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0" fontId="7" fillId="5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51" borderId="0" applyNumberFormat="0" applyBorder="0" applyAlignment="0" applyProtection="0"/>
    <xf numFmtId="17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0" fontId="7" fillId="31" borderId="0" applyNumberFormat="0" applyBorder="0" applyAlignment="0" applyProtection="0"/>
    <xf numFmtId="170" fontId="7" fillId="31" borderId="0" applyNumberFormat="0" applyBorder="0" applyAlignment="0" applyProtection="0"/>
    <xf numFmtId="170" fontId="7" fillId="31" borderId="0" applyNumberFormat="0" applyBorder="0" applyAlignment="0" applyProtection="0"/>
    <xf numFmtId="0" fontId="7" fillId="51" borderId="0" applyNumberFormat="0" applyBorder="0" applyAlignment="0" applyProtection="0"/>
    <xf numFmtId="0" fontId="7" fillId="31" borderId="0" applyNumberFormat="0" applyBorder="0" applyAlignment="0" applyProtection="0"/>
    <xf numFmtId="170" fontId="7" fillId="31" borderId="0" applyNumberFormat="0" applyBorder="0" applyAlignment="0" applyProtection="0"/>
    <xf numFmtId="0" fontId="7" fillId="51" borderId="0" applyNumberFormat="0" applyBorder="0" applyAlignment="0" applyProtection="0"/>
    <xf numFmtId="0" fontId="42" fillId="51" borderId="0" applyNumberFormat="0" applyBorder="0" applyAlignment="0" applyProtection="0"/>
    <xf numFmtId="170" fontId="7" fillId="31" borderId="0" applyNumberFormat="0" applyBorder="0" applyAlignment="0" applyProtection="0"/>
    <xf numFmtId="0" fontId="7" fillId="51" borderId="0" applyNumberFormat="0" applyBorder="0" applyAlignment="0" applyProtection="0"/>
    <xf numFmtId="0" fontId="42" fillId="51"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0" fontId="7" fillId="52"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0" fontId="7" fillId="52"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0" fontId="7" fillId="52"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0" fontId="7" fillId="52"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0" fontId="7" fillId="52"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0" fontId="7" fillId="52"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0" fontId="7" fillId="52"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0" fontId="7" fillId="52" borderId="0" applyNumberFormat="0" applyBorder="0" applyAlignment="0" applyProtection="0"/>
    <xf numFmtId="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0" fontId="7" fillId="52"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0" fontId="7" fillId="52"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0" fontId="7" fillId="52"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0" fontId="7" fillId="52"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0" fontId="7" fillId="52"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0" fontId="7" fillId="52"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0" fontId="7" fillId="52"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42" fillId="52"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0" fontId="7" fillId="52"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52" borderId="0" applyNumberFormat="0" applyBorder="0" applyAlignment="0" applyProtection="0"/>
    <xf numFmtId="17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0" fontId="7" fillId="35" borderId="0" applyNumberFormat="0" applyBorder="0" applyAlignment="0" applyProtection="0"/>
    <xf numFmtId="170" fontId="7" fillId="35" borderId="0" applyNumberFormat="0" applyBorder="0" applyAlignment="0" applyProtection="0"/>
    <xf numFmtId="170" fontId="7" fillId="35" borderId="0" applyNumberFormat="0" applyBorder="0" applyAlignment="0" applyProtection="0"/>
    <xf numFmtId="0" fontId="7" fillId="52" borderId="0" applyNumberFormat="0" applyBorder="0" applyAlignment="0" applyProtection="0"/>
    <xf numFmtId="0" fontId="7" fillId="35" borderId="0" applyNumberFormat="0" applyBorder="0" applyAlignment="0" applyProtection="0"/>
    <xf numFmtId="170" fontId="7" fillId="35" borderId="0" applyNumberFormat="0" applyBorder="0" applyAlignment="0" applyProtection="0"/>
    <xf numFmtId="0" fontId="7" fillId="52" borderId="0" applyNumberFormat="0" applyBorder="0" applyAlignment="0" applyProtection="0"/>
    <xf numFmtId="0" fontId="42" fillId="52" borderId="0" applyNumberFormat="0" applyBorder="0" applyAlignment="0" applyProtection="0"/>
    <xf numFmtId="170" fontId="7" fillId="35" borderId="0" applyNumberFormat="0" applyBorder="0" applyAlignment="0" applyProtection="0"/>
    <xf numFmtId="0" fontId="7" fillId="52" borderId="0" applyNumberFormat="0" applyBorder="0" applyAlignment="0" applyProtection="0"/>
    <xf numFmtId="0" fontId="42" fillId="52"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0" fontId="7" fillId="53"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0" fontId="7" fillId="53"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0" fontId="7" fillId="53"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0" fontId="7" fillId="53"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0" fontId="7" fillId="53"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0" fontId="7" fillId="53"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0" fontId="7" fillId="53"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0" fontId="7" fillId="53"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0" fontId="7" fillId="53"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0" fontId="7" fillId="53"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0" fontId="7" fillId="53"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0" fontId="7" fillId="53"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0" fontId="7" fillId="53"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42" fillId="53"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0" fontId="7" fillId="53"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53" borderId="0" applyNumberFormat="0" applyBorder="0" applyAlignment="0" applyProtection="0"/>
    <xf numFmtId="17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0" fontId="7" fillId="39" borderId="0" applyNumberFormat="0" applyBorder="0" applyAlignment="0" applyProtection="0"/>
    <xf numFmtId="170" fontId="7" fillId="39" borderId="0" applyNumberFormat="0" applyBorder="0" applyAlignment="0" applyProtection="0"/>
    <xf numFmtId="170" fontId="7" fillId="39" borderId="0" applyNumberFormat="0" applyBorder="0" applyAlignment="0" applyProtection="0"/>
    <xf numFmtId="0" fontId="7" fillId="53" borderId="0" applyNumberFormat="0" applyBorder="0" applyAlignment="0" applyProtection="0"/>
    <xf numFmtId="0" fontId="7" fillId="39" borderId="0" applyNumberFormat="0" applyBorder="0" applyAlignment="0" applyProtection="0"/>
    <xf numFmtId="170" fontId="7" fillId="39" borderId="0" applyNumberFormat="0" applyBorder="0" applyAlignment="0" applyProtection="0"/>
    <xf numFmtId="0" fontId="7" fillId="53" borderId="0" applyNumberFormat="0" applyBorder="0" applyAlignment="0" applyProtection="0"/>
    <xf numFmtId="0" fontId="42" fillId="53" borderId="0" applyNumberFormat="0" applyBorder="0" applyAlignment="0" applyProtection="0"/>
    <xf numFmtId="170" fontId="7" fillId="39" borderId="0" applyNumberFormat="0" applyBorder="0" applyAlignment="0" applyProtection="0"/>
    <xf numFmtId="0" fontId="7" fillId="53" borderId="0" applyNumberFormat="0" applyBorder="0" applyAlignment="0" applyProtection="0"/>
    <xf numFmtId="0" fontId="42" fillId="5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0" fontId="42" fillId="54"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170" fontId="7" fillId="43" borderId="0" applyNumberFormat="0" applyBorder="0" applyAlignment="0" applyProtection="0"/>
    <xf numFmtId="0" fontId="7" fillId="43" borderId="0" applyNumberFormat="0" applyBorder="0" applyAlignment="0" applyProtection="0"/>
    <xf numFmtId="0" fontId="42" fillId="54" borderId="0" applyNumberFormat="0" applyBorder="0" applyAlignment="0" applyProtection="0"/>
    <xf numFmtId="170" fontId="7" fillId="43" borderId="0" applyNumberFormat="0" applyBorder="0" applyAlignment="0" applyProtection="0"/>
    <xf numFmtId="0" fontId="7" fillId="43" borderId="0" applyNumberFormat="0" applyBorder="0" applyAlignment="0" applyProtection="0"/>
    <xf numFmtId="0" fontId="42" fillId="54"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42" fillId="55"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55" borderId="0" applyNumberFormat="0" applyBorder="0" applyAlignment="0" applyProtection="0"/>
    <xf numFmtId="0" fontId="7" fillId="55" borderId="0" applyNumberFormat="0" applyBorder="0" applyAlignment="0" applyProtection="0"/>
    <xf numFmtId="17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170" fontId="7" fillId="47" borderId="0" applyNumberFormat="0" applyBorder="0" applyAlignment="0" applyProtection="0"/>
    <xf numFmtId="0" fontId="7" fillId="47" borderId="0" applyNumberFormat="0" applyBorder="0" applyAlignment="0" applyProtection="0"/>
    <xf numFmtId="0" fontId="42" fillId="55" borderId="0" applyNumberFormat="0" applyBorder="0" applyAlignment="0" applyProtection="0"/>
    <xf numFmtId="170" fontId="7" fillId="47" borderId="0" applyNumberFormat="0" applyBorder="0" applyAlignment="0" applyProtection="0"/>
    <xf numFmtId="0" fontId="7" fillId="47" borderId="0" applyNumberFormat="0" applyBorder="0" applyAlignment="0" applyProtection="0"/>
    <xf numFmtId="0" fontId="42" fillId="55"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42" fillId="5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58" borderId="0" applyNumberFormat="0" applyBorder="0" applyAlignment="0" applyProtection="0"/>
    <xf numFmtId="0" fontId="7" fillId="58" borderId="0" applyNumberFormat="0" applyBorder="0" applyAlignment="0" applyProtection="0"/>
    <xf numFmtId="170" fontId="7" fillId="58" borderId="0" applyNumberFormat="0" applyBorder="0" applyAlignment="0" applyProtection="0"/>
    <xf numFmtId="0" fontId="7" fillId="58" borderId="0" applyNumberFormat="0" applyBorder="0" applyAlignment="0" applyProtection="0"/>
    <xf numFmtId="0" fontId="7" fillId="58" borderId="0" applyNumberFormat="0" applyBorder="0" applyAlignment="0" applyProtection="0"/>
    <xf numFmtId="0" fontId="7" fillId="58" borderId="0" applyNumberFormat="0" applyBorder="0" applyAlignment="0" applyProtection="0"/>
    <xf numFmtId="0" fontId="7" fillId="58" borderId="0" applyNumberFormat="0" applyBorder="0" applyAlignment="0" applyProtection="0"/>
    <xf numFmtId="0" fontId="7" fillId="58" borderId="0" applyNumberFormat="0" applyBorder="0" applyAlignment="0" applyProtection="0"/>
    <xf numFmtId="0" fontId="7" fillId="5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170" fontId="7" fillId="28" borderId="0" applyNumberFormat="0" applyBorder="0" applyAlignment="0" applyProtection="0"/>
    <xf numFmtId="0" fontId="7" fillId="28" borderId="0" applyNumberFormat="0" applyBorder="0" applyAlignment="0" applyProtection="0"/>
    <xf numFmtId="0" fontId="42" fillId="58" borderId="0" applyNumberFormat="0" applyBorder="0" applyAlignment="0" applyProtection="0"/>
    <xf numFmtId="170" fontId="7" fillId="28" borderId="0" applyNumberFormat="0" applyBorder="0" applyAlignment="0" applyProtection="0"/>
    <xf numFmtId="0" fontId="7" fillId="28" borderId="0" applyNumberFormat="0" applyBorder="0" applyAlignment="0" applyProtection="0"/>
    <xf numFmtId="0" fontId="42" fillId="58"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0" fontId="42" fillId="59"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170" fontId="7" fillId="32" borderId="0" applyNumberFormat="0" applyBorder="0" applyAlignment="0" applyProtection="0"/>
    <xf numFmtId="0" fontId="7" fillId="32" borderId="0" applyNumberFormat="0" applyBorder="0" applyAlignment="0" applyProtection="0"/>
    <xf numFmtId="0" fontId="42" fillId="59" borderId="0" applyNumberFormat="0" applyBorder="0" applyAlignment="0" applyProtection="0"/>
    <xf numFmtId="170" fontId="7" fillId="32" borderId="0" applyNumberFormat="0" applyBorder="0" applyAlignment="0" applyProtection="0"/>
    <xf numFmtId="0" fontId="7" fillId="32" borderId="0" applyNumberFormat="0" applyBorder="0" applyAlignment="0" applyProtection="0"/>
    <xf numFmtId="0" fontId="42" fillId="59"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0" fontId="7" fillId="60"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0" fontId="7" fillId="60"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0" fontId="7" fillId="60"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0" fontId="7" fillId="60"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0" fontId="7" fillId="60"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0" fontId="7" fillId="60"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0" fontId="7" fillId="60"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0" fontId="7" fillId="60" borderId="0" applyNumberFormat="0" applyBorder="0" applyAlignment="0" applyProtection="0"/>
    <xf numFmtId="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0" fontId="7" fillId="60"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0" fontId="7" fillId="60"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0" fontId="7" fillId="60"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0" fontId="7" fillId="60"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0" fontId="7" fillId="60"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0" fontId="7" fillId="60"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0" fontId="7" fillId="60"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42" fillId="60"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0" fontId="7" fillId="60"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60" borderId="0" applyNumberFormat="0" applyBorder="0" applyAlignment="0" applyProtection="0"/>
    <xf numFmtId="17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0" fontId="7" fillId="36" borderId="0" applyNumberFormat="0" applyBorder="0" applyAlignment="0" applyProtection="0"/>
    <xf numFmtId="170" fontId="7" fillId="36" borderId="0" applyNumberFormat="0" applyBorder="0" applyAlignment="0" applyProtection="0"/>
    <xf numFmtId="170" fontId="7" fillId="36" borderId="0" applyNumberFormat="0" applyBorder="0" applyAlignment="0" applyProtection="0"/>
    <xf numFmtId="0" fontId="7" fillId="60" borderId="0" applyNumberFormat="0" applyBorder="0" applyAlignment="0" applyProtection="0"/>
    <xf numFmtId="0" fontId="7" fillId="36" borderId="0" applyNumberFormat="0" applyBorder="0" applyAlignment="0" applyProtection="0"/>
    <xf numFmtId="170" fontId="7" fillId="36" borderId="0" applyNumberFormat="0" applyBorder="0" applyAlignment="0" applyProtection="0"/>
    <xf numFmtId="0" fontId="7" fillId="60" borderId="0" applyNumberFormat="0" applyBorder="0" applyAlignment="0" applyProtection="0"/>
    <xf numFmtId="0" fontId="42" fillId="60" borderId="0" applyNumberFormat="0" applyBorder="0" applyAlignment="0" applyProtection="0"/>
    <xf numFmtId="170" fontId="7" fillId="36" borderId="0" applyNumberFormat="0" applyBorder="0" applyAlignment="0" applyProtection="0"/>
    <xf numFmtId="0" fontId="7" fillId="60" borderId="0" applyNumberFormat="0" applyBorder="0" applyAlignment="0" applyProtection="0"/>
    <xf numFmtId="0" fontId="42" fillId="6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42" fillId="53"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53" borderId="0" applyNumberFormat="0" applyBorder="0" applyAlignment="0" applyProtection="0"/>
    <xf numFmtId="0" fontId="7" fillId="53" borderId="0" applyNumberFormat="0" applyBorder="0" applyAlignment="0" applyProtection="0"/>
    <xf numFmtId="17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170" fontId="7" fillId="40" borderId="0" applyNumberFormat="0" applyBorder="0" applyAlignment="0" applyProtection="0"/>
    <xf numFmtId="0" fontId="7" fillId="40" borderId="0" applyNumberFormat="0" applyBorder="0" applyAlignment="0" applyProtection="0"/>
    <xf numFmtId="0" fontId="42" fillId="53" borderId="0" applyNumberFormat="0" applyBorder="0" applyAlignment="0" applyProtection="0"/>
    <xf numFmtId="170" fontId="7" fillId="40" borderId="0" applyNumberFormat="0" applyBorder="0" applyAlignment="0" applyProtection="0"/>
    <xf numFmtId="0" fontId="7" fillId="40" borderId="0" applyNumberFormat="0" applyBorder="0" applyAlignment="0" applyProtection="0"/>
    <xf numFmtId="0" fontId="42" fillId="53"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0" fontId="42" fillId="58"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170" fontId="7" fillId="44" borderId="0" applyNumberFormat="0" applyBorder="0" applyAlignment="0" applyProtection="0"/>
    <xf numFmtId="0" fontId="7" fillId="44" borderId="0" applyNumberFormat="0" applyBorder="0" applyAlignment="0" applyProtection="0"/>
    <xf numFmtId="0" fontId="42" fillId="58" borderId="0" applyNumberFormat="0" applyBorder="0" applyAlignment="0" applyProtection="0"/>
    <xf numFmtId="170" fontId="7" fillId="44" borderId="0" applyNumberFormat="0" applyBorder="0" applyAlignment="0" applyProtection="0"/>
    <xf numFmtId="0" fontId="7" fillId="44" borderId="0" applyNumberFormat="0" applyBorder="0" applyAlignment="0" applyProtection="0"/>
    <xf numFmtId="0" fontId="42" fillId="5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42" fillId="61"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61" borderId="0" applyNumberFormat="0" applyBorder="0" applyAlignment="0" applyProtection="0"/>
    <xf numFmtId="0" fontId="7" fillId="61" borderId="0" applyNumberFormat="0" applyBorder="0" applyAlignment="0" applyProtection="0"/>
    <xf numFmtId="170" fontId="7" fillId="61" borderId="0" applyNumberFormat="0" applyBorder="0" applyAlignment="0" applyProtection="0"/>
    <xf numFmtId="0" fontId="7" fillId="61" borderId="0" applyNumberFormat="0" applyBorder="0" applyAlignment="0" applyProtection="0"/>
    <xf numFmtId="0" fontId="7" fillId="61" borderId="0" applyNumberFormat="0" applyBorder="0" applyAlignment="0" applyProtection="0"/>
    <xf numFmtId="0" fontId="7" fillId="61" borderId="0" applyNumberFormat="0" applyBorder="0" applyAlignment="0" applyProtection="0"/>
    <xf numFmtId="0" fontId="7" fillId="61" borderId="0" applyNumberFormat="0" applyBorder="0" applyAlignment="0" applyProtection="0"/>
    <xf numFmtId="0" fontId="7" fillId="61" borderId="0" applyNumberFormat="0" applyBorder="0" applyAlignment="0" applyProtection="0"/>
    <xf numFmtId="0" fontId="7" fillId="61"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170" fontId="7" fillId="48" borderId="0" applyNumberFormat="0" applyBorder="0" applyAlignment="0" applyProtection="0"/>
    <xf numFmtId="0" fontId="7" fillId="48" borderId="0" applyNumberFormat="0" applyBorder="0" applyAlignment="0" applyProtection="0"/>
    <xf numFmtId="0" fontId="42" fillId="61" borderId="0" applyNumberFormat="0" applyBorder="0" applyAlignment="0" applyProtection="0"/>
    <xf numFmtId="170" fontId="7" fillId="48" borderId="0" applyNumberFormat="0" applyBorder="0" applyAlignment="0" applyProtection="0"/>
    <xf numFmtId="0" fontId="7" fillId="48" borderId="0" applyNumberFormat="0" applyBorder="0" applyAlignment="0" applyProtection="0"/>
    <xf numFmtId="0" fontId="42" fillId="61" borderId="0" applyNumberFormat="0" applyBorder="0" applyAlignment="0" applyProtection="0"/>
    <xf numFmtId="0" fontId="42" fillId="0" borderId="0"/>
    <xf numFmtId="0" fontId="55" fillId="67" borderId="0" applyNumberFormat="0" applyBorder="0" applyAlignment="0" applyProtection="0"/>
    <xf numFmtId="0" fontId="10" fillId="29" borderId="0" applyNumberFormat="0" applyBorder="0" applyAlignment="0" applyProtection="0"/>
    <xf numFmtId="0" fontId="10" fillId="67" borderId="0" applyNumberFormat="0" applyBorder="0" applyAlignment="0" applyProtection="0"/>
    <xf numFmtId="0" fontId="55" fillId="67" borderId="0" applyNumberFormat="0" applyBorder="0" applyAlignment="0" applyProtection="0"/>
    <xf numFmtId="170" fontId="10" fillId="29" borderId="0" applyNumberFormat="0" applyBorder="0" applyAlignment="0" applyProtection="0"/>
    <xf numFmtId="170" fontId="10" fillId="29" borderId="0" applyNumberFormat="0" applyBorder="0" applyAlignment="0" applyProtection="0"/>
    <xf numFmtId="170" fontId="10" fillId="29" borderId="0" applyNumberFormat="0" applyBorder="0" applyAlignment="0" applyProtection="0"/>
    <xf numFmtId="0" fontId="42" fillId="0" borderId="0"/>
    <xf numFmtId="0" fontId="55" fillId="59" borderId="0" applyNumberFormat="0" applyBorder="0" applyAlignment="0" applyProtection="0"/>
    <xf numFmtId="170" fontId="10" fillId="33" borderId="0" applyNumberFormat="0" applyBorder="0" applyAlignment="0" applyProtection="0"/>
    <xf numFmtId="170" fontId="10" fillId="33" borderId="0" applyNumberFormat="0" applyBorder="0" applyAlignment="0" applyProtection="0"/>
    <xf numFmtId="0" fontId="42" fillId="0" borderId="0"/>
    <xf numFmtId="0" fontId="55"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55" fillId="60" borderId="0" applyNumberFormat="0" applyBorder="0" applyAlignment="0" applyProtection="0"/>
    <xf numFmtId="170" fontId="10" fillId="37" borderId="0" applyNumberFormat="0" applyBorder="0" applyAlignment="0" applyProtection="0"/>
    <xf numFmtId="170" fontId="10" fillId="37" borderId="0" applyNumberFormat="0" applyBorder="0" applyAlignment="0" applyProtection="0"/>
    <xf numFmtId="170" fontId="10" fillId="37" borderId="0" applyNumberFormat="0" applyBorder="0" applyAlignment="0" applyProtection="0"/>
    <xf numFmtId="0" fontId="10" fillId="60" borderId="0" applyNumberFormat="0" applyBorder="0" applyAlignment="0" applyProtection="0"/>
    <xf numFmtId="0" fontId="42" fillId="0" borderId="0"/>
    <xf numFmtId="0" fontId="55" fillId="68" borderId="0" applyNumberFormat="0" applyBorder="0" applyAlignment="0" applyProtection="0"/>
    <xf numFmtId="0" fontId="10" fillId="68" borderId="0" applyNumberFormat="0" applyBorder="0" applyAlignment="0" applyProtection="0"/>
    <xf numFmtId="0" fontId="10" fillId="68" borderId="0" applyNumberFormat="0" applyBorder="0" applyAlignment="0" applyProtection="0"/>
    <xf numFmtId="0" fontId="55" fillId="68" borderId="0" applyNumberFormat="0" applyBorder="0" applyAlignment="0" applyProtection="0"/>
    <xf numFmtId="170" fontId="10" fillId="41" borderId="0" applyNumberFormat="0" applyBorder="0" applyAlignment="0" applyProtection="0"/>
    <xf numFmtId="170" fontId="10" fillId="41" borderId="0" applyNumberFormat="0" applyBorder="0" applyAlignment="0" applyProtection="0"/>
    <xf numFmtId="170" fontId="10" fillId="41" borderId="0" applyNumberFormat="0" applyBorder="0" applyAlignment="0" applyProtection="0"/>
    <xf numFmtId="0" fontId="10" fillId="68" borderId="0" applyNumberFormat="0" applyBorder="0" applyAlignment="0" applyProtection="0"/>
    <xf numFmtId="0" fontId="42" fillId="0" borderId="0"/>
    <xf numFmtId="0" fontId="55" fillId="69" borderId="0" applyNumberFormat="0" applyBorder="0" applyAlignment="0" applyProtection="0"/>
    <xf numFmtId="170" fontId="10" fillId="45" borderId="0" applyNumberFormat="0" applyBorder="0" applyAlignment="0" applyProtection="0"/>
    <xf numFmtId="170" fontId="10" fillId="45" borderId="0" applyNumberFormat="0" applyBorder="0" applyAlignment="0" applyProtection="0"/>
    <xf numFmtId="0" fontId="42" fillId="0" borderId="0"/>
    <xf numFmtId="0" fontId="55" fillId="70" borderId="0" applyNumberFormat="0" applyBorder="0" applyAlignment="0" applyProtection="0"/>
    <xf numFmtId="0" fontId="10" fillId="70" borderId="0" applyNumberFormat="0" applyBorder="0" applyAlignment="0" applyProtection="0"/>
    <xf numFmtId="0" fontId="10" fillId="70" borderId="0" applyNumberFormat="0" applyBorder="0" applyAlignment="0" applyProtection="0"/>
    <xf numFmtId="0" fontId="55" fillId="70" borderId="0" applyNumberFormat="0" applyBorder="0" applyAlignment="0" applyProtection="0"/>
    <xf numFmtId="170" fontId="10" fillId="49" borderId="0" applyNumberFormat="0" applyBorder="0" applyAlignment="0" applyProtection="0"/>
    <xf numFmtId="170" fontId="10" fillId="49" borderId="0" applyNumberFormat="0" applyBorder="0" applyAlignment="0" applyProtection="0"/>
    <xf numFmtId="170" fontId="10" fillId="49" borderId="0" applyNumberFormat="0" applyBorder="0" applyAlignment="0" applyProtection="0"/>
    <xf numFmtId="0" fontId="10" fillId="70" borderId="0" applyNumberFormat="0" applyBorder="0" applyAlignment="0" applyProtection="0"/>
    <xf numFmtId="0" fontId="42" fillId="0" borderId="0"/>
    <xf numFmtId="0" fontId="55" fillId="71" borderId="0" applyNumberFormat="0" applyBorder="0" applyAlignment="0" applyProtection="0"/>
    <xf numFmtId="0" fontId="10" fillId="26" borderId="0" applyNumberFormat="0" applyBorder="0" applyAlignment="0" applyProtection="0"/>
    <xf numFmtId="0" fontId="10" fillId="71" borderId="0" applyNumberFormat="0" applyBorder="0" applyAlignment="0" applyProtection="0"/>
    <xf numFmtId="0" fontId="55" fillId="71" borderId="0" applyNumberFormat="0" applyBorder="0" applyAlignment="0" applyProtection="0"/>
    <xf numFmtId="170" fontId="10" fillId="26" borderId="0" applyNumberFormat="0" applyBorder="0" applyAlignment="0" applyProtection="0"/>
    <xf numFmtId="170" fontId="10" fillId="26" borderId="0" applyNumberFormat="0" applyBorder="0" applyAlignment="0" applyProtection="0"/>
    <xf numFmtId="170" fontId="10" fillId="26" borderId="0" applyNumberFormat="0" applyBorder="0" applyAlignment="0" applyProtection="0"/>
    <xf numFmtId="0" fontId="42" fillId="0" borderId="0"/>
    <xf numFmtId="0" fontId="55" fillId="72" borderId="0" applyNumberFormat="0" applyBorder="0" applyAlignment="0" applyProtection="0"/>
    <xf numFmtId="170" fontId="10" fillId="30" borderId="0" applyNumberFormat="0" applyBorder="0" applyAlignment="0" applyProtection="0"/>
    <xf numFmtId="170" fontId="10" fillId="30" borderId="0" applyNumberFormat="0" applyBorder="0" applyAlignment="0" applyProtection="0"/>
    <xf numFmtId="0" fontId="42" fillId="0" borderId="0"/>
    <xf numFmtId="0" fontId="55" fillId="73" borderId="0" applyNumberFormat="0" applyBorder="0" applyAlignment="0" applyProtection="0"/>
    <xf numFmtId="170" fontId="10" fillId="34" borderId="0" applyNumberFormat="0" applyBorder="0" applyAlignment="0" applyProtection="0"/>
    <xf numFmtId="170" fontId="10" fillId="34" borderId="0" applyNumberFormat="0" applyBorder="0" applyAlignment="0" applyProtection="0"/>
    <xf numFmtId="0" fontId="42" fillId="0" borderId="0"/>
    <xf numFmtId="0" fontId="55" fillId="68" borderId="0" applyNumberFormat="0" applyBorder="0" applyAlignment="0" applyProtection="0"/>
    <xf numFmtId="0" fontId="10" fillId="38" borderId="0" applyNumberFormat="0" applyBorder="0" applyAlignment="0" applyProtection="0"/>
    <xf numFmtId="0" fontId="10" fillId="68" borderId="0" applyNumberFormat="0" applyBorder="0" applyAlignment="0" applyProtection="0"/>
    <xf numFmtId="0" fontId="55" fillId="68" borderId="0" applyNumberFormat="0" applyBorder="0" applyAlignment="0" applyProtection="0"/>
    <xf numFmtId="170" fontId="10" fillId="38" borderId="0" applyNumberFormat="0" applyBorder="0" applyAlignment="0" applyProtection="0"/>
    <xf numFmtId="170" fontId="10" fillId="38" borderId="0" applyNumberFormat="0" applyBorder="0" applyAlignment="0" applyProtection="0"/>
    <xf numFmtId="170" fontId="10" fillId="38" borderId="0" applyNumberFormat="0" applyBorder="0" applyAlignment="0" applyProtection="0"/>
    <xf numFmtId="0" fontId="42" fillId="0" borderId="0"/>
    <xf numFmtId="0" fontId="55" fillId="69" borderId="0" applyNumberFormat="0" applyBorder="0" applyAlignment="0" applyProtection="0"/>
    <xf numFmtId="170" fontId="10" fillId="42" borderId="0" applyNumberFormat="0" applyBorder="0" applyAlignment="0" applyProtection="0"/>
    <xf numFmtId="170" fontId="10" fillId="42" borderId="0" applyNumberFormat="0" applyBorder="0" applyAlignment="0" applyProtection="0"/>
    <xf numFmtId="0" fontId="42" fillId="0" borderId="0"/>
    <xf numFmtId="0" fontId="55" fillId="74" borderId="0" applyNumberFormat="0" applyBorder="0" applyAlignment="0" applyProtection="0"/>
    <xf numFmtId="170" fontId="10" fillId="46" borderId="0" applyNumberFormat="0" applyBorder="0" applyAlignment="0" applyProtection="0"/>
    <xf numFmtId="170" fontId="10" fillId="46" borderId="0" applyNumberFormat="0" applyBorder="0" applyAlignment="0" applyProtection="0"/>
    <xf numFmtId="0" fontId="56" fillId="0" borderId="0">
      <alignment horizontal="center" wrapText="1"/>
      <protection locked="0"/>
    </xf>
    <xf numFmtId="0" fontId="42" fillId="0" borderId="0"/>
    <xf numFmtId="0" fontId="57" fillId="51" borderId="0" applyNumberFormat="0" applyBorder="0" applyAlignment="0" applyProtection="0"/>
    <xf numFmtId="0" fontId="58" fillId="0" borderId="0"/>
    <xf numFmtId="170" fontId="24" fillId="20" borderId="0" applyNumberFormat="0" applyBorder="0" applyAlignment="0" applyProtection="0"/>
    <xf numFmtId="2" fontId="59" fillId="0" borderId="0">
      <alignment horizontal="right"/>
      <protection locked="0"/>
    </xf>
    <xf numFmtId="0" fontId="60" fillId="0" borderId="0" applyNumberFormat="0" applyFill="0" applyBorder="0" applyAlignment="0" applyProtection="0"/>
    <xf numFmtId="5" fontId="52" fillId="0" borderId="36" applyAlignment="0" applyProtection="0"/>
    <xf numFmtId="176" fontId="35" fillId="0" borderId="0" applyFill="0" applyBorder="0" applyAlignment="0"/>
    <xf numFmtId="176" fontId="35" fillId="0" borderId="0" applyFill="0" applyBorder="0" applyAlignment="0"/>
    <xf numFmtId="176" fontId="35" fillId="0" borderId="0" applyFill="0" applyBorder="0" applyAlignment="0"/>
    <xf numFmtId="176" fontId="35" fillId="0" borderId="0" applyFill="0" applyBorder="0" applyAlignment="0"/>
    <xf numFmtId="177" fontId="35" fillId="0" borderId="0" applyFill="0" applyBorder="0" applyAlignment="0"/>
    <xf numFmtId="177" fontId="35" fillId="0" borderId="0" applyFill="0" applyBorder="0" applyAlignment="0"/>
    <xf numFmtId="177" fontId="35" fillId="0" borderId="0" applyFill="0" applyBorder="0" applyAlignment="0"/>
    <xf numFmtId="177" fontId="35" fillId="0" borderId="0" applyFill="0" applyBorder="0" applyAlignment="0"/>
    <xf numFmtId="178" fontId="35" fillId="0" borderId="0" applyFill="0" applyBorder="0" applyAlignment="0"/>
    <xf numFmtId="178" fontId="35" fillId="0" borderId="0" applyFill="0" applyBorder="0" applyAlignment="0"/>
    <xf numFmtId="178" fontId="35" fillId="0" borderId="0" applyFill="0" applyBorder="0" applyAlignment="0"/>
    <xf numFmtId="178" fontId="35" fillId="0" borderId="0" applyFill="0" applyBorder="0" applyAlignment="0"/>
    <xf numFmtId="179" fontId="35" fillId="0" borderId="0" applyFill="0" applyBorder="0" applyAlignment="0"/>
    <xf numFmtId="179" fontId="35" fillId="0" borderId="0" applyFill="0" applyBorder="0" applyAlignment="0"/>
    <xf numFmtId="179" fontId="35" fillId="0" borderId="0" applyFill="0" applyBorder="0" applyAlignment="0"/>
    <xf numFmtId="179" fontId="35" fillId="0" borderId="0" applyFill="0" applyBorder="0" applyAlignment="0"/>
    <xf numFmtId="180" fontId="35" fillId="0" borderId="0" applyFill="0" applyBorder="0" applyAlignment="0"/>
    <xf numFmtId="180" fontId="35" fillId="0" borderId="0" applyFill="0" applyBorder="0" applyAlignment="0"/>
    <xf numFmtId="180" fontId="35" fillId="0" borderId="0" applyFill="0" applyBorder="0" applyAlignment="0"/>
    <xf numFmtId="180" fontId="35" fillId="0" borderId="0" applyFill="0" applyBorder="0" applyAlignment="0"/>
    <xf numFmtId="176" fontId="35" fillId="0" borderId="0" applyFill="0" applyBorder="0" applyAlignment="0"/>
    <xf numFmtId="176" fontId="35" fillId="0" borderId="0" applyFill="0" applyBorder="0" applyAlignment="0"/>
    <xf numFmtId="176" fontId="35" fillId="0" borderId="0" applyFill="0" applyBorder="0" applyAlignment="0"/>
    <xf numFmtId="176" fontId="35" fillId="0" borderId="0" applyFill="0" applyBorder="0" applyAlignment="0"/>
    <xf numFmtId="181" fontId="35" fillId="0" borderId="0" applyFill="0" applyBorder="0" applyAlignment="0"/>
    <xf numFmtId="181" fontId="35" fillId="0" borderId="0" applyFill="0" applyBorder="0" applyAlignment="0"/>
    <xf numFmtId="181" fontId="35" fillId="0" borderId="0" applyFill="0" applyBorder="0" applyAlignment="0"/>
    <xf numFmtId="181" fontId="35" fillId="0" borderId="0" applyFill="0" applyBorder="0" applyAlignment="0"/>
    <xf numFmtId="177" fontId="35" fillId="0" borderId="0" applyFill="0" applyBorder="0" applyAlignment="0"/>
    <xf numFmtId="177" fontId="35" fillId="0" borderId="0" applyFill="0" applyBorder="0" applyAlignment="0"/>
    <xf numFmtId="177" fontId="35" fillId="0" borderId="0" applyFill="0" applyBorder="0" applyAlignment="0"/>
    <xf numFmtId="177" fontId="35" fillId="0" borderId="0" applyFill="0" applyBorder="0" applyAlignment="0"/>
    <xf numFmtId="0" fontId="42" fillId="0" borderId="0"/>
    <xf numFmtId="0" fontId="61" fillId="62" borderId="56" applyNumberFormat="0" applyAlignment="0" applyProtection="0"/>
    <xf numFmtId="0" fontId="28" fillId="23" borderId="46" applyNumberFormat="0" applyAlignment="0" applyProtection="0"/>
    <xf numFmtId="0" fontId="28" fillId="62" borderId="46" applyNumberFormat="0" applyAlignment="0" applyProtection="0"/>
    <xf numFmtId="0" fontId="61" fillId="62" borderId="56" applyNumberFormat="0" applyAlignment="0" applyProtection="0"/>
    <xf numFmtId="170" fontId="28" fillId="23" borderId="46" applyNumberFormat="0" applyAlignment="0" applyProtection="0"/>
    <xf numFmtId="170" fontId="28" fillId="23" borderId="46" applyNumberFormat="0" applyAlignment="0" applyProtection="0"/>
    <xf numFmtId="170" fontId="28" fillId="23" borderId="46" applyNumberFormat="0" applyAlignment="0" applyProtection="0"/>
    <xf numFmtId="0" fontId="35" fillId="0" borderId="0"/>
    <xf numFmtId="0" fontId="35" fillId="0" borderId="0"/>
    <xf numFmtId="0" fontId="42" fillId="0" borderId="0"/>
    <xf numFmtId="0" fontId="62" fillId="75" borderId="57" applyNumberFormat="0" applyAlignment="0" applyProtection="0"/>
    <xf numFmtId="170" fontId="9" fillId="24" borderId="49" applyNumberFormat="0" applyAlignment="0" applyProtection="0"/>
    <xf numFmtId="170" fontId="9" fillId="24" borderId="49" applyNumberFormat="0" applyAlignment="0" applyProtection="0"/>
    <xf numFmtId="176" fontId="35" fillId="0" borderId="0" applyFont="0" applyFill="0" applyBorder="0" applyAlignment="0" applyProtection="0"/>
    <xf numFmtId="176" fontId="35" fillId="0" borderId="0" applyFont="0" applyFill="0" applyBorder="0" applyAlignment="0" applyProtection="0"/>
    <xf numFmtId="176" fontId="35" fillId="0" borderId="0" applyFont="0" applyFill="0" applyBorder="0" applyAlignment="0" applyProtection="0"/>
    <xf numFmtId="176"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63" fillId="0" borderId="0" applyFont="0" applyFill="0" applyBorder="0" applyAlignment="0" applyProtection="0"/>
    <xf numFmtId="43" fontId="35"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0" fontId="37" fillId="0" borderId="0"/>
    <xf numFmtId="0" fontId="42" fillId="0" borderId="0"/>
    <xf numFmtId="43" fontId="7" fillId="0" borderId="0" applyFont="0" applyFill="0" applyBorder="0" applyAlignment="0" applyProtection="0"/>
    <xf numFmtId="0" fontId="42" fillId="0" borderId="0"/>
    <xf numFmtId="43" fontId="35"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0" fontId="53" fillId="0" borderId="0" applyNumberFormat="0" applyFont="0" applyFill="0" applyBorder="0" applyProtection="0">
      <alignment vertical="center"/>
    </xf>
    <xf numFmtId="43" fontId="7" fillId="0" borderId="0" applyFont="0" applyFill="0" applyBorder="0" applyAlignment="0" applyProtection="0"/>
    <xf numFmtId="0" fontId="42" fillId="0" borderId="0"/>
    <xf numFmtId="43" fontId="35" fillId="0" borderId="0" applyFont="0" applyFill="0" applyBorder="0" applyAlignment="0" applyProtection="0"/>
    <xf numFmtId="0" fontId="42" fillId="0" borderId="0"/>
    <xf numFmtId="43" fontId="35" fillId="0" borderId="0" applyFont="0" applyFill="0" applyBorder="0" applyAlignment="0" applyProtection="0"/>
    <xf numFmtId="43" fontId="7" fillId="0" borderId="0" applyFont="0" applyFill="0" applyBorder="0" applyAlignment="0" applyProtection="0"/>
    <xf numFmtId="0" fontId="42" fillId="0" borderId="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6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42" fillId="0" borderId="0"/>
    <xf numFmtId="43" fontId="35"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42"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42" fillId="0" borderId="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42" fillId="0" borderId="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4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2" fontId="33" fillId="0" borderId="0"/>
    <xf numFmtId="0" fontId="3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35" fillId="0" borderId="0" applyFont="0" applyFill="0" applyBorder="0" applyAlignment="0" applyProtection="0"/>
    <xf numFmtId="43" fontId="42" fillId="0" borderId="0" applyFont="0" applyFill="0" applyBorder="0" applyAlignment="0" applyProtection="0"/>
    <xf numFmtId="43" fontId="35" fillId="0" borderId="0" applyFont="0" applyFill="0" applyBorder="0" applyAlignment="0" applyProtection="0"/>
    <xf numFmtId="0" fontId="37" fillId="0" borderId="0"/>
    <xf numFmtId="43" fontId="35" fillId="0" borderId="0" applyFont="0" applyFill="0" applyBorder="0" applyAlignment="0" applyProtection="0"/>
    <xf numFmtId="43" fontId="35" fillId="0" borderId="0" applyFont="0" applyFill="0" applyBorder="0" applyAlignment="0" applyProtection="0"/>
    <xf numFmtId="43" fontId="42" fillId="0" borderId="0" applyFont="0" applyFill="0" applyBorder="0" applyAlignment="0" applyProtection="0"/>
    <xf numFmtId="43" fontId="35" fillId="0" borderId="0" applyFont="0" applyFill="0" applyBorder="0" applyAlignment="0" applyProtection="0"/>
    <xf numFmtId="43" fontId="42"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42" fillId="0" borderId="0"/>
    <xf numFmtId="43" fontId="35"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0" fontId="42" fillId="0" borderId="0"/>
    <xf numFmtId="43" fontId="35"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7" fillId="0" borderId="0" applyFont="0" applyFill="0" applyBorder="0" applyAlignment="0" applyProtection="0"/>
    <xf numFmtId="0" fontId="37" fillId="0" borderId="0"/>
    <xf numFmtId="43" fontId="7"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2" fontId="33" fillId="0" borderId="0"/>
    <xf numFmtId="43" fontId="35"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0" fontId="42" fillId="0" borderId="0"/>
    <xf numFmtId="43" fontId="35" fillId="0" borderId="0" applyFont="0" applyFill="0" applyBorder="0" applyAlignment="0" applyProtection="0"/>
    <xf numFmtId="43" fontId="42"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0" fontId="42" fillId="0" borderId="0"/>
    <xf numFmtId="0" fontId="37" fillId="0" borderId="0"/>
    <xf numFmtId="42" fontId="33" fillId="0" borderId="0"/>
    <xf numFmtId="0" fontId="37" fillId="0" borderId="0"/>
    <xf numFmtId="0" fontId="4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0" fontId="42" fillId="0" borderId="0"/>
    <xf numFmtId="43" fontId="42" fillId="0" borderId="0" applyFont="0" applyFill="0" applyBorder="0" applyAlignment="0" applyProtection="0"/>
    <xf numFmtId="43" fontId="42"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0" fontId="42" fillId="0" borderId="0"/>
    <xf numFmtId="43" fontId="42" fillId="0" borderId="0" applyFont="0" applyFill="0" applyBorder="0" applyAlignment="0" applyProtection="0"/>
    <xf numFmtId="43" fontId="42" fillId="0" borderId="0" applyFont="0" applyFill="0" applyBorder="0" applyAlignment="0" applyProtection="0"/>
    <xf numFmtId="43" fontId="35" fillId="0" borderId="0" applyFont="0" applyFill="0" applyBorder="0" applyAlignment="0" applyProtection="0"/>
    <xf numFmtId="0" fontId="4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2" fontId="33" fillId="0" borderId="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0" fontId="4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2" fillId="0" borderId="0" applyFont="0" applyFill="0" applyBorder="0" applyAlignment="0" applyProtection="0"/>
    <xf numFmtId="182" fontId="35"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0" fontId="37" fillId="0" borderId="0"/>
    <xf numFmtId="0" fontId="42" fillId="0" borderId="0"/>
    <xf numFmtId="43" fontId="35" fillId="0" borderId="0" applyFont="0" applyFill="0" applyBorder="0" applyAlignment="0" applyProtection="0"/>
    <xf numFmtId="0" fontId="37" fillId="0" borderId="0"/>
    <xf numFmtId="0" fontId="42" fillId="0" borderId="0"/>
    <xf numFmtId="43" fontId="35" fillId="0" borderId="0" applyFont="0" applyFill="0" applyBorder="0" applyAlignment="0" applyProtection="0"/>
    <xf numFmtId="43" fontId="63"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0" fontId="37" fillId="0" borderId="0"/>
    <xf numFmtId="0" fontId="42" fillId="0" borderId="0"/>
    <xf numFmtId="0" fontId="42" fillId="0" borderId="0"/>
    <xf numFmtId="0" fontId="42" fillId="0" borderId="0"/>
    <xf numFmtId="43" fontId="35" fillId="0" borderId="0" applyFont="0" applyFill="0" applyBorder="0" applyAlignment="0" applyProtection="0"/>
    <xf numFmtId="0" fontId="37" fillId="0" borderId="0"/>
    <xf numFmtId="0" fontId="42" fillId="0" borderId="0"/>
    <xf numFmtId="43" fontId="35" fillId="0" borderId="0" applyFont="0" applyFill="0" applyBorder="0" applyAlignment="0" applyProtection="0"/>
    <xf numFmtId="0" fontId="42" fillId="0" borderId="0"/>
    <xf numFmtId="43" fontId="35" fillId="0" borderId="0" applyFont="0" applyFill="0" applyBorder="0" applyAlignment="0" applyProtection="0"/>
    <xf numFmtId="43" fontId="35" fillId="0" borderId="0" applyFont="0" applyFill="0" applyBorder="0" applyAlignment="0" applyProtection="0"/>
    <xf numFmtId="43" fontId="36" fillId="0" borderId="0" applyFont="0" applyFill="0" applyBorder="0" applyAlignment="0" applyProtection="0"/>
    <xf numFmtId="43" fontId="35" fillId="0" borderId="0" applyFont="0" applyFill="0" applyBorder="0" applyAlignment="0" applyProtection="0"/>
    <xf numFmtId="0" fontId="3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7" fillId="0" borderId="0"/>
    <xf numFmtId="43" fontId="35"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65" fillId="0" borderId="0"/>
    <xf numFmtId="0" fontId="48" fillId="0" borderId="0"/>
    <xf numFmtId="0" fontId="42" fillId="0" borderId="0"/>
    <xf numFmtId="0" fontId="42" fillId="0" borderId="0"/>
    <xf numFmtId="3" fontId="66" fillId="0" borderId="0" applyFont="0" applyFill="0" applyBorder="0" applyAlignment="0" applyProtection="0"/>
    <xf numFmtId="0" fontId="65" fillId="0" borderId="0"/>
    <xf numFmtId="0" fontId="48" fillId="0" borderId="0"/>
    <xf numFmtId="0" fontId="67" fillId="0" borderId="0" applyNumberFormat="0" applyAlignment="0">
      <alignment horizontal="left"/>
    </xf>
    <xf numFmtId="177" fontId="35" fillId="0" borderId="0" applyFont="0" applyFill="0" applyBorder="0" applyAlignment="0" applyProtection="0"/>
    <xf numFmtId="177" fontId="35" fillId="0" borderId="0" applyFont="0" applyFill="0" applyBorder="0" applyAlignment="0" applyProtection="0"/>
    <xf numFmtId="177" fontId="35" fillId="0" borderId="0" applyFont="0" applyFill="0" applyBorder="0" applyAlignment="0" applyProtection="0"/>
    <xf numFmtId="177" fontId="35" fillId="0" borderId="0" applyFont="0" applyFill="0" applyBorder="0" applyAlignment="0" applyProtection="0"/>
    <xf numFmtId="44" fontId="7" fillId="0" borderId="0" applyFont="0" applyFill="0" applyBorder="0" applyAlignment="0" applyProtection="0"/>
    <xf numFmtId="44" fontId="35" fillId="0" borderId="0" applyFont="0" applyFill="0" applyBorder="0" applyAlignment="0" applyProtection="0"/>
    <xf numFmtId="44" fontId="35" fillId="0" borderId="0" applyFont="0" applyFill="0" applyBorder="0" applyAlignment="0" applyProtection="0"/>
    <xf numFmtId="0" fontId="42" fillId="0" borderId="0"/>
    <xf numFmtId="44" fontId="35" fillId="0" borderId="0" applyFont="0" applyFill="0" applyBorder="0" applyAlignment="0" applyProtection="0"/>
    <xf numFmtId="44" fontId="35" fillId="0" borderId="0" applyFont="0" applyFill="0" applyBorder="0" applyAlignment="0" applyProtection="0"/>
    <xf numFmtId="44" fontId="42" fillId="0" borderId="0" applyFont="0" applyFill="0" applyBorder="0" applyAlignment="0" applyProtection="0"/>
    <xf numFmtId="44" fontId="42"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42"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42"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42" fillId="0" borderId="0" applyFont="0" applyFill="0" applyBorder="0" applyAlignment="0" applyProtection="0"/>
    <xf numFmtId="0" fontId="42" fillId="0" borderId="0"/>
    <xf numFmtId="44" fontId="35"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42"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42"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42"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35" fillId="0" borderId="0" applyFont="0" applyFill="0" applyBorder="0" applyAlignment="0" applyProtection="0"/>
    <xf numFmtId="0" fontId="37" fillId="0" borderId="0"/>
    <xf numFmtId="0" fontId="42" fillId="0" borderId="0"/>
    <xf numFmtId="44" fontId="35" fillId="0" borderId="0" applyFont="0" applyFill="0" applyBorder="0" applyAlignment="0" applyProtection="0"/>
    <xf numFmtId="0" fontId="42" fillId="0" borderId="0"/>
    <xf numFmtId="44" fontId="35" fillId="0" borderId="0" applyFont="0" applyFill="0" applyBorder="0" applyAlignment="0" applyProtection="0"/>
    <xf numFmtId="0" fontId="42" fillId="0" borderId="0"/>
    <xf numFmtId="44" fontId="35" fillId="0" borderId="0" applyFont="0" applyFill="0" applyBorder="0" applyAlignment="0" applyProtection="0"/>
    <xf numFmtId="0" fontId="42" fillId="0" borderId="0"/>
    <xf numFmtId="44" fontId="35" fillId="0" borderId="0" applyFont="0" applyFill="0" applyBorder="0" applyAlignment="0" applyProtection="0"/>
    <xf numFmtId="0" fontId="42" fillId="0" borderId="0"/>
    <xf numFmtId="44" fontId="35" fillId="0" borderId="0" applyFont="0" applyFill="0" applyBorder="0" applyAlignment="0" applyProtection="0"/>
    <xf numFmtId="0" fontId="42" fillId="0" borderId="0"/>
    <xf numFmtId="44" fontId="35" fillId="0" borderId="0" applyFont="0" applyFill="0" applyBorder="0" applyAlignment="0" applyProtection="0"/>
    <xf numFmtId="0" fontId="42" fillId="0" borderId="0"/>
    <xf numFmtId="44" fontId="35" fillId="0" borderId="0" applyFont="0" applyFill="0" applyBorder="0" applyAlignment="0" applyProtection="0"/>
    <xf numFmtId="0" fontId="42" fillId="0" borderId="0"/>
    <xf numFmtId="44" fontId="35" fillId="0" borderId="0" applyFont="0" applyFill="0" applyBorder="0" applyAlignment="0" applyProtection="0"/>
    <xf numFmtId="0" fontId="42" fillId="0" borderId="0"/>
    <xf numFmtId="44" fontId="35" fillId="0" borderId="0" applyFont="0" applyFill="0" applyBorder="0" applyAlignment="0" applyProtection="0"/>
    <xf numFmtId="0" fontId="42" fillId="0" borderId="0"/>
    <xf numFmtId="44" fontId="35" fillId="0" borderId="0" applyFont="0" applyFill="0" applyBorder="0" applyAlignment="0" applyProtection="0"/>
    <xf numFmtId="0" fontId="42" fillId="0" borderId="0"/>
    <xf numFmtId="44" fontId="35" fillId="0" borderId="0" applyFont="0" applyFill="0" applyBorder="0" applyAlignment="0" applyProtection="0"/>
    <xf numFmtId="0" fontId="42" fillId="0" borderId="0"/>
    <xf numFmtId="44" fontId="35" fillId="0" borderId="0" applyFont="0" applyFill="0" applyBorder="0" applyAlignment="0" applyProtection="0"/>
    <xf numFmtId="0" fontId="42" fillId="0" borderId="0"/>
    <xf numFmtId="44" fontId="35" fillId="0" borderId="0" applyFont="0" applyFill="0" applyBorder="0" applyAlignment="0" applyProtection="0"/>
    <xf numFmtId="44" fontId="7" fillId="0" borderId="0" applyFont="0" applyFill="0" applyBorder="0" applyAlignment="0" applyProtection="0"/>
    <xf numFmtId="0" fontId="42" fillId="0" borderId="0"/>
    <xf numFmtId="44" fontId="7" fillId="0" borderId="0" applyFont="0" applyFill="0" applyBorder="0" applyAlignment="0" applyProtection="0"/>
    <xf numFmtId="0" fontId="42" fillId="0" borderId="0"/>
    <xf numFmtId="44" fontId="35" fillId="0" borderId="0" applyFont="0" applyFill="0" applyBorder="0" applyAlignment="0" applyProtection="0"/>
    <xf numFmtId="0" fontId="42" fillId="0" borderId="0"/>
    <xf numFmtId="44" fontId="35" fillId="0" borderId="0" applyFont="0" applyFill="0" applyBorder="0" applyAlignment="0" applyProtection="0"/>
    <xf numFmtId="0" fontId="42" fillId="0" borderId="0"/>
    <xf numFmtId="44" fontId="35" fillId="0" borderId="0" applyFont="0" applyFill="0" applyBorder="0" applyAlignment="0" applyProtection="0"/>
    <xf numFmtId="0" fontId="42" fillId="0" borderId="0"/>
    <xf numFmtId="44" fontId="35" fillId="0" borderId="0" applyFont="0" applyFill="0" applyBorder="0" applyAlignment="0" applyProtection="0"/>
    <xf numFmtId="0" fontId="42" fillId="0" borderId="0"/>
    <xf numFmtId="44" fontId="35" fillId="0" borderId="0" applyFont="0" applyFill="0" applyBorder="0" applyAlignment="0" applyProtection="0"/>
    <xf numFmtId="0" fontId="42" fillId="0" borderId="0"/>
    <xf numFmtId="0" fontId="42" fillId="0" borderId="0"/>
    <xf numFmtId="44" fontId="35" fillId="0" borderId="0" applyFont="0" applyFill="0" applyBorder="0" applyAlignment="0" applyProtection="0"/>
    <xf numFmtId="0" fontId="42" fillId="0" borderId="0"/>
    <xf numFmtId="44" fontId="35" fillId="0" borderId="0" applyFont="0" applyFill="0" applyBorder="0" applyAlignment="0" applyProtection="0"/>
    <xf numFmtId="0" fontId="42" fillId="0" borderId="0"/>
    <xf numFmtId="44" fontId="35" fillId="0" borderId="0" applyFont="0" applyFill="0" applyBorder="0" applyAlignment="0" applyProtection="0"/>
    <xf numFmtId="0" fontId="42" fillId="0" borderId="0"/>
    <xf numFmtId="44" fontId="35" fillId="0" borderId="0" applyFont="0" applyFill="0" applyBorder="0" applyAlignment="0" applyProtection="0"/>
    <xf numFmtId="0" fontId="42" fillId="0" borderId="0"/>
    <xf numFmtId="44" fontId="35" fillId="0" borderId="0" applyFont="0" applyFill="0" applyBorder="0" applyAlignment="0" applyProtection="0"/>
    <xf numFmtId="0" fontId="42" fillId="0" borderId="0"/>
    <xf numFmtId="44" fontId="35" fillId="0" borderId="0" applyFont="0" applyFill="0" applyBorder="0" applyAlignment="0" applyProtection="0"/>
    <xf numFmtId="0" fontId="42" fillId="0" borderId="0"/>
    <xf numFmtId="44" fontId="35" fillId="0" borderId="0" applyFont="0" applyFill="0" applyBorder="0" applyAlignment="0" applyProtection="0"/>
    <xf numFmtId="0" fontId="42" fillId="0" borderId="0"/>
    <xf numFmtId="44" fontId="35" fillId="0" borderId="0" applyFont="0" applyFill="0" applyBorder="0" applyAlignment="0" applyProtection="0"/>
    <xf numFmtId="44" fontId="35" fillId="0" borderId="0" applyFont="0" applyFill="0" applyBorder="0" applyAlignment="0" applyProtection="0"/>
    <xf numFmtId="44" fontId="35" fillId="0" borderId="0" applyFont="0" applyFill="0" applyBorder="0" applyAlignment="0" applyProtection="0"/>
    <xf numFmtId="44" fontId="35" fillId="0" borderId="0" applyFont="0" applyFill="0" applyBorder="0" applyAlignment="0" applyProtection="0"/>
    <xf numFmtId="44" fontId="35" fillId="0" borderId="0" applyFont="0" applyFill="0" applyBorder="0" applyAlignment="0" applyProtection="0"/>
    <xf numFmtId="44" fontId="35" fillId="0" borderId="0" applyFont="0" applyFill="0" applyBorder="0" applyAlignment="0" applyProtection="0"/>
    <xf numFmtId="44" fontId="35" fillId="0" borderId="0" applyFont="0" applyFill="0" applyBorder="0" applyAlignment="0" applyProtection="0"/>
    <xf numFmtId="44" fontId="35" fillId="0" borderId="0" applyFont="0" applyFill="0" applyBorder="0" applyAlignment="0" applyProtection="0"/>
    <xf numFmtId="44" fontId="35" fillId="0" borderId="0" applyFont="0" applyFill="0" applyBorder="0" applyAlignment="0" applyProtection="0"/>
    <xf numFmtId="44" fontId="35" fillId="0" borderId="0" applyFont="0" applyFill="0" applyBorder="0" applyAlignment="0" applyProtection="0"/>
    <xf numFmtId="44" fontId="35" fillId="0" borderId="0" applyFont="0" applyFill="0" applyBorder="0" applyAlignment="0" applyProtection="0"/>
    <xf numFmtId="44" fontId="35" fillId="0" borderId="0" applyFont="0" applyFill="0" applyBorder="0" applyAlignment="0" applyProtection="0"/>
    <xf numFmtId="44" fontId="35" fillId="0" borderId="0" applyFont="0" applyFill="0" applyBorder="0" applyAlignment="0" applyProtection="0"/>
    <xf numFmtId="44" fontId="39" fillId="0" borderId="0" applyFont="0" applyFill="0" applyBorder="0" applyAlignment="0" applyProtection="0"/>
    <xf numFmtId="0" fontId="42" fillId="0" borderId="0"/>
    <xf numFmtId="44" fontId="42" fillId="0" borderId="0" applyFont="0" applyFill="0" applyBorder="0" applyAlignment="0" applyProtection="0"/>
    <xf numFmtId="0" fontId="42" fillId="0" borderId="0"/>
    <xf numFmtId="44" fontId="42" fillId="0" borderId="0" applyFont="0" applyFill="0" applyBorder="0" applyAlignment="0" applyProtection="0"/>
    <xf numFmtId="44" fontId="35" fillId="0" borderId="0" applyFont="0" applyFill="0" applyBorder="0" applyAlignment="0" applyProtection="0"/>
    <xf numFmtId="44" fontId="35" fillId="0" borderId="0" applyFont="0" applyFill="0" applyBorder="0" applyAlignment="0" applyProtection="0"/>
    <xf numFmtId="44" fontId="35" fillId="0" borderId="0" applyFont="0" applyFill="0" applyBorder="0" applyAlignment="0" applyProtection="0"/>
    <xf numFmtId="44" fontId="35" fillId="0" borderId="0" applyFont="0" applyFill="0" applyBorder="0" applyAlignment="0" applyProtection="0"/>
    <xf numFmtId="44" fontId="7" fillId="0" borderId="0" applyFont="0" applyFill="0" applyBorder="0" applyAlignment="0" applyProtection="0"/>
    <xf numFmtId="44" fontId="42" fillId="0" borderId="0" applyFont="0" applyFill="0" applyBorder="0" applyAlignment="0" applyProtection="0"/>
    <xf numFmtId="44" fontId="42" fillId="0" borderId="0" applyFont="0" applyFill="0" applyBorder="0" applyAlignment="0" applyProtection="0"/>
    <xf numFmtId="0" fontId="37" fillId="0" borderId="0"/>
    <xf numFmtId="0" fontId="42" fillId="0" borderId="0"/>
    <xf numFmtId="44" fontId="35" fillId="0" borderId="0" applyFont="0" applyFill="0" applyBorder="0" applyAlignment="0" applyProtection="0"/>
    <xf numFmtId="0" fontId="42" fillId="0" borderId="0"/>
    <xf numFmtId="44" fontId="35" fillId="0" borderId="0" applyFont="0" applyFill="0" applyBorder="0" applyAlignment="0" applyProtection="0"/>
    <xf numFmtId="0" fontId="42" fillId="0" borderId="0"/>
    <xf numFmtId="44" fontId="35" fillId="0" borderId="0" applyFont="0" applyFill="0" applyBorder="0" applyAlignment="0" applyProtection="0"/>
    <xf numFmtId="44" fontId="35" fillId="0" borderId="0" applyFont="0" applyFill="0" applyBorder="0" applyAlignment="0" applyProtection="0"/>
    <xf numFmtId="44" fontId="42" fillId="0" borderId="0" applyFont="0" applyFill="0" applyBorder="0" applyAlignment="0" applyProtection="0"/>
    <xf numFmtId="44" fontId="35" fillId="0" borderId="0" applyFont="0" applyFill="0" applyBorder="0" applyAlignment="0" applyProtection="0"/>
    <xf numFmtId="0" fontId="42" fillId="0" borderId="0"/>
    <xf numFmtId="44" fontId="42" fillId="0" borderId="0" applyFont="0" applyFill="0" applyBorder="0" applyAlignment="0" applyProtection="0"/>
    <xf numFmtId="0" fontId="42" fillId="0" borderId="0"/>
    <xf numFmtId="44" fontId="35" fillId="0" borderId="0" applyFont="0" applyFill="0" applyBorder="0" applyAlignment="0" applyProtection="0"/>
    <xf numFmtId="0" fontId="42" fillId="0" borderId="0"/>
    <xf numFmtId="44" fontId="35" fillId="0" borderId="0" applyFont="0" applyFill="0" applyBorder="0" applyAlignment="0" applyProtection="0"/>
    <xf numFmtId="0" fontId="42" fillId="0" borderId="0"/>
    <xf numFmtId="44" fontId="35" fillId="0" borderId="0" applyFont="0" applyFill="0" applyBorder="0" applyAlignment="0" applyProtection="0"/>
    <xf numFmtId="44" fontId="35" fillId="0" borderId="0" applyFont="0" applyFill="0" applyBorder="0" applyAlignment="0" applyProtection="0"/>
    <xf numFmtId="0" fontId="42" fillId="0" borderId="0"/>
    <xf numFmtId="44" fontId="35" fillId="0" borderId="0" applyFont="0" applyFill="0" applyBorder="0" applyAlignment="0" applyProtection="0"/>
    <xf numFmtId="44" fontId="35" fillId="0" borderId="0" applyFont="0" applyFill="0" applyBorder="0" applyAlignment="0" applyProtection="0"/>
    <xf numFmtId="44" fontId="35" fillId="0" borderId="0" applyFont="0" applyFill="0" applyBorder="0" applyAlignment="0" applyProtection="0"/>
    <xf numFmtId="0" fontId="42" fillId="0" borderId="0"/>
    <xf numFmtId="44" fontId="35" fillId="0" borderId="0" applyFont="0" applyFill="0" applyBorder="0" applyAlignment="0" applyProtection="0"/>
    <xf numFmtId="0" fontId="42" fillId="0" borderId="0"/>
    <xf numFmtId="44" fontId="35" fillId="0" borderId="0" applyFont="0" applyFill="0" applyBorder="0" applyAlignment="0" applyProtection="0"/>
    <xf numFmtId="44" fontId="35" fillId="0" borderId="0" applyFont="0" applyFill="0" applyBorder="0" applyAlignment="0" applyProtection="0"/>
    <xf numFmtId="0" fontId="42" fillId="0" borderId="0"/>
    <xf numFmtId="0" fontId="42" fillId="0" borderId="0"/>
    <xf numFmtId="5" fontId="66" fillId="0" borderId="0" applyFont="0" applyFill="0" applyBorder="0" applyAlignment="0" applyProtection="0"/>
    <xf numFmtId="0" fontId="68" fillId="0" borderId="0">
      <protection locked="0"/>
    </xf>
    <xf numFmtId="0" fontId="42" fillId="0" borderId="0"/>
    <xf numFmtId="0" fontId="42" fillId="0" borderId="0"/>
    <xf numFmtId="0" fontId="66" fillId="0" borderId="0" applyFont="0" applyFill="0" applyBorder="0" applyAlignment="0" applyProtection="0"/>
    <xf numFmtId="14" fontId="33" fillId="0" borderId="0" applyFill="0" applyBorder="0" applyAlignment="0"/>
    <xf numFmtId="183" fontId="35" fillId="0" borderId="0" applyFont="0" applyFill="0" applyBorder="0" applyAlignment="0" applyProtection="0"/>
    <xf numFmtId="0" fontId="68" fillId="0" borderId="0">
      <protection locked="0"/>
    </xf>
    <xf numFmtId="0" fontId="69" fillId="0" borderId="0">
      <protection locked="0"/>
    </xf>
    <xf numFmtId="0" fontId="69" fillId="0" borderId="0">
      <protection locked="0"/>
    </xf>
    <xf numFmtId="176" fontId="35" fillId="0" borderId="0" applyFill="0" applyBorder="0" applyAlignment="0"/>
    <xf numFmtId="176" fontId="35" fillId="0" borderId="0" applyFill="0" applyBorder="0" applyAlignment="0"/>
    <xf numFmtId="176" fontId="35" fillId="0" borderId="0" applyFill="0" applyBorder="0" applyAlignment="0"/>
    <xf numFmtId="176" fontId="35" fillId="0" borderId="0" applyFill="0" applyBorder="0" applyAlignment="0"/>
    <xf numFmtId="177" fontId="35" fillId="0" borderId="0" applyFill="0" applyBorder="0" applyAlignment="0"/>
    <xf numFmtId="177" fontId="35" fillId="0" borderId="0" applyFill="0" applyBorder="0" applyAlignment="0"/>
    <xf numFmtId="177" fontId="35" fillId="0" borderId="0" applyFill="0" applyBorder="0" applyAlignment="0"/>
    <xf numFmtId="177" fontId="35" fillId="0" borderId="0" applyFill="0" applyBorder="0" applyAlignment="0"/>
    <xf numFmtId="176" fontId="35" fillId="0" borderId="0" applyFill="0" applyBorder="0" applyAlignment="0"/>
    <xf numFmtId="176" fontId="35" fillId="0" borderId="0" applyFill="0" applyBorder="0" applyAlignment="0"/>
    <xf numFmtId="176" fontId="35" fillId="0" borderId="0" applyFill="0" applyBorder="0" applyAlignment="0"/>
    <xf numFmtId="176" fontId="35" fillId="0" borderId="0" applyFill="0" applyBorder="0" applyAlignment="0"/>
    <xf numFmtId="181" fontId="35" fillId="0" borderId="0" applyFill="0" applyBorder="0" applyAlignment="0"/>
    <xf numFmtId="181" fontId="35" fillId="0" borderId="0" applyFill="0" applyBorder="0" applyAlignment="0"/>
    <xf numFmtId="181" fontId="35" fillId="0" borderId="0" applyFill="0" applyBorder="0" applyAlignment="0"/>
    <xf numFmtId="181" fontId="35" fillId="0" borderId="0" applyFill="0" applyBorder="0" applyAlignment="0"/>
    <xf numFmtId="177" fontId="35" fillId="0" borderId="0" applyFill="0" applyBorder="0" applyAlignment="0"/>
    <xf numFmtId="177" fontId="35" fillId="0" borderId="0" applyFill="0" applyBorder="0" applyAlignment="0"/>
    <xf numFmtId="177" fontId="35" fillId="0" borderId="0" applyFill="0" applyBorder="0" applyAlignment="0"/>
    <xf numFmtId="177" fontId="35" fillId="0" borderId="0" applyFill="0" applyBorder="0" applyAlignment="0"/>
    <xf numFmtId="0" fontId="70" fillId="0" borderId="0" applyNumberFormat="0" applyAlignment="0">
      <alignment horizontal="left"/>
    </xf>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171" fontId="35" fillId="0" borderId="0" applyFont="0" applyFill="0" applyBorder="0" applyAlignment="0" applyProtection="0"/>
    <xf numFmtId="0" fontId="42" fillId="0" borderId="0"/>
    <xf numFmtId="0" fontId="71" fillId="0" borderId="0" applyNumberFormat="0" applyFill="0" applyBorder="0" applyAlignment="0" applyProtection="0"/>
    <xf numFmtId="170" fontId="30" fillId="0" borderId="0" applyNumberFormat="0" applyFill="0" applyBorder="0" applyAlignment="0" applyProtection="0"/>
    <xf numFmtId="170" fontId="30" fillId="0" borderId="0" applyNumberFormat="0" applyFill="0" applyBorder="0" applyAlignment="0" applyProtection="0"/>
    <xf numFmtId="0" fontId="69" fillId="0" borderId="0">
      <protection locked="0"/>
    </xf>
    <xf numFmtId="0" fontId="69" fillId="0" borderId="0">
      <protection locked="0"/>
    </xf>
    <xf numFmtId="0" fontId="68" fillId="0" borderId="0">
      <protection locked="0"/>
    </xf>
    <xf numFmtId="0" fontId="69" fillId="0" borderId="0">
      <protection locked="0"/>
    </xf>
    <xf numFmtId="0" fontId="69" fillId="0" borderId="0">
      <protection locked="0"/>
    </xf>
    <xf numFmtId="0" fontId="69" fillId="0" borderId="0">
      <protection locked="0"/>
    </xf>
    <xf numFmtId="0" fontId="69" fillId="0" borderId="0">
      <protection locked="0"/>
    </xf>
    <xf numFmtId="0" fontId="68" fillId="0" borderId="0">
      <protection locked="0"/>
    </xf>
    <xf numFmtId="0" fontId="68" fillId="0" borderId="0">
      <protection locked="0"/>
    </xf>
    <xf numFmtId="0" fontId="42" fillId="0" borderId="0"/>
    <xf numFmtId="0" fontId="42" fillId="0" borderId="0"/>
    <xf numFmtId="2" fontId="66" fillId="0" borderId="0" applyFont="0" applyFill="0" applyBorder="0" applyAlignment="0" applyProtection="0"/>
    <xf numFmtId="184" fontId="68" fillId="0" borderId="0">
      <protection locked="0"/>
    </xf>
    <xf numFmtId="0" fontId="42" fillId="0" borderId="0"/>
    <xf numFmtId="0" fontId="72" fillId="52" borderId="0" applyNumberFormat="0" applyBorder="0" applyAlignment="0" applyProtection="0"/>
    <xf numFmtId="170" fontId="23" fillId="19" borderId="0" applyNumberFormat="0" applyBorder="0" applyAlignment="0" applyProtection="0"/>
    <xf numFmtId="170" fontId="23" fillId="19" borderId="0" applyNumberFormat="0" applyBorder="0" applyAlignment="0" applyProtection="0"/>
    <xf numFmtId="38" fontId="51" fillId="64" borderId="0" applyNumberFormat="0" applyBorder="0" applyAlignment="0" applyProtection="0"/>
    <xf numFmtId="0" fontId="73" fillId="76" borderId="0"/>
    <xf numFmtId="0" fontId="40" fillId="0" borderId="10" applyNumberFormat="0" applyAlignment="0" applyProtection="0">
      <alignment horizontal="left" vertical="center"/>
    </xf>
    <xf numFmtId="0" fontId="40" fillId="0" borderId="54">
      <alignment horizontal="left" vertical="center"/>
    </xf>
    <xf numFmtId="0" fontId="42" fillId="0" borderId="0"/>
    <xf numFmtId="0" fontId="74" fillId="0" borderId="58" applyNumberFormat="0" applyFill="0" applyAlignment="0" applyProtection="0"/>
    <xf numFmtId="0" fontId="20" fillId="0" borderId="43" applyNumberFormat="0" applyFill="0" applyAlignment="0" applyProtection="0"/>
    <xf numFmtId="0" fontId="42" fillId="0" borderId="0"/>
    <xf numFmtId="0" fontId="75" fillId="0" borderId="0" applyNumberFormat="0" applyFont="0" applyFill="0" applyAlignment="0" applyProtection="0"/>
    <xf numFmtId="0" fontId="74" fillId="0" borderId="58" applyNumberFormat="0" applyFill="0" applyAlignment="0" applyProtection="0"/>
    <xf numFmtId="170" fontId="20" fillId="0" borderId="43" applyNumberFormat="0" applyFill="0" applyAlignment="0" applyProtection="0"/>
    <xf numFmtId="170" fontId="20" fillId="0" borderId="43" applyNumberFormat="0" applyFill="0" applyAlignment="0" applyProtection="0"/>
    <xf numFmtId="170" fontId="20" fillId="0" borderId="43" applyNumberFormat="0" applyFill="0" applyAlignment="0" applyProtection="0"/>
    <xf numFmtId="0" fontId="42" fillId="0" borderId="0"/>
    <xf numFmtId="0" fontId="76" fillId="0" borderId="59" applyNumberFormat="0" applyFill="0" applyAlignment="0" applyProtection="0"/>
    <xf numFmtId="0" fontId="21" fillId="0" borderId="44" applyNumberFormat="0" applyFill="0" applyAlignment="0" applyProtection="0"/>
    <xf numFmtId="0" fontId="42" fillId="0" borderId="0"/>
    <xf numFmtId="0" fontId="56" fillId="0" borderId="0" applyNumberFormat="0" applyFont="0" applyFill="0" applyAlignment="0" applyProtection="0"/>
    <xf numFmtId="0" fontId="77" fillId="0" borderId="44" applyNumberFormat="0" applyFill="0" applyAlignment="0" applyProtection="0"/>
    <xf numFmtId="0" fontId="76" fillId="0" borderId="59" applyNumberFormat="0" applyFill="0" applyAlignment="0" applyProtection="0"/>
    <xf numFmtId="170" fontId="21" fillId="0" borderId="44" applyNumberFormat="0" applyFill="0" applyAlignment="0" applyProtection="0"/>
    <xf numFmtId="170" fontId="21" fillId="0" borderId="44" applyNumberFormat="0" applyFill="0" applyAlignment="0" applyProtection="0"/>
    <xf numFmtId="170" fontId="21" fillId="0" borderId="44" applyNumberFormat="0" applyFill="0" applyAlignment="0" applyProtection="0"/>
    <xf numFmtId="0" fontId="42" fillId="0" borderId="0"/>
    <xf numFmtId="0" fontId="78" fillId="0" borderId="60" applyNumberFormat="0" applyFill="0" applyAlignment="0" applyProtection="0"/>
    <xf numFmtId="0" fontId="22" fillId="0" borderId="45" applyNumberFormat="0" applyFill="0" applyAlignment="0" applyProtection="0"/>
    <xf numFmtId="0" fontId="78" fillId="0" borderId="60" applyNumberFormat="0" applyFill="0" applyAlignment="0" applyProtection="0"/>
    <xf numFmtId="170" fontId="22" fillId="0" borderId="45" applyNumberFormat="0" applyFill="0" applyAlignment="0" applyProtection="0"/>
    <xf numFmtId="170" fontId="22" fillId="0" borderId="45" applyNumberFormat="0" applyFill="0" applyAlignment="0" applyProtection="0"/>
    <xf numFmtId="170" fontId="22" fillId="0" borderId="45" applyNumberFormat="0" applyFill="0" applyAlignment="0" applyProtection="0"/>
    <xf numFmtId="0" fontId="42" fillId="0" borderId="0"/>
    <xf numFmtId="0" fontId="78" fillId="0" borderId="0" applyNumberFormat="0" applyFill="0" applyBorder="0" applyAlignment="0" applyProtection="0"/>
    <xf numFmtId="0" fontId="22" fillId="0" borderId="0" applyNumberFormat="0" applyFill="0" applyBorder="0" applyAlignment="0" applyProtection="0"/>
    <xf numFmtId="0" fontId="78" fillId="0" borderId="0" applyNumberFormat="0" applyFill="0" applyBorder="0" applyAlignment="0" applyProtection="0"/>
    <xf numFmtId="170" fontId="22" fillId="0" borderId="0" applyNumberFormat="0" applyFill="0" applyBorder="0" applyAlignment="0" applyProtection="0"/>
    <xf numFmtId="170" fontId="22" fillId="0" borderId="0" applyNumberFormat="0" applyFill="0" applyBorder="0" applyAlignment="0" applyProtection="0"/>
    <xf numFmtId="170" fontId="22" fillId="0" borderId="0" applyNumberFormat="0" applyFill="0" applyBorder="0" applyAlignment="0" applyProtection="0"/>
    <xf numFmtId="0" fontId="79" fillId="0" borderId="53">
      <alignment horizontal="center"/>
    </xf>
    <xf numFmtId="0" fontId="79" fillId="0" borderId="0">
      <alignment horizontal="center"/>
    </xf>
    <xf numFmtId="0" fontId="35" fillId="0" borderId="0" applyNumberFormat="0" applyFill="0" applyBorder="0" applyProtection="0">
      <alignment wrapText="1"/>
    </xf>
    <xf numFmtId="0" fontId="35" fillId="0" borderId="0" applyNumberFormat="0" applyFill="0" applyBorder="0" applyProtection="0">
      <alignment wrapText="1"/>
    </xf>
    <xf numFmtId="0" fontId="35" fillId="0" borderId="0" applyNumberFormat="0" applyFill="0" applyBorder="0" applyProtection="0">
      <alignment wrapText="1"/>
    </xf>
    <xf numFmtId="0" fontId="35" fillId="0" borderId="0" applyNumberFormat="0" applyFill="0" applyBorder="0" applyProtection="0">
      <alignment wrapText="1"/>
    </xf>
    <xf numFmtId="0" fontId="35" fillId="0" borderId="0" applyNumberFormat="0" applyFill="0" applyBorder="0" applyProtection="0">
      <alignment horizontal="justify" vertical="top" wrapText="1"/>
    </xf>
    <xf numFmtId="0" fontId="35" fillId="0" borderId="0" applyNumberFormat="0" applyFill="0" applyBorder="0" applyProtection="0">
      <alignment horizontal="justify" vertical="top" wrapText="1"/>
    </xf>
    <xf numFmtId="0" fontId="35" fillId="0" borderId="0" applyNumberFormat="0" applyFill="0" applyBorder="0" applyProtection="0">
      <alignment horizontal="justify" vertical="top" wrapText="1"/>
    </xf>
    <xf numFmtId="0" fontId="35" fillId="0" borderId="0" applyNumberFormat="0" applyFill="0" applyBorder="0" applyProtection="0">
      <alignment horizontal="justify" vertical="top" wrapText="1"/>
    </xf>
    <xf numFmtId="0" fontId="80" fillId="0" borderId="0" applyNumberFormat="0" applyFill="0" applyBorder="0" applyAlignment="0" applyProtection="0">
      <alignment vertical="top"/>
      <protection locked="0"/>
    </xf>
    <xf numFmtId="0" fontId="42" fillId="0" borderId="0"/>
    <xf numFmtId="10" fontId="51" fillId="66" borderId="2" applyNumberFormat="0" applyBorder="0" applyAlignment="0" applyProtection="0"/>
    <xf numFmtId="0" fontId="42" fillId="0" borderId="0"/>
    <xf numFmtId="0" fontId="81" fillId="55" borderId="56" applyNumberFormat="0" applyAlignment="0" applyProtection="0"/>
    <xf numFmtId="0" fontId="26" fillId="22" borderId="46" applyNumberFormat="0" applyAlignment="0" applyProtection="0"/>
    <xf numFmtId="0" fontId="42" fillId="0" borderId="0"/>
    <xf numFmtId="0" fontId="81" fillId="55" borderId="56" applyNumberFormat="0" applyAlignment="0" applyProtection="0"/>
    <xf numFmtId="0" fontId="26" fillId="55" borderId="46" applyNumberFormat="0" applyAlignment="0" applyProtection="0"/>
    <xf numFmtId="0" fontId="81" fillId="55" borderId="56" applyNumberFormat="0" applyAlignment="0" applyProtection="0"/>
    <xf numFmtId="0" fontId="81" fillId="55" borderId="56" applyNumberFormat="0" applyAlignment="0" applyProtection="0"/>
    <xf numFmtId="170" fontId="26" fillId="22" borderId="46" applyNumberFormat="0" applyAlignment="0" applyProtection="0"/>
    <xf numFmtId="170" fontId="26" fillId="22" borderId="46" applyNumberFormat="0" applyAlignment="0" applyProtection="0"/>
    <xf numFmtId="0" fontId="42" fillId="0" borderId="0"/>
    <xf numFmtId="0" fontId="49" fillId="0" borderId="0"/>
    <xf numFmtId="0" fontId="42" fillId="0" borderId="0"/>
    <xf numFmtId="0" fontId="42" fillId="0" borderId="0"/>
    <xf numFmtId="170" fontId="35" fillId="0" borderId="0"/>
    <xf numFmtId="0" fontId="42" fillId="0" borderId="0"/>
    <xf numFmtId="0" fontId="35" fillId="0" borderId="0"/>
    <xf numFmtId="170" fontId="35" fillId="0" borderId="0"/>
    <xf numFmtId="0" fontId="42" fillId="0" borderId="0"/>
    <xf numFmtId="0" fontId="35" fillId="0" borderId="0"/>
    <xf numFmtId="0" fontId="42" fillId="0" borderId="0"/>
    <xf numFmtId="0" fontId="42" fillId="0" borderId="0"/>
    <xf numFmtId="0" fontId="35" fillId="0" borderId="0"/>
    <xf numFmtId="0" fontId="35" fillId="0" borderId="0"/>
    <xf numFmtId="0" fontId="35" fillId="0" borderId="0"/>
    <xf numFmtId="0" fontId="42" fillId="0" borderId="0"/>
    <xf numFmtId="0" fontId="36" fillId="0" borderId="0"/>
    <xf numFmtId="0" fontId="33" fillId="0" borderId="0"/>
    <xf numFmtId="0" fontId="36" fillId="0" borderId="0"/>
    <xf numFmtId="0" fontId="35" fillId="0" borderId="0"/>
    <xf numFmtId="0" fontId="49" fillId="0" borderId="0"/>
    <xf numFmtId="0" fontId="35" fillId="0" borderId="0"/>
    <xf numFmtId="0" fontId="35" fillId="0" borderId="0"/>
    <xf numFmtId="0" fontId="35" fillId="0" borderId="0"/>
    <xf numFmtId="0" fontId="31" fillId="0" borderId="0"/>
    <xf numFmtId="0" fontId="35" fillId="0" borderId="0"/>
    <xf numFmtId="176" fontId="35" fillId="0" borderId="0" applyFill="0" applyBorder="0" applyAlignment="0"/>
    <xf numFmtId="176" fontId="35" fillId="0" borderId="0" applyFill="0" applyBorder="0" applyAlignment="0"/>
    <xf numFmtId="176" fontId="35" fillId="0" borderId="0" applyFill="0" applyBorder="0" applyAlignment="0"/>
    <xf numFmtId="176" fontId="35" fillId="0" borderId="0" applyFill="0" applyBorder="0" applyAlignment="0"/>
    <xf numFmtId="177" fontId="35" fillId="0" borderId="0" applyFill="0" applyBorder="0" applyAlignment="0"/>
    <xf numFmtId="177" fontId="35" fillId="0" borderId="0" applyFill="0" applyBorder="0" applyAlignment="0"/>
    <xf numFmtId="177" fontId="35" fillId="0" borderId="0" applyFill="0" applyBorder="0" applyAlignment="0"/>
    <xf numFmtId="177" fontId="35" fillId="0" borderId="0" applyFill="0" applyBorder="0" applyAlignment="0"/>
    <xf numFmtId="176" fontId="35" fillId="0" borderId="0" applyFill="0" applyBorder="0" applyAlignment="0"/>
    <xf numFmtId="176" fontId="35" fillId="0" borderId="0" applyFill="0" applyBorder="0" applyAlignment="0"/>
    <xf numFmtId="176" fontId="35" fillId="0" borderId="0" applyFill="0" applyBorder="0" applyAlignment="0"/>
    <xf numFmtId="176" fontId="35" fillId="0" borderId="0" applyFill="0" applyBorder="0" applyAlignment="0"/>
    <xf numFmtId="181" fontId="35" fillId="0" borderId="0" applyFill="0" applyBorder="0" applyAlignment="0"/>
    <xf numFmtId="181" fontId="35" fillId="0" borderId="0" applyFill="0" applyBorder="0" applyAlignment="0"/>
    <xf numFmtId="181" fontId="35" fillId="0" borderId="0" applyFill="0" applyBorder="0" applyAlignment="0"/>
    <xf numFmtId="181" fontId="35" fillId="0" borderId="0" applyFill="0" applyBorder="0" applyAlignment="0"/>
    <xf numFmtId="177" fontId="35" fillId="0" borderId="0" applyFill="0" applyBorder="0" applyAlignment="0"/>
    <xf numFmtId="177" fontId="35" fillId="0" borderId="0" applyFill="0" applyBorder="0" applyAlignment="0"/>
    <xf numFmtId="177" fontId="35" fillId="0" borderId="0" applyFill="0" applyBorder="0" applyAlignment="0"/>
    <xf numFmtId="177" fontId="35" fillId="0" borderId="0" applyFill="0" applyBorder="0" applyAlignment="0"/>
    <xf numFmtId="0" fontId="42" fillId="0" borderId="0"/>
    <xf numFmtId="0" fontId="82" fillId="0" borderId="61" applyNumberFormat="0" applyFill="0" applyAlignment="0" applyProtection="0"/>
    <xf numFmtId="170" fontId="29" fillId="0" borderId="48" applyNumberFormat="0" applyFill="0" applyAlignment="0" applyProtection="0"/>
    <xf numFmtId="170" fontId="29" fillId="0" borderId="48" applyNumberFormat="0" applyFill="0" applyAlignment="0" applyProtection="0"/>
    <xf numFmtId="185" fontId="35" fillId="0" borderId="0" applyFont="0" applyFill="0" applyBorder="0" applyAlignment="0" applyProtection="0"/>
    <xf numFmtId="186" fontId="35" fillId="0" borderId="0" applyFont="0" applyFill="0" applyBorder="0" applyAlignment="0" applyProtection="0"/>
    <xf numFmtId="0" fontId="51" fillId="0" borderId="2" applyNumberFormat="0" applyFont="0" applyBorder="0">
      <alignment horizontal="left" vertical="top" wrapText="1"/>
    </xf>
    <xf numFmtId="0" fontId="35" fillId="0" borderId="0" applyFont="0" applyFill="0" applyBorder="0" applyAlignment="0" applyProtection="0"/>
    <xf numFmtId="0" fontId="35" fillId="0" borderId="0" applyFont="0" applyFill="0" applyBorder="0" applyAlignment="0" applyProtection="0"/>
    <xf numFmtId="0" fontId="68" fillId="0" borderId="0">
      <protection locked="0"/>
    </xf>
    <xf numFmtId="0" fontId="42" fillId="0" borderId="0"/>
    <xf numFmtId="0" fontId="83" fillId="77" borderId="0" applyNumberFormat="0" applyBorder="0" applyAlignment="0" applyProtection="0"/>
    <xf numFmtId="170" fontId="25" fillId="21" borderId="0" applyNumberFormat="0" applyBorder="0" applyAlignment="0" applyProtection="0"/>
    <xf numFmtId="170" fontId="25" fillId="21" borderId="0" applyNumberFormat="0" applyBorder="0" applyAlignment="0" applyProtection="0"/>
    <xf numFmtId="0" fontId="35" fillId="0" borderId="0"/>
    <xf numFmtId="0" fontId="35" fillId="0" borderId="0"/>
    <xf numFmtId="0" fontId="35" fillId="0" borderId="0"/>
    <xf numFmtId="0" fontId="35" fillId="0" borderId="0"/>
    <xf numFmtId="0" fontId="35" fillId="0" borderId="0">
      <alignment horizontal="left" indent="2"/>
    </xf>
    <xf numFmtId="0" fontId="35" fillId="0" borderId="0">
      <alignment horizontal="left" indent="2"/>
    </xf>
    <xf numFmtId="0" fontId="35" fillId="0" borderId="0">
      <alignment horizontal="left" indent="2"/>
    </xf>
    <xf numFmtId="0" fontId="35" fillId="0" borderId="0">
      <alignment horizontal="left" indent="2"/>
    </xf>
    <xf numFmtId="37" fontId="84" fillId="0" borderId="0"/>
    <xf numFmtId="0" fontId="85" fillId="0" borderId="0"/>
    <xf numFmtId="174" fontId="54" fillId="0" borderId="0"/>
    <xf numFmtId="0" fontId="7" fillId="0" borderId="0"/>
    <xf numFmtId="0" fontId="50" fillId="0" borderId="0"/>
    <xf numFmtId="0" fontId="7" fillId="0" borderId="0"/>
    <xf numFmtId="0" fontId="50" fillId="0" borderId="0"/>
    <xf numFmtId="0" fontId="7" fillId="0" borderId="0"/>
    <xf numFmtId="0" fontId="50" fillId="0" borderId="0"/>
    <xf numFmtId="0" fontId="7" fillId="0" borderId="0"/>
    <xf numFmtId="0" fontId="50" fillId="0" borderId="0"/>
    <xf numFmtId="0" fontId="7" fillId="0" borderId="0"/>
    <xf numFmtId="0" fontId="50" fillId="0" borderId="0"/>
    <xf numFmtId="0" fontId="7" fillId="0" borderId="0"/>
    <xf numFmtId="0" fontId="50" fillId="0" borderId="0"/>
    <xf numFmtId="0" fontId="7" fillId="0" borderId="0"/>
    <xf numFmtId="0" fontId="50" fillId="0" borderId="0"/>
    <xf numFmtId="170" fontId="7" fillId="0" borderId="0"/>
    <xf numFmtId="0" fontId="37" fillId="0" borderId="0"/>
    <xf numFmtId="0" fontId="86"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170" fontId="7" fillId="0" borderId="0"/>
    <xf numFmtId="170" fontId="7" fillId="0" borderId="0"/>
    <xf numFmtId="0" fontId="8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0" fontId="86"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170" fontId="7" fillId="0" borderId="0"/>
    <xf numFmtId="17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35"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0" fontId="8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37" fillId="0" borderId="0"/>
    <xf numFmtId="0" fontId="3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64"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5" fillId="0" borderId="0"/>
    <xf numFmtId="17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5" fillId="0" borderId="0"/>
    <xf numFmtId="0" fontId="35" fillId="0" borderId="0"/>
    <xf numFmtId="0" fontId="35"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73" fontId="50" fillId="0" borderId="0"/>
    <xf numFmtId="170" fontId="7" fillId="0" borderId="0"/>
    <xf numFmtId="170" fontId="7" fillId="0" borderId="0"/>
    <xf numFmtId="170" fontId="7" fillId="0" borderId="0"/>
    <xf numFmtId="0" fontId="35" fillId="0" borderId="0"/>
    <xf numFmtId="17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5"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5"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70" fontId="35" fillId="0" borderId="0"/>
    <xf numFmtId="170" fontId="35" fillId="0" borderId="0"/>
    <xf numFmtId="0" fontId="7" fillId="0" borderId="0"/>
    <xf numFmtId="0" fontId="7" fillId="0" borderId="0"/>
    <xf numFmtId="0" fontId="7" fillId="0" borderId="0"/>
    <xf numFmtId="0" fontId="7" fillId="0" borderId="0"/>
    <xf numFmtId="0" fontId="42" fillId="0" borderId="0"/>
    <xf numFmtId="0" fontId="35" fillId="0" borderId="0"/>
    <xf numFmtId="0" fontId="42" fillId="0" borderId="0"/>
    <xf numFmtId="0" fontId="35" fillId="0" borderId="0"/>
    <xf numFmtId="0" fontId="35"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0" fontId="35" fillId="0" borderId="0"/>
    <xf numFmtId="0" fontId="35" fillId="0" borderId="0"/>
    <xf numFmtId="0" fontId="7" fillId="0" borderId="0"/>
    <xf numFmtId="0" fontId="42" fillId="0" borderId="0"/>
    <xf numFmtId="0" fontId="36" fillId="0" borderId="0"/>
    <xf numFmtId="0" fontId="36" fillId="0" borderId="0"/>
    <xf numFmtId="0" fontId="42"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47" fillId="0" borderId="0"/>
    <xf numFmtId="0" fontId="35" fillId="0" borderId="0"/>
    <xf numFmtId="0" fontId="35" fillId="0" borderId="0"/>
    <xf numFmtId="0" fontId="35" fillId="0" borderId="0"/>
    <xf numFmtId="0" fontId="37" fillId="0" borderId="0"/>
    <xf numFmtId="0" fontId="50" fillId="0" borderId="0"/>
    <xf numFmtId="0" fontId="88" fillId="0" borderId="0"/>
    <xf numFmtId="0" fontId="35" fillId="0" borderId="0"/>
    <xf numFmtId="0" fontId="33" fillId="0" borderId="0"/>
    <xf numFmtId="0" fontId="33" fillId="0" borderId="0"/>
    <xf numFmtId="0" fontId="37"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35" fillId="0" borderId="0"/>
    <xf numFmtId="170" fontId="7" fillId="0" borderId="0"/>
    <xf numFmtId="170" fontId="7" fillId="0" borderId="0"/>
    <xf numFmtId="170" fontId="7" fillId="0" borderId="0"/>
    <xf numFmtId="0" fontId="35" fillId="0" borderId="0"/>
    <xf numFmtId="0" fontId="35"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5"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5"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5" fillId="0" borderId="0"/>
    <xf numFmtId="0" fontId="35" fillId="0" borderId="0"/>
    <xf numFmtId="0" fontId="7" fillId="0" borderId="0"/>
    <xf numFmtId="0" fontId="7" fillId="0" borderId="0"/>
    <xf numFmtId="0" fontId="7" fillId="0" borderId="0"/>
    <xf numFmtId="0" fontId="7" fillId="0" borderId="0"/>
    <xf numFmtId="0" fontId="35" fillId="0" borderId="0"/>
    <xf numFmtId="0" fontId="35" fillId="0" borderId="0"/>
    <xf numFmtId="170" fontId="35" fillId="0" borderId="0"/>
    <xf numFmtId="0" fontId="7" fillId="0" borderId="0"/>
    <xf numFmtId="0" fontId="7" fillId="0" borderId="0"/>
    <xf numFmtId="0" fontId="7" fillId="0" borderId="0"/>
    <xf numFmtId="0" fontId="7" fillId="0" borderId="0"/>
    <xf numFmtId="170" fontId="35" fillId="0" borderId="0"/>
    <xf numFmtId="0" fontId="7" fillId="0" borderId="0"/>
    <xf numFmtId="0" fontId="7" fillId="0" borderId="0"/>
    <xf numFmtId="0" fontId="7" fillId="0" borderId="0"/>
    <xf numFmtId="0" fontId="7" fillId="0" borderId="0"/>
    <xf numFmtId="170" fontId="7" fillId="0" borderId="0"/>
    <xf numFmtId="170" fontId="7" fillId="0" borderId="0"/>
    <xf numFmtId="170" fontId="7" fillId="0" borderId="0"/>
    <xf numFmtId="0" fontId="35" fillId="0" borderId="0"/>
    <xf numFmtId="17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5" fillId="0" borderId="0"/>
    <xf numFmtId="0" fontId="35" fillId="0" borderId="0"/>
    <xf numFmtId="0" fontId="7" fillId="0" borderId="0"/>
    <xf numFmtId="0" fontId="7" fillId="0" borderId="0"/>
    <xf numFmtId="0" fontId="7" fillId="0" borderId="0"/>
    <xf numFmtId="0" fontId="7" fillId="0" borderId="0"/>
    <xf numFmtId="0" fontId="35" fillId="0" borderId="0"/>
    <xf numFmtId="0" fontId="35" fillId="0" borderId="0"/>
    <xf numFmtId="0" fontId="35" fillId="0" borderId="0"/>
    <xf numFmtId="0" fontId="7" fillId="0" borderId="0"/>
    <xf numFmtId="17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0" fontId="7" fillId="0" borderId="0"/>
    <xf numFmtId="0" fontId="7" fillId="0" borderId="0"/>
    <xf numFmtId="0" fontId="35" fillId="0" borderId="0"/>
    <xf numFmtId="0" fontId="36" fillId="0" borderId="0"/>
    <xf numFmtId="0" fontId="35" fillId="0" borderId="0"/>
    <xf numFmtId="170" fontId="35" fillId="0" borderId="0"/>
    <xf numFmtId="0" fontId="35" fillId="0" borderId="0"/>
    <xf numFmtId="0" fontId="38" fillId="0" borderId="0"/>
    <xf numFmtId="0" fontId="44" fillId="0" borderId="0"/>
    <xf numFmtId="0" fontId="37" fillId="0" borderId="0"/>
    <xf numFmtId="0" fontId="7" fillId="0" borderId="0"/>
    <xf numFmtId="0" fontId="35" fillId="0" borderId="0"/>
    <xf numFmtId="0" fontId="35" fillId="0" borderId="0"/>
    <xf numFmtId="0" fontId="53" fillId="0" borderId="0"/>
    <xf numFmtId="17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5" fillId="0" borderId="0"/>
    <xf numFmtId="0" fontId="35" fillId="0" borderId="0"/>
    <xf numFmtId="0" fontId="35" fillId="0" borderId="0"/>
    <xf numFmtId="0" fontId="7" fillId="0" borderId="0"/>
    <xf numFmtId="0" fontId="35" fillId="0" borderId="0"/>
    <xf numFmtId="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5" fillId="0" borderId="0"/>
    <xf numFmtId="0" fontId="3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5" fillId="0" borderId="0"/>
    <xf numFmtId="0" fontId="35" fillId="0" borderId="0"/>
    <xf numFmtId="0" fontId="35" fillId="0" borderId="0"/>
    <xf numFmtId="0" fontId="50"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3" fillId="0" borderId="0"/>
    <xf numFmtId="0" fontId="47" fillId="0" borderId="0"/>
    <xf numFmtId="0" fontId="50" fillId="0" borderId="0"/>
    <xf numFmtId="0" fontId="7" fillId="0" borderId="0"/>
    <xf numFmtId="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5" fillId="0" borderId="0"/>
    <xf numFmtId="0" fontId="33" fillId="0" borderId="0"/>
    <xf numFmtId="0" fontId="35" fillId="0" borderId="0"/>
    <xf numFmtId="0" fontId="47" fillId="0" borderId="0"/>
    <xf numFmtId="0" fontId="35" fillId="0" borderId="0"/>
    <xf numFmtId="0" fontId="33" fillId="0" borderId="0"/>
    <xf numFmtId="0" fontId="7" fillId="0" borderId="0"/>
    <xf numFmtId="0" fontId="35" fillId="0" borderId="0"/>
    <xf numFmtId="0" fontId="7" fillId="0" borderId="0"/>
    <xf numFmtId="0" fontId="35" fillId="0" borderId="0"/>
    <xf numFmtId="0" fontId="33" fillId="0" borderId="0"/>
    <xf numFmtId="0" fontId="33" fillId="0" borderId="0"/>
    <xf numFmtId="0" fontId="37" fillId="0" borderId="0"/>
    <xf numFmtId="0" fontId="7" fillId="0" borderId="0"/>
    <xf numFmtId="0" fontId="37" fillId="0" borderId="0"/>
    <xf numFmtId="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3"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42" fillId="0" borderId="0"/>
    <xf numFmtId="0" fontId="35" fillId="0" borderId="0"/>
    <xf numFmtId="0" fontId="35" fillId="0" borderId="0"/>
    <xf numFmtId="0" fontId="42" fillId="0" borderId="0"/>
    <xf numFmtId="0" fontId="35" fillId="0" borderId="0"/>
    <xf numFmtId="0" fontId="42" fillId="0" borderId="0"/>
    <xf numFmtId="0" fontId="35" fillId="0" borderId="0"/>
    <xf numFmtId="0" fontId="42"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3"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5" fillId="0" borderId="0"/>
    <xf numFmtId="0" fontId="35" fillId="0" borderId="0"/>
    <xf numFmtId="0" fontId="35"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3"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88"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3"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3" fillId="0" borderId="0"/>
    <xf numFmtId="0" fontId="33" fillId="0" borderId="0"/>
    <xf numFmtId="0" fontId="33"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5"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33"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0" fontId="42" fillId="25" borderId="50" applyNumberFormat="0" applyFont="0" applyAlignment="0" applyProtection="0"/>
    <xf numFmtId="0" fontId="42" fillId="25" borderId="50" applyNumberFormat="0" applyFont="0" applyAlignment="0" applyProtection="0"/>
    <xf numFmtId="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0" fontId="42"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0" fontId="42"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0" fontId="42"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0" fontId="42"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0" fontId="42"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0" fontId="42" fillId="25" borderId="50" applyNumberFormat="0" applyFont="0" applyAlignment="0" applyProtection="0"/>
    <xf numFmtId="0" fontId="42"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0" fontId="42"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0" fontId="42"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0" fontId="42"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0" fontId="42" fillId="25" borderId="50" applyNumberFormat="0" applyFont="0" applyAlignment="0" applyProtection="0"/>
    <xf numFmtId="0" fontId="42"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0" fontId="42"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0" fontId="42" fillId="25" borderId="50" applyNumberFormat="0" applyFont="0" applyAlignment="0" applyProtection="0"/>
    <xf numFmtId="0" fontId="42" fillId="25" borderId="50" applyNumberFormat="0" applyFont="0" applyAlignment="0" applyProtection="0"/>
    <xf numFmtId="0" fontId="42" fillId="25" borderId="50" applyNumberFormat="0" applyFont="0" applyAlignment="0" applyProtection="0"/>
    <xf numFmtId="0" fontId="7" fillId="0" borderId="0"/>
    <xf numFmtId="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0" fontId="42"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0" fontId="42"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0" fontId="42"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0" fontId="42"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0" fontId="42"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0" fontId="42" fillId="25" borderId="50" applyNumberFormat="0" applyFont="0" applyAlignment="0" applyProtection="0"/>
    <xf numFmtId="0" fontId="42" fillId="25" borderId="50" applyNumberFormat="0" applyFont="0" applyAlignment="0" applyProtection="0"/>
    <xf numFmtId="0" fontId="42" fillId="25" borderId="50" applyNumberFormat="0" applyFont="0" applyAlignment="0" applyProtection="0"/>
    <xf numFmtId="0" fontId="42"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0" fontId="42"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0" fontId="7" fillId="0" borderId="0"/>
    <xf numFmtId="0" fontId="42" fillId="25" borderId="50" applyNumberFormat="0" applyFont="0" applyAlignment="0" applyProtection="0"/>
    <xf numFmtId="0" fontId="42" fillId="25" borderId="50" applyNumberFormat="0" applyFont="0" applyAlignment="0" applyProtection="0"/>
    <xf numFmtId="0" fontId="7" fillId="25" borderId="50" applyNumberFormat="0" applyFont="0" applyAlignment="0" applyProtection="0"/>
    <xf numFmtId="0" fontId="42" fillId="25" borderId="50" applyNumberFormat="0" applyFont="0" applyAlignment="0" applyProtection="0"/>
    <xf numFmtId="0" fontId="42" fillId="25" borderId="50" applyNumberFormat="0" applyFont="0" applyAlignment="0" applyProtection="0"/>
    <xf numFmtId="0" fontId="7" fillId="0" borderId="0"/>
    <xf numFmtId="0" fontId="42" fillId="25" borderId="50" applyNumberFormat="0" applyFont="0" applyAlignment="0" applyProtection="0"/>
    <xf numFmtId="0" fontId="42" fillId="25" borderId="50" applyNumberFormat="0" applyFont="0" applyAlignment="0" applyProtection="0"/>
    <xf numFmtId="0" fontId="7" fillId="25" borderId="50" applyNumberFormat="0" applyFont="0" applyAlignment="0" applyProtection="0"/>
    <xf numFmtId="0" fontId="42"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170" fontId="7" fillId="25" borderId="50" applyNumberFormat="0" applyFont="0" applyAlignment="0" applyProtection="0"/>
    <xf numFmtId="0" fontId="42" fillId="25" borderId="50" applyNumberFormat="0" applyFont="0" applyAlignment="0" applyProtection="0"/>
    <xf numFmtId="0" fontId="7" fillId="0" borderId="0"/>
    <xf numFmtId="0" fontId="42" fillId="78" borderId="52" applyNumberFormat="0" applyFont="0" applyAlignment="0" applyProtection="0"/>
    <xf numFmtId="0" fontId="42" fillId="25" borderId="50" applyNumberFormat="0" applyFont="0" applyAlignment="0" applyProtection="0"/>
    <xf numFmtId="0" fontId="7" fillId="0" borderId="0"/>
    <xf numFmtId="0" fontId="42" fillId="78" borderId="52" applyNumberFormat="0" applyFont="0" applyAlignment="0" applyProtection="0"/>
    <xf numFmtId="0" fontId="42" fillId="25" borderId="50" applyNumberFormat="0" applyFont="0" applyAlignment="0" applyProtection="0"/>
    <xf numFmtId="0" fontId="42" fillId="25" borderId="50" applyNumberFormat="0" applyFont="0" applyAlignment="0" applyProtection="0"/>
    <xf numFmtId="0" fontId="89" fillId="64" borderId="52">
      <alignment vertical="center"/>
    </xf>
    <xf numFmtId="0" fontId="90" fillId="62" borderId="62" applyNumberFormat="0" applyAlignment="0" applyProtection="0"/>
    <xf numFmtId="0" fontId="27" fillId="23" borderId="47" applyNumberFormat="0" applyAlignment="0" applyProtection="0"/>
    <xf numFmtId="0" fontId="7" fillId="0" borderId="0"/>
    <xf numFmtId="0" fontId="27" fillId="62" borderId="47" applyNumberFormat="0" applyAlignment="0" applyProtection="0"/>
    <xf numFmtId="14" fontId="56" fillId="0" borderId="0">
      <alignment horizontal="center" wrapText="1"/>
      <protection locked="0"/>
    </xf>
    <xf numFmtId="180" fontId="35" fillId="0" borderId="0" applyFont="0" applyFill="0" applyBorder="0" applyAlignment="0" applyProtection="0"/>
    <xf numFmtId="180" fontId="35" fillId="0" borderId="0" applyFont="0" applyFill="0" applyBorder="0" applyAlignment="0" applyProtection="0"/>
    <xf numFmtId="180" fontId="35" fillId="0" borderId="0" applyFont="0" applyFill="0" applyBorder="0" applyAlignment="0" applyProtection="0"/>
    <xf numFmtId="180" fontId="35" fillId="0" borderId="0" applyFont="0" applyFill="0" applyBorder="0" applyAlignment="0" applyProtection="0"/>
    <xf numFmtId="187" fontId="35" fillId="0" borderId="0" applyFont="0" applyFill="0" applyBorder="0" applyAlignment="0" applyProtection="0"/>
    <xf numFmtId="187" fontId="35" fillId="0" borderId="0" applyFont="0" applyFill="0" applyBorder="0" applyAlignment="0" applyProtection="0"/>
    <xf numFmtId="187" fontId="35" fillId="0" borderId="0" applyFont="0" applyFill="0" applyBorder="0" applyAlignment="0" applyProtection="0"/>
    <xf numFmtId="187" fontId="35" fillId="0" borderId="0" applyFont="0" applyFill="0" applyBorder="0" applyAlignment="0" applyProtection="0"/>
    <xf numFmtId="10" fontId="35" fillId="0" borderId="0" applyFont="0" applyFill="0" applyBorder="0" applyAlignment="0" applyProtection="0"/>
    <xf numFmtId="10" fontId="35" fillId="0" borderId="0" applyFont="0" applyFill="0" applyBorder="0" applyAlignment="0" applyProtection="0"/>
    <xf numFmtId="0" fontId="7" fillId="0" borderId="0"/>
    <xf numFmtId="9" fontId="35" fillId="0" borderId="0" applyFont="0" applyFill="0" applyBorder="0" applyAlignment="0" applyProtection="0"/>
    <xf numFmtId="0" fontId="7" fillId="0" borderId="0"/>
    <xf numFmtId="9" fontId="35" fillId="0" borderId="0" applyFont="0" applyFill="0" applyBorder="0" applyAlignment="0" applyProtection="0"/>
    <xf numFmtId="9" fontId="35" fillId="0" borderId="0" applyFont="0" applyFill="0" applyBorder="0" applyAlignment="0" applyProtection="0"/>
    <xf numFmtId="0" fontId="7" fillId="0" borderId="0"/>
    <xf numFmtId="9" fontId="35" fillId="0" borderId="0" applyFont="0" applyFill="0" applyBorder="0" applyAlignment="0" applyProtection="0"/>
    <xf numFmtId="9" fontId="35" fillId="0" borderId="0" applyFont="0" applyFill="0" applyBorder="0" applyAlignment="0" applyProtection="0"/>
    <xf numFmtId="0" fontId="7" fillId="0" borderId="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7" fillId="0" borderId="0" applyFont="0" applyFill="0" applyBorder="0" applyAlignment="0" applyProtection="0"/>
    <xf numFmtId="9" fontId="35" fillId="0" borderId="0" applyFont="0" applyFill="0" applyBorder="0" applyAlignment="0" applyProtection="0"/>
    <xf numFmtId="9" fontId="7" fillId="0" borderId="0" applyFont="0" applyFill="0" applyBorder="0" applyAlignment="0" applyProtection="0"/>
    <xf numFmtId="9" fontId="35" fillId="0" borderId="0" applyFont="0" applyFill="0" applyBorder="0" applyAlignment="0" applyProtection="0"/>
    <xf numFmtId="9" fontId="7"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2" fillId="0" borderId="0" applyFont="0" applyFill="0" applyBorder="0" applyAlignment="0" applyProtection="0"/>
    <xf numFmtId="9" fontId="35" fillId="0" borderId="0" applyFont="0" applyFill="0" applyBorder="0" applyAlignment="0" applyProtection="0"/>
    <xf numFmtId="9" fontId="32" fillId="0" borderId="0" applyFont="0" applyFill="0" applyBorder="0" applyAlignment="0" applyProtection="0"/>
    <xf numFmtId="9" fontId="35" fillId="0" borderId="0" applyFont="0" applyFill="0" applyBorder="0" applyAlignment="0" applyProtection="0"/>
    <xf numFmtId="0" fontId="7" fillId="0" borderId="0"/>
    <xf numFmtId="9" fontId="35" fillId="0" borderId="0" applyFont="0" applyFill="0" applyBorder="0" applyAlignment="0" applyProtection="0"/>
    <xf numFmtId="0" fontId="7" fillId="0" borderId="0"/>
    <xf numFmtId="0" fontId="7" fillId="0" borderId="0"/>
    <xf numFmtId="9" fontId="35"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9" fontId="32"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2" fillId="0" borderId="0" applyFont="0" applyFill="0" applyBorder="0" applyAlignment="0" applyProtection="0"/>
    <xf numFmtId="0" fontId="7" fillId="0" borderId="0"/>
    <xf numFmtId="0" fontId="37" fillId="0" borderId="0"/>
    <xf numFmtId="0" fontId="7" fillId="0" borderId="0"/>
    <xf numFmtId="9" fontId="41"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0" fontId="7" fillId="0" borderId="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2" fillId="0" borderId="0" applyFont="0" applyFill="0" applyBorder="0" applyAlignment="0" applyProtection="0"/>
    <xf numFmtId="9" fontId="42" fillId="0" borderId="0" applyFont="0" applyFill="0" applyBorder="0" applyAlignment="0" applyProtection="0"/>
    <xf numFmtId="9" fontId="42" fillId="0" borderId="0" applyFont="0" applyFill="0" applyBorder="0" applyAlignment="0" applyProtection="0"/>
    <xf numFmtId="0" fontId="37" fillId="0" borderId="0"/>
    <xf numFmtId="9" fontId="42" fillId="0" borderId="0" applyFont="0" applyFill="0" applyBorder="0" applyAlignment="0" applyProtection="0"/>
    <xf numFmtId="9" fontId="35" fillId="0" borderId="0" applyFont="0" applyFill="0" applyBorder="0" applyAlignment="0" applyProtection="0"/>
    <xf numFmtId="9" fontId="42" fillId="0" borderId="0" applyFont="0" applyFill="0" applyBorder="0" applyAlignment="0" applyProtection="0"/>
    <xf numFmtId="9" fontId="35" fillId="0" borderId="0" applyFont="0" applyFill="0" applyBorder="0" applyAlignment="0" applyProtection="0"/>
    <xf numFmtId="0" fontId="7" fillId="0" borderId="0"/>
    <xf numFmtId="9" fontId="42" fillId="0" borderId="0" applyFont="0" applyFill="0" applyBorder="0" applyAlignment="0" applyProtection="0"/>
    <xf numFmtId="9" fontId="42"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0" fontId="7" fillId="0" borderId="0"/>
    <xf numFmtId="9" fontId="35" fillId="0" borderId="0" applyFont="0" applyFill="0" applyBorder="0" applyAlignment="0" applyProtection="0"/>
    <xf numFmtId="9" fontId="35" fillId="0" borderId="0" applyFont="0" applyFill="0" applyBorder="0" applyAlignment="0" applyProtection="0"/>
    <xf numFmtId="0" fontId="7" fillId="0" borderId="0"/>
    <xf numFmtId="9" fontId="35" fillId="0" borderId="0" applyFont="0" applyFill="0" applyBorder="0" applyAlignment="0" applyProtection="0"/>
    <xf numFmtId="9" fontId="35" fillId="0" borderId="0" applyFont="0" applyFill="0" applyBorder="0" applyAlignment="0" applyProtection="0"/>
    <xf numFmtId="9" fontId="64" fillId="0" borderId="0" applyFont="0" applyFill="0" applyBorder="0" applyAlignment="0" applyProtection="0"/>
    <xf numFmtId="9" fontId="35" fillId="0" borderId="0" applyFont="0" applyFill="0" applyBorder="0" applyAlignment="0" applyProtection="0"/>
    <xf numFmtId="9" fontId="35" fillId="0" borderId="0" applyFont="0" applyFill="0" applyBorder="0" applyAlignment="0" applyProtection="0"/>
    <xf numFmtId="0" fontId="7" fillId="0" borderId="0"/>
    <xf numFmtId="9" fontId="35" fillId="0" borderId="0" applyFont="0" applyFill="0" applyBorder="0" applyAlignment="0" applyProtection="0"/>
    <xf numFmtId="188" fontId="68" fillId="0" borderId="0">
      <protection locked="0"/>
    </xf>
    <xf numFmtId="189" fontId="68" fillId="0" borderId="0">
      <protection locked="0"/>
    </xf>
    <xf numFmtId="0" fontId="68" fillId="0" borderId="0">
      <protection locked="0"/>
    </xf>
    <xf numFmtId="0" fontId="7" fillId="0" borderId="0"/>
    <xf numFmtId="176" fontId="35" fillId="0" borderId="0" applyFill="0" applyBorder="0" applyAlignment="0"/>
    <xf numFmtId="176" fontId="35" fillId="0" borderId="0" applyFill="0" applyBorder="0" applyAlignment="0"/>
    <xf numFmtId="176" fontId="35" fillId="0" borderId="0" applyFill="0" applyBorder="0" applyAlignment="0"/>
    <xf numFmtId="176" fontId="35" fillId="0" borderId="0" applyFill="0" applyBorder="0" applyAlignment="0"/>
    <xf numFmtId="177" fontId="35" fillId="0" borderId="0" applyFill="0" applyBorder="0" applyAlignment="0"/>
    <xf numFmtId="177" fontId="35" fillId="0" borderId="0" applyFill="0" applyBorder="0" applyAlignment="0"/>
    <xf numFmtId="177" fontId="35" fillId="0" borderId="0" applyFill="0" applyBorder="0" applyAlignment="0"/>
    <xf numFmtId="177" fontId="35" fillId="0" borderId="0" applyFill="0" applyBorder="0" applyAlignment="0"/>
    <xf numFmtId="176" fontId="35" fillId="0" borderId="0" applyFill="0" applyBorder="0" applyAlignment="0"/>
    <xf numFmtId="176" fontId="35" fillId="0" borderId="0" applyFill="0" applyBorder="0" applyAlignment="0"/>
    <xf numFmtId="176" fontId="35" fillId="0" borderId="0" applyFill="0" applyBorder="0" applyAlignment="0"/>
    <xf numFmtId="176" fontId="35" fillId="0" borderId="0" applyFill="0" applyBorder="0" applyAlignment="0"/>
    <xf numFmtId="181" fontId="35" fillId="0" borderId="0" applyFill="0" applyBorder="0" applyAlignment="0"/>
    <xf numFmtId="181" fontId="35" fillId="0" borderId="0" applyFill="0" applyBorder="0" applyAlignment="0"/>
    <xf numFmtId="181" fontId="35" fillId="0" borderId="0" applyFill="0" applyBorder="0" applyAlignment="0"/>
    <xf numFmtId="181" fontId="35" fillId="0" borderId="0" applyFill="0" applyBorder="0" applyAlignment="0"/>
    <xf numFmtId="177" fontId="35" fillId="0" borderId="0" applyFill="0" applyBorder="0" applyAlignment="0"/>
    <xf numFmtId="177" fontId="35" fillId="0" borderId="0" applyFill="0" applyBorder="0" applyAlignment="0"/>
    <xf numFmtId="177" fontId="35" fillId="0" borderId="0" applyFill="0" applyBorder="0" applyAlignment="0"/>
    <xf numFmtId="177" fontId="35" fillId="0" borderId="0" applyFill="0" applyBorder="0" applyAlignment="0"/>
    <xf numFmtId="0" fontId="91" fillId="79" borderId="0" applyNumberFormat="0" applyFont="0" applyBorder="0" applyAlignment="0">
      <alignment horizontal="center"/>
    </xf>
    <xf numFmtId="14" fontId="92" fillId="0" borderId="0" applyNumberFormat="0" applyFill="0" applyBorder="0" applyAlignment="0" applyProtection="0">
      <alignment horizontal="left"/>
    </xf>
    <xf numFmtId="38" fontId="35" fillId="0" borderId="0"/>
    <xf numFmtId="38" fontId="35" fillId="0" borderId="0"/>
    <xf numFmtId="38" fontId="35" fillId="0" borderId="0"/>
    <xf numFmtId="38" fontId="35" fillId="0" borderId="0"/>
    <xf numFmtId="0" fontId="91" fillId="1" borderId="54" applyNumberFormat="0" applyFont="0" applyAlignment="0">
      <alignment horizontal="center"/>
    </xf>
    <xf numFmtId="0" fontId="93" fillId="0" borderId="0" applyNumberFormat="0" applyFill="0" applyBorder="0" applyAlignment="0">
      <alignment horizontal="center"/>
    </xf>
    <xf numFmtId="0" fontId="7" fillId="0" borderId="0"/>
    <xf numFmtId="0" fontId="35" fillId="0" borderId="0"/>
    <xf numFmtId="0" fontId="7" fillId="0" borderId="0"/>
    <xf numFmtId="0" fontId="35" fillId="0" borderId="0"/>
    <xf numFmtId="0" fontId="7" fillId="0" borderId="0"/>
    <xf numFmtId="0" fontId="35" fillId="0" borderId="0"/>
    <xf numFmtId="0" fontId="7" fillId="0" borderId="0"/>
    <xf numFmtId="0" fontId="35" fillId="0" borderId="0"/>
    <xf numFmtId="0" fontId="94" fillId="80" borderId="0" applyNumberFormat="0" applyBorder="0" applyAlignment="0" applyProtection="0"/>
    <xf numFmtId="0" fontId="95" fillId="0" borderId="0" applyNumberFormat="0" applyFill="0" applyBorder="0" applyAlignment="0" applyProtection="0"/>
    <xf numFmtId="0" fontId="96" fillId="80" borderId="0" applyNumberFormat="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190" fontId="35" fillId="0" borderId="0" applyFill="0" applyBorder="0" applyAlignment="0" applyProtection="0">
      <alignment wrapText="1"/>
    </xf>
    <xf numFmtId="190" fontId="35" fillId="0" borderId="0" applyFill="0" applyBorder="0" applyAlignment="0" applyProtection="0">
      <alignment wrapText="1"/>
    </xf>
    <xf numFmtId="190" fontId="35" fillId="0" borderId="0" applyFill="0" applyBorder="0" applyAlignment="0" applyProtection="0">
      <alignment wrapText="1"/>
    </xf>
    <xf numFmtId="190" fontId="35" fillId="0" borderId="0" applyFill="0" applyBorder="0" applyAlignment="0" applyProtection="0">
      <alignment wrapText="1"/>
    </xf>
    <xf numFmtId="0" fontId="97" fillId="81" borderId="0" applyNumberFormat="0" applyBorder="0" applyProtection="0">
      <alignment horizontal="center"/>
    </xf>
    <xf numFmtId="0" fontId="98" fillId="81" borderId="0" applyNumberFormat="0" applyBorder="0" applyAlignment="0" applyProtection="0"/>
    <xf numFmtId="0" fontId="35" fillId="0" borderId="0" applyNumberFormat="0" applyFont="0" applyFill="0" applyBorder="0" applyProtection="0">
      <alignment horizontal="right"/>
    </xf>
    <xf numFmtId="0" fontId="35" fillId="0" borderId="0" applyNumberFormat="0" applyFont="0" applyFill="0" applyBorder="0" applyProtection="0">
      <alignment horizontal="right"/>
    </xf>
    <xf numFmtId="0" fontId="35" fillId="0" borderId="0" applyNumberFormat="0" applyFont="0" applyFill="0" applyBorder="0" applyProtection="0">
      <alignment horizontal="right"/>
    </xf>
    <xf numFmtId="0" fontId="35" fillId="0" borderId="0" applyNumberFormat="0" applyFont="0" applyFill="0" applyBorder="0" applyProtection="0">
      <alignment horizontal="right"/>
    </xf>
    <xf numFmtId="0" fontId="35" fillId="0" borderId="0" applyNumberFormat="0" applyFont="0" applyFill="0" applyBorder="0" applyProtection="0">
      <alignment horizontal="left"/>
    </xf>
    <xf numFmtId="0" fontId="35" fillId="0" borderId="0" applyNumberFormat="0" applyFont="0" applyFill="0" applyBorder="0" applyProtection="0">
      <alignment horizontal="left"/>
    </xf>
    <xf numFmtId="0" fontId="35" fillId="0" borderId="0" applyNumberFormat="0" applyFont="0" applyFill="0" applyBorder="0" applyProtection="0">
      <alignment horizontal="left"/>
    </xf>
    <xf numFmtId="0" fontId="35" fillId="0" borderId="0" applyNumberFormat="0" applyFont="0" applyFill="0" applyBorder="0" applyProtection="0">
      <alignment horizontal="left"/>
    </xf>
    <xf numFmtId="0" fontId="51" fillId="0" borderId="0" applyNumberFormat="0" applyFill="0" applyBorder="0" applyAlignment="0" applyProtection="0"/>
    <xf numFmtId="0" fontId="99" fillId="0" borderId="0" applyNumberFormat="0" applyFill="0" applyBorder="0" applyAlignment="0" applyProtection="0"/>
    <xf numFmtId="0" fontId="35" fillId="82" borderId="0" applyNumberFormat="0" applyFont="0" applyBorder="0" applyAlignment="0" applyProtection="0"/>
    <xf numFmtId="0" fontId="35" fillId="82" borderId="0" applyNumberFormat="0" applyFont="0" applyBorder="0" applyAlignment="0" applyProtection="0"/>
    <xf numFmtId="0" fontId="35" fillId="82" borderId="0" applyNumberFormat="0" applyFont="0" applyBorder="0" applyAlignment="0" applyProtection="0"/>
    <xf numFmtId="0" fontId="35" fillId="82" borderId="0" applyNumberFormat="0" applyFont="0" applyBorder="0" applyAlignment="0" applyProtection="0"/>
    <xf numFmtId="0" fontId="41" fillId="0" borderId="0" applyNumberFormat="0" applyFill="0" applyBorder="0">
      <alignment horizontal="center" wrapText="1"/>
    </xf>
    <xf numFmtId="0" fontId="41" fillId="0" borderId="0" applyNumberFormat="0" applyFill="0" applyBorder="0">
      <alignment horizontal="center" wrapText="1"/>
    </xf>
    <xf numFmtId="169" fontId="35" fillId="0" borderId="0" applyFont="0" applyFill="0" applyBorder="0" applyAlignment="0" applyProtection="0"/>
    <xf numFmtId="169" fontId="35" fillId="0" borderId="0" applyFont="0" applyFill="0" applyBorder="0" applyAlignment="0" applyProtection="0"/>
    <xf numFmtId="169" fontId="35" fillId="0" borderId="0" applyFont="0" applyFill="0" applyBorder="0" applyAlignment="0" applyProtection="0"/>
    <xf numFmtId="169" fontId="35" fillId="0" borderId="0" applyFont="0" applyFill="0" applyBorder="0" applyAlignment="0" applyProtection="0"/>
    <xf numFmtId="0" fontId="35" fillId="0" borderId="53" applyNumberFormat="0" applyFont="0" applyFill="0" applyAlignment="0" applyProtection="0"/>
    <xf numFmtId="0" fontId="35" fillId="0" borderId="53" applyNumberFormat="0" applyFont="0" applyFill="0" applyAlignment="0" applyProtection="0"/>
    <xf numFmtId="0" fontId="35" fillId="0" borderId="53" applyNumberFormat="0" applyFont="0" applyFill="0" applyAlignment="0" applyProtection="0"/>
    <xf numFmtId="0" fontId="35" fillId="0" borderId="53" applyNumberFormat="0" applyFont="0" applyFill="0" applyAlignment="0" applyProtection="0"/>
    <xf numFmtId="40" fontId="100" fillId="0" borderId="0" applyBorder="0">
      <alignment horizontal="right"/>
    </xf>
    <xf numFmtId="49" fontId="33" fillId="0" borderId="0" applyFill="0" applyBorder="0" applyAlignment="0"/>
    <xf numFmtId="191" fontId="35" fillId="0" borderId="0" applyFill="0" applyBorder="0" applyAlignment="0"/>
    <xf numFmtId="191" fontId="35" fillId="0" borderId="0" applyFill="0" applyBorder="0" applyAlignment="0"/>
    <xf numFmtId="191" fontId="35" fillId="0" borderId="0" applyFill="0" applyBorder="0" applyAlignment="0"/>
    <xf numFmtId="191" fontId="35" fillId="0" borderId="0" applyFill="0" applyBorder="0" applyAlignment="0"/>
    <xf numFmtId="192" fontId="35" fillId="0" borderId="0" applyFill="0" applyBorder="0" applyAlignment="0"/>
    <xf numFmtId="192" fontId="35" fillId="0" borderId="0" applyFill="0" applyBorder="0" applyAlignment="0"/>
    <xf numFmtId="192" fontId="35" fillId="0" borderId="0" applyFill="0" applyBorder="0" applyAlignment="0"/>
    <xf numFmtId="192" fontId="35" fillId="0" borderId="0" applyFill="0" applyBorder="0" applyAlignment="0"/>
    <xf numFmtId="0" fontId="101" fillId="0" borderId="0" applyNumberFormat="0" applyFill="0" applyBorder="0" applyAlignment="0" applyProtection="0"/>
    <xf numFmtId="0" fontId="19" fillId="0" borderId="0" applyNumberFormat="0" applyFill="0" applyBorder="0" applyAlignment="0" applyProtection="0"/>
    <xf numFmtId="0" fontId="7" fillId="0" borderId="0"/>
    <xf numFmtId="0" fontId="101" fillId="0" borderId="0" applyNumberFormat="0" applyFill="0" applyBorder="0" applyAlignment="0" applyProtection="0"/>
    <xf numFmtId="0" fontId="69" fillId="0" borderId="0">
      <protection locked="0"/>
    </xf>
    <xf numFmtId="0" fontId="69" fillId="0" borderId="0">
      <protection locked="0"/>
    </xf>
    <xf numFmtId="0" fontId="46" fillId="0" borderId="63" applyNumberFormat="0" applyFill="0" applyAlignment="0" applyProtection="0"/>
    <xf numFmtId="0" fontId="3" fillId="0" borderId="51" applyNumberFormat="0" applyFill="0" applyAlignment="0" applyProtection="0"/>
    <xf numFmtId="0" fontId="7" fillId="0" borderId="0"/>
    <xf numFmtId="0" fontId="7" fillId="0" borderId="0"/>
    <xf numFmtId="0" fontId="68" fillId="0" borderId="55">
      <protection locked="0"/>
    </xf>
    <xf numFmtId="0" fontId="3" fillId="0" borderId="63" applyNumberFormat="0" applyFill="0" applyAlignment="0" applyProtection="0"/>
    <xf numFmtId="0" fontId="7" fillId="0" borderId="0"/>
    <xf numFmtId="0" fontId="66" fillId="0" borderId="64" applyNumberFormat="0" applyFont="0" applyBorder="0" applyAlignment="0" applyProtection="0"/>
    <xf numFmtId="0" fontId="102" fillId="0" borderId="0" applyNumberFormat="0" applyFill="0" applyBorder="0" applyAlignment="0" applyProtection="0"/>
    <xf numFmtId="0" fontId="7" fillId="0" borderId="0"/>
  </cellStyleXfs>
  <cellXfs count="476">
    <xf numFmtId="0" fontId="0" fillId="0" borderId="0" xfId="0"/>
    <xf numFmtId="0" fontId="0" fillId="6" borderId="0" xfId="0" applyFill="1" applyAlignment="1">
      <alignment horizontal="left" vertical="center" wrapText="1"/>
    </xf>
    <xf numFmtId="0" fontId="0" fillId="6" borderId="0" xfId="0" applyFill="1"/>
    <xf numFmtId="10" fontId="0" fillId="9" borderId="29" xfId="0" applyNumberFormat="1" applyFont="1" applyFill="1" applyBorder="1" applyAlignment="1">
      <alignment horizontal="center" vertical="center"/>
    </xf>
    <xf numFmtId="9" fontId="0" fillId="7" borderId="13" xfId="1" applyFont="1" applyFill="1" applyBorder="1" applyAlignment="1">
      <alignment horizontal="center" vertical="center"/>
    </xf>
    <xf numFmtId="9" fontId="0" fillId="7" borderId="29" xfId="1" applyFont="1" applyFill="1" applyBorder="1" applyAlignment="1">
      <alignment horizontal="center" vertical="center"/>
    </xf>
    <xf numFmtId="10" fontId="0" fillId="7" borderId="29" xfId="0" applyNumberFormat="1" applyFont="1" applyFill="1" applyBorder="1" applyAlignment="1">
      <alignment horizontal="center" vertical="center"/>
    </xf>
    <xf numFmtId="10" fontId="0" fillId="7" borderId="13" xfId="0" applyNumberFormat="1" applyFont="1" applyFill="1" applyBorder="1" applyAlignment="1">
      <alignment horizontal="center" vertical="center"/>
    </xf>
    <xf numFmtId="0" fontId="0" fillId="5" borderId="11" xfId="0" applyFont="1" applyFill="1" applyBorder="1" applyAlignment="1">
      <alignment horizontal="center" vertical="center"/>
    </xf>
    <xf numFmtId="9" fontId="0" fillId="5" borderId="11" xfId="0" applyNumberFormat="1" applyFont="1" applyFill="1" applyBorder="1" applyAlignment="1">
      <alignment horizontal="center" vertical="center"/>
    </xf>
    <xf numFmtId="0" fontId="0" fillId="5" borderId="12" xfId="0" applyFont="1" applyFill="1" applyBorder="1" applyAlignment="1">
      <alignment horizontal="center" vertical="center"/>
    </xf>
    <xf numFmtId="9" fontId="0" fillId="5" borderId="13" xfId="0" applyNumberFormat="1" applyFont="1" applyFill="1" applyBorder="1" applyAlignment="1">
      <alignment horizontal="center" vertical="center"/>
    </xf>
    <xf numFmtId="9" fontId="0" fillId="7" borderId="15" xfId="0" applyNumberFormat="1" applyFont="1" applyFill="1" applyBorder="1" applyAlignment="1">
      <alignment horizontal="center" vertical="center"/>
    </xf>
    <xf numFmtId="9" fontId="0" fillId="9" borderId="29" xfId="0" applyNumberFormat="1" applyFont="1" applyFill="1" applyBorder="1" applyAlignment="1">
      <alignment horizontal="center" vertical="center"/>
    </xf>
    <xf numFmtId="9" fontId="0" fillId="7" borderId="27" xfId="0" applyNumberFormat="1" applyFont="1" applyFill="1" applyBorder="1" applyAlignment="1">
      <alignment horizontal="center" vertical="center"/>
    </xf>
    <xf numFmtId="10" fontId="0" fillId="9" borderId="22" xfId="0" applyNumberFormat="1" applyFont="1" applyFill="1" applyBorder="1" applyAlignment="1">
      <alignment horizontal="center" vertical="center"/>
    </xf>
    <xf numFmtId="0" fontId="0" fillId="9" borderId="28" xfId="0" applyNumberFormat="1" applyFont="1" applyFill="1" applyBorder="1" applyAlignment="1">
      <alignment horizontal="center" vertical="center"/>
    </xf>
    <xf numFmtId="6" fontId="0" fillId="9" borderId="22" xfId="0" applyNumberFormat="1" applyFont="1" applyFill="1" applyBorder="1" applyAlignment="1">
      <alignment horizontal="center" vertical="center"/>
    </xf>
    <xf numFmtId="9" fontId="0" fillId="7" borderId="29" xfId="0" applyNumberFormat="1" applyFont="1" applyFill="1" applyBorder="1" applyAlignment="1">
      <alignment horizontal="center" vertical="center"/>
    </xf>
    <xf numFmtId="9" fontId="0" fillId="7" borderId="13" xfId="0" applyNumberFormat="1" applyFont="1" applyFill="1" applyBorder="1" applyAlignment="1">
      <alignment horizontal="center" vertical="center"/>
    </xf>
    <xf numFmtId="0" fontId="0" fillId="6" borderId="13" xfId="0" applyNumberFormat="1" applyFont="1" applyFill="1" applyBorder="1" applyAlignment="1">
      <alignment horizontal="left" vertical="center" wrapText="1"/>
    </xf>
    <xf numFmtId="10" fontId="0" fillId="6" borderId="13" xfId="0" applyNumberFormat="1" applyFont="1" applyFill="1" applyBorder="1" applyAlignment="1">
      <alignment horizontal="left" vertical="center" wrapText="1"/>
    </xf>
    <xf numFmtId="0" fontId="0" fillId="7" borderId="13" xfId="0" applyNumberFormat="1" applyFont="1" applyFill="1" applyBorder="1" applyAlignment="1">
      <alignment horizontal="left" vertical="center" wrapText="1"/>
    </xf>
    <xf numFmtId="10" fontId="0" fillId="7" borderId="13" xfId="0" applyNumberFormat="1" applyFont="1" applyFill="1" applyBorder="1" applyAlignment="1">
      <alignment horizontal="left" vertical="center" wrapText="1"/>
    </xf>
    <xf numFmtId="10" fontId="0" fillId="7" borderId="16" xfId="0" applyNumberFormat="1" applyFont="1" applyFill="1" applyBorder="1" applyAlignment="1">
      <alignment horizontal="left" vertical="center" wrapText="1"/>
    </xf>
    <xf numFmtId="10" fontId="4" fillId="6" borderId="5" xfId="0" applyNumberFormat="1" applyFont="1" applyFill="1" applyBorder="1" applyAlignment="1">
      <alignment horizontal="center" vertical="center"/>
    </xf>
    <xf numFmtId="10" fontId="4" fillId="6" borderId="3" xfId="0" applyNumberFormat="1" applyFont="1" applyFill="1" applyBorder="1" applyAlignment="1">
      <alignment horizontal="center" vertical="center"/>
    </xf>
    <xf numFmtId="10" fontId="4" fillId="6" borderId="4" xfId="0" applyNumberFormat="1" applyFont="1" applyFill="1" applyBorder="1" applyAlignment="1">
      <alignment horizontal="center" vertical="center"/>
    </xf>
    <xf numFmtId="10" fontId="4" fillId="6" borderId="2" xfId="0" applyNumberFormat="1" applyFont="1" applyFill="1" applyBorder="1" applyAlignment="1">
      <alignment horizontal="center" vertical="center"/>
    </xf>
    <xf numFmtId="10" fontId="4" fillId="6" borderId="6" xfId="0" applyNumberFormat="1" applyFont="1" applyFill="1" applyBorder="1" applyAlignment="1">
      <alignment horizontal="center" vertical="center"/>
    </xf>
    <xf numFmtId="10" fontId="4" fillId="6" borderId="7" xfId="0" applyNumberFormat="1" applyFont="1" applyFill="1" applyBorder="1" applyAlignment="1">
      <alignment horizontal="center" vertical="center"/>
    </xf>
    <xf numFmtId="0" fontId="4" fillId="6" borderId="0" xfId="0" applyFont="1" applyFill="1"/>
    <xf numFmtId="38" fontId="0" fillId="9" borderId="29" xfId="0" applyNumberFormat="1" applyFont="1" applyFill="1" applyBorder="1" applyAlignment="1">
      <alignment horizontal="center" vertical="center"/>
    </xf>
    <xf numFmtId="1" fontId="0" fillId="9" borderId="29" xfId="0" applyNumberFormat="1" applyFont="1" applyFill="1" applyBorder="1" applyAlignment="1">
      <alignment horizontal="center" vertical="center"/>
    </xf>
    <xf numFmtId="10" fontId="0" fillId="6" borderId="17" xfId="0" applyNumberFormat="1" applyFont="1" applyFill="1" applyBorder="1" applyAlignment="1">
      <alignment horizontal="center" vertical="center"/>
    </xf>
    <xf numFmtId="10" fontId="0" fillId="6" borderId="19" xfId="0" applyNumberFormat="1" applyFont="1" applyFill="1" applyBorder="1" applyAlignment="1">
      <alignment horizontal="center" vertical="center"/>
    </xf>
    <xf numFmtId="10" fontId="0" fillId="6" borderId="31" xfId="0" applyNumberFormat="1" applyFont="1" applyFill="1" applyBorder="1" applyAlignment="1">
      <alignment horizontal="center" vertical="center"/>
    </xf>
    <xf numFmtId="9" fontId="0" fillId="5" borderId="13" xfId="1" applyFont="1" applyFill="1" applyBorder="1" applyAlignment="1">
      <alignment horizontal="center" vertical="center"/>
    </xf>
    <xf numFmtId="9" fontId="0" fillId="5" borderId="15" xfId="0" applyNumberFormat="1" applyFont="1" applyFill="1" applyBorder="1" applyAlignment="1">
      <alignment horizontal="center" vertical="center"/>
    </xf>
    <xf numFmtId="1" fontId="0" fillId="5" borderId="13" xfId="0" applyNumberFormat="1" applyFont="1" applyFill="1" applyBorder="1" applyAlignment="1">
      <alignment horizontal="center" vertical="center"/>
    </xf>
    <xf numFmtId="164" fontId="0" fillId="9" borderId="29" xfId="0" applyNumberFormat="1" applyFont="1" applyFill="1" applyBorder="1" applyAlignment="1">
      <alignment horizontal="center" vertical="center"/>
    </xf>
    <xf numFmtId="164" fontId="0" fillId="5" borderId="13" xfId="0" applyNumberFormat="1" applyFont="1" applyFill="1" applyBorder="1" applyAlignment="1">
      <alignment horizontal="center" vertical="center"/>
    </xf>
    <xf numFmtId="0" fontId="6" fillId="8" borderId="21"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0" fillId="6" borderId="0" xfId="0" applyFont="1" applyFill="1"/>
    <xf numFmtId="0" fontId="0" fillId="10" borderId="0" xfId="0" applyFill="1"/>
    <xf numFmtId="0" fontId="6" fillId="10" borderId="23" xfId="0" applyFont="1" applyFill="1" applyBorder="1" applyAlignment="1">
      <alignment horizontal="center" vertical="center" wrapText="1"/>
    </xf>
    <xf numFmtId="9" fontId="0" fillId="10" borderId="24" xfId="1" applyFont="1" applyFill="1" applyBorder="1" applyAlignment="1">
      <alignment horizontal="center" vertical="center"/>
    </xf>
    <xf numFmtId="164" fontId="0" fillId="10" borderId="24" xfId="0" applyNumberFormat="1" applyFont="1" applyFill="1" applyBorder="1" applyAlignment="1">
      <alignment horizontal="center" vertical="center"/>
    </xf>
    <xf numFmtId="9" fontId="0" fillId="10" borderId="24" xfId="0" applyNumberFormat="1" applyFont="1" applyFill="1" applyBorder="1" applyAlignment="1">
      <alignment horizontal="center" vertical="center"/>
    </xf>
    <xf numFmtId="0" fontId="0" fillId="10" borderId="9" xfId="0" applyFont="1" applyFill="1" applyBorder="1" applyAlignment="1">
      <alignment horizontal="center" vertical="center"/>
    </xf>
    <xf numFmtId="9" fontId="0" fillId="10" borderId="14" xfId="0" applyNumberFormat="1" applyFont="1" applyFill="1" applyBorder="1" applyAlignment="1">
      <alignment horizontal="center" vertical="center"/>
    </xf>
    <xf numFmtId="0" fontId="0" fillId="10" borderId="32" xfId="0" applyFont="1" applyFill="1" applyBorder="1" applyAlignment="1">
      <alignment horizontal="center" vertical="center"/>
    </xf>
    <xf numFmtId="1" fontId="0" fillId="10" borderId="24" xfId="0" applyNumberFormat="1" applyFont="1" applyFill="1" applyBorder="1" applyAlignment="1">
      <alignment horizontal="center" vertical="center"/>
    </xf>
    <xf numFmtId="9" fontId="0" fillId="10" borderId="32" xfId="0" applyNumberFormat="1" applyFont="1" applyFill="1" applyBorder="1" applyAlignment="1">
      <alignment horizontal="center" vertical="center"/>
    </xf>
    <xf numFmtId="9" fontId="0" fillId="12" borderId="13" xfId="1" applyFont="1" applyFill="1" applyBorder="1" applyAlignment="1">
      <alignment horizontal="center" vertical="center"/>
    </xf>
    <xf numFmtId="10" fontId="0" fillId="12" borderId="29" xfId="0" applyNumberFormat="1" applyFont="1" applyFill="1" applyBorder="1" applyAlignment="1">
      <alignment horizontal="center" vertical="center"/>
    </xf>
    <xf numFmtId="0" fontId="6" fillId="11" borderId="34" xfId="0" applyFont="1" applyFill="1" applyBorder="1" applyAlignment="1">
      <alignment horizontal="center" vertical="center" wrapText="1"/>
    </xf>
    <xf numFmtId="0" fontId="0" fillId="6" borderId="0" xfId="0" applyFill="1" applyAlignment="1">
      <alignment vertical="center" wrapText="1"/>
    </xf>
    <xf numFmtId="49" fontId="4" fillId="6" borderId="0" xfId="0" applyNumberFormat="1" applyFont="1" applyFill="1" applyAlignment="1">
      <alignment horizontal="center" vertical="center" wrapText="1"/>
    </xf>
    <xf numFmtId="49" fontId="0" fillId="6" borderId="0" xfId="0" applyNumberFormat="1" applyFill="1" applyAlignment="1">
      <alignment horizontal="center" vertical="center" wrapText="1"/>
    </xf>
    <xf numFmtId="0" fontId="0" fillId="0" borderId="0" xfId="0" applyAlignment="1">
      <alignment vertical="center" wrapText="1"/>
    </xf>
    <xf numFmtId="10" fontId="4" fillId="0" borderId="7" xfId="0" applyNumberFormat="1" applyFont="1" applyFill="1" applyBorder="1" applyAlignment="1">
      <alignment horizontal="center" vertical="center"/>
    </xf>
    <xf numFmtId="10" fontId="4" fillId="0" borderId="2" xfId="0" applyNumberFormat="1" applyFont="1" applyFill="1" applyBorder="1" applyAlignment="1">
      <alignment horizontal="center" vertical="center"/>
    </xf>
    <xf numFmtId="9" fontId="0" fillId="0" borderId="29" xfId="1" applyFont="1" applyFill="1" applyBorder="1" applyAlignment="1">
      <alignment horizontal="center" vertical="center"/>
    </xf>
    <xf numFmtId="9" fontId="0" fillId="0" borderId="13" xfId="1" applyFont="1" applyFill="1" applyBorder="1" applyAlignment="1">
      <alignment horizontal="center" vertical="center"/>
    </xf>
    <xf numFmtId="10" fontId="0" fillId="0" borderId="19" xfId="0" applyNumberFormat="1" applyFont="1" applyFill="1" applyBorder="1" applyAlignment="1">
      <alignment horizontal="center" vertical="center"/>
    </xf>
    <xf numFmtId="9" fontId="0" fillId="0" borderId="24" xfId="1" applyFont="1" applyFill="1" applyBorder="1" applyAlignment="1">
      <alignment horizontal="center" vertical="center"/>
    </xf>
    <xf numFmtId="10" fontId="4" fillId="0" borderId="5" xfId="0" applyNumberFormat="1" applyFont="1" applyFill="1" applyBorder="1" applyAlignment="1">
      <alignment horizontal="center" vertical="center"/>
    </xf>
    <xf numFmtId="10" fontId="0" fillId="0" borderId="29" xfId="0" applyNumberFormat="1" applyFont="1" applyFill="1" applyBorder="1" applyAlignment="1">
      <alignment horizontal="center" vertical="center"/>
    </xf>
    <xf numFmtId="0" fontId="0" fillId="0" borderId="13" xfId="0" applyNumberFormat="1" applyFont="1" applyFill="1" applyBorder="1" applyAlignment="1">
      <alignment horizontal="left" vertical="center" wrapText="1"/>
    </xf>
    <xf numFmtId="0" fontId="0" fillId="0" borderId="0" xfId="0" applyFill="1"/>
    <xf numFmtId="9" fontId="4" fillId="10" borderId="24" xfId="1" applyFont="1" applyFill="1" applyBorder="1" applyAlignment="1">
      <alignment horizontal="center" vertical="center"/>
    </xf>
    <xf numFmtId="17" fontId="17" fillId="13" borderId="38" xfId="0" applyNumberFormat="1" applyFont="1" applyFill="1" applyBorder="1" applyAlignment="1" applyProtection="1">
      <alignment horizontal="center" vertical="center" wrapText="1"/>
    </xf>
    <xf numFmtId="17" fontId="17" fillId="13" borderId="39" xfId="0" applyNumberFormat="1" applyFont="1" applyFill="1" applyBorder="1" applyAlignment="1" applyProtection="1">
      <alignment horizontal="center" vertical="center" wrapText="1"/>
    </xf>
    <xf numFmtId="17" fontId="17" fillId="13" borderId="40" xfId="0" applyNumberFormat="1" applyFont="1" applyFill="1" applyBorder="1" applyAlignment="1" applyProtection="1">
      <alignment horizontal="center" vertical="center" wrapText="1"/>
    </xf>
    <xf numFmtId="0" fontId="1" fillId="8" borderId="21" xfId="0" applyFont="1" applyFill="1" applyBorder="1" applyAlignment="1">
      <alignment horizontal="center" vertical="center" wrapText="1"/>
    </xf>
    <xf numFmtId="0" fontId="1" fillId="4" borderId="8" xfId="0" applyFont="1" applyFill="1" applyBorder="1" applyAlignment="1">
      <alignment horizontal="center" vertical="center" wrapText="1"/>
    </xf>
    <xf numFmtId="17" fontId="17" fillId="10" borderId="39" xfId="0" applyNumberFormat="1" applyFont="1" applyFill="1" applyBorder="1" applyAlignment="1" applyProtection="1">
      <alignment horizontal="center" vertical="center" wrapText="1"/>
    </xf>
    <xf numFmtId="0" fontId="1" fillId="4" borderId="41" xfId="0" applyFont="1" applyFill="1" applyBorder="1" applyAlignment="1">
      <alignment horizontal="center" vertical="center" wrapText="1"/>
    </xf>
    <xf numFmtId="17" fontId="17" fillId="13" borderId="42" xfId="0" applyNumberFormat="1" applyFont="1" applyFill="1" applyBorder="1" applyAlignment="1" applyProtection="1">
      <alignment horizontal="center" vertical="center" wrapText="1"/>
    </xf>
    <xf numFmtId="17" fontId="17" fillId="13" borderId="0" xfId="0" applyNumberFormat="1" applyFont="1" applyFill="1" applyBorder="1" applyAlignment="1" applyProtection="1">
      <alignment horizontal="center" vertical="center" wrapText="1"/>
    </xf>
    <xf numFmtId="49" fontId="0" fillId="6" borderId="0" xfId="0" applyNumberFormat="1" applyFont="1" applyFill="1" applyAlignment="1">
      <alignment horizontal="center" vertical="center" wrapText="1"/>
    </xf>
    <xf numFmtId="0" fontId="0" fillId="6" borderId="35" xfId="0" applyFont="1" applyFill="1" applyBorder="1" applyAlignment="1">
      <alignment horizontal="center" vertical="center" wrapText="1"/>
    </xf>
    <xf numFmtId="0" fontId="0" fillId="0" borderId="35" xfId="0" applyFont="1" applyFill="1" applyBorder="1" applyAlignment="1">
      <alignment horizontal="center" vertical="center" wrapText="1"/>
    </xf>
    <xf numFmtId="0" fontId="0" fillId="6" borderId="35" xfId="0" applyFont="1" applyFill="1" applyBorder="1" applyAlignment="1">
      <alignment vertical="center" wrapText="1"/>
    </xf>
    <xf numFmtId="165" fontId="4" fillId="0" borderId="35" xfId="0" applyNumberFormat="1" applyFont="1" applyFill="1" applyBorder="1" applyAlignment="1">
      <alignment horizontal="center" vertical="center" wrapText="1"/>
    </xf>
    <xf numFmtId="0" fontId="0" fillId="0" borderId="35" xfId="0" applyFont="1" applyFill="1" applyBorder="1" applyAlignment="1">
      <alignment vertical="center" wrapText="1"/>
    </xf>
    <xf numFmtId="49" fontId="0" fillId="0" borderId="35" xfId="0" applyNumberFormat="1" applyFont="1" applyFill="1" applyBorder="1" applyAlignment="1">
      <alignment vertical="center" wrapText="1"/>
    </xf>
    <xf numFmtId="10" fontId="6" fillId="14" borderId="35" xfId="0" applyNumberFormat="1" applyFont="1" applyFill="1" applyBorder="1" applyAlignment="1">
      <alignment horizontal="center" vertical="center"/>
    </xf>
    <xf numFmtId="10" fontId="3" fillId="15" borderId="35" xfId="1" applyNumberFormat="1" applyFont="1" applyFill="1" applyBorder="1" applyAlignment="1">
      <alignment horizontal="center" vertical="center" wrapText="1"/>
    </xf>
    <xf numFmtId="10" fontId="4" fillId="16" borderId="35" xfId="0" applyNumberFormat="1" applyFont="1" applyFill="1" applyBorder="1" applyAlignment="1">
      <alignment horizontal="center" vertical="center" wrapText="1"/>
    </xf>
    <xf numFmtId="10" fontId="4" fillId="0" borderId="35" xfId="1" applyNumberFormat="1" applyFont="1" applyFill="1" applyBorder="1" applyAlignment="1">
      <alignment horizontal="center" vertical="center" wrapText="1"/>
    </xf>
    <xf numFmtId="49" fontId="0" fillId="6" borderId="35" xfId="0" applyNumberFormat="1" applyFont="1" applyFill="1" applyBorder="1" applyAlignment="1">
      <alignment horizontal="left" vertical="center" wrapText="1"/>
    </xf>
    <xf numFmtId="0" fontId="0" fillId="0" borderId="0" xfId="0" applyFont="1" applyFill="1"/>
    <xf numFmtId="0" fontId="3" fillId="6" borderId="35" xfId="0" applyFont="1" applyFill="1" applyBorder="1" applyAlignment="1">
      <alignment vertical="center" wrapText="1"/>
    </xf>
    <xf numFmtId="10" fontId="4" fillId="7" borderId="35" xfId="1" applyNumberFormat="1" applyFont="1" applyFill="1" applyBorder="1" applyAlignment="1">
      <alignment horizontal="center" vertical="center" wrapText="1"/>
    </xf>
    <xf numFmtId="10" fontId="4" fillId="16" borderId="35" xfId="1" applyNumberFormat="1" applyFont="1" applyFill="1" applyBorder="1" applyAlignment="1">
      <alignment horizontal="center" vertical="center" wrapText="1"/>
    </xf>
    <xf numFmtId="0" fontId="3" fillId="0" borderId="35" xfId="0" applyFont="1" applyFill="1" applyBorder="1" applyAlignment="1">
      <alignment vertical="center" wrapText="1"/>
    </xf>
    <xf numFmtId="0" fontId="3" fillId="15" borderId="35" xfId="0" applyFont="1" applyFill="1" applyBorder="1" applyAlignment="1">
      <alignment horizontal="center" vertical="center" wrapText="1"/>
    </xf>
    <xf numFmtId="165" fontId="4" fillId="7" borderId="35" xfId="1" applyNumberFormat="1" applyFont="1" applyFill="1" applyBorder="1" applyAlignment="1">
      <alignment horizontal="center" vertical="center" wrapText="1"/>
    </xf>
    <xf numFmtId="49" fontId="0" fillId="0" borderId="35" xfId="0" applyNumberFormat="1" applyFont="1" applyFill="1" applyBorder="1" applyAlignment="1">
      <alignment horizontal="left" vertical="center" wrapText="1"/>
    </xf>
    <xf numFmtId="9" fontId="3" fillId="14" borderId="35" xfId="1" applyFont="1" applyFill="1" applyBorder="1" applyAlignment="1">
      <alignment horizontal="center" vertical="center"/>
    </xf>
    <xf numFmtId="9" fontId="3" fillId="5" borderId="35" xfId="1" applyFont="1" applyFill="1" applyBorder="1" applyAlignment="1">
      <alignment horizontal="center" vertical="center"/>
    </xf>
    <xf numFmtId="0" fontId="4" fillId="7" borderId="35" xfId="0" applyFont="1" applyFill="1" applyBorder="1" applyAlignment="1">
      <alignment horizontal="center" vertical="center"/>
    </xf>
    <xf numFmtId="10" fontId="0" fillId="0" borderId="35" xfId="0" applyNumberFormat="1" applyFont="1" applyFill="1" applyBorder="1" applyAlignment="1">
      <alignment vertical="center" wrapText="1"/>
    </xf>
    <xf numFmtId="10" fontId="3" fillId="14" borderId="35" xfId="1" applyNumberFormat="1" applyFont="1" applyFill="1" applyBorder="1" applyAlignment="1">
      <alignment horizontal="center" vertical="center"/>
    </xf>
    <xf numFmtId="10" fontId="3" fillId="5" borderId="35" xfId="1" applyNumberFormat="1" applyFont="1" applyFill="1" applyBorder="1" applyAlignment="1">
      <alignment horizontal="center" vertical="center"/>
    </xf>
    <xf numFmtId="10" fontId="3" fillId="15" borderId="35" xfId="0" applyNumberFormat="1" applyFont="1" applyFill="1" applyBorder="1" applyAlignment="1">
      <alignment horizontal="center" vertical="center" wrapText="1"/>
    </xf>
    <xf numFmtId="0" fontId="0" fillId="6" borderId="35" xfId="0" applyFont="1" applyFill="1" applyBorder="1"/>
    <xf numFmtId="0" fontId="4" fillId="6" borderId="35" xfId="0" applyFont="1" applyFill="1" applyBorder="1" applyAlignment="1">
      <alignment vertical="center" wrapText="1"/>
    </xf>
    <xf numFmtId="165" fontId="0" fillId="0" borderId="35" xfId="0" applyNumberFormat="1" applyFont="1" applyFill="1" applyBorder="1" applyAlignment="1">
      <alignment vertical="center" wrapText="1"/>
    </xf>
    <xf numFmtId="49" fontId="0" fillId="4" borderId="35" xfId="0" applyNumberFormat="1" applyFont="1" applyFill="1" applyBorder="1" applyAlignment="1">
      <alignment vertical="center" wrapText="1"/>
    </xf>
    <xf numFmtId="165" fontId="3" fillId="15" borderId="35" xfId="0" applyNumberFormat="1" applyFont="1" applyFill="1" applyBorder="1" applyAlignment="1">
      <alignment horizontal="center" vertical="center" wrapText="1"/>
    </xf>
    <xf numFmtId="165" fontId="6" fillId="14" borderId="35" xfId="0" applyNumberFormat="1" applyFont="1" applyFill="1" applyBorder="1" applyAlignment="1">
      <alignment horizontal="center" vertical="center"/>
    </xf>
    <xf numFmtId="165" fontId="6" fillId="5" borderId="35" xfId="0" applyNumberFormat="1" applyFont="1" applyFill="1" applyBorder="1" applyAlignment="1">
      <alignment horizontal="center" vertical="center"/>
    </xf>
    <xf numFmtId="165" fontId="4" fillId="10" borderId="35" xfId="1" applyNumberFormat="1" applyFont="1" applyFill="1" applyBorder="1" applyAlignment="1">
      <alignment horizontal="center" vertical="center" wrapText="1"/>
    </xf>
    <xf numFmtId="49" fontId="0" fillId="4" borderId="35" xfId="0" applyNumberFormat="1" applyFont="1" applyFill="1" applyBorder="1" applyAlignment="1">
      <alignment horizontal="left" vertical="center" wrapText="1"/>
    </xf>
    <xf numFmtId="165" fontId="0" fillId="0" borderId="35" xfId="1" applyNumberFormat="1" applyFont="1" applyBorder="1"/>
    <xf numFmtId="0" fontId="0" fillId="4" borderId="35" xfId="0" applyFont="1" applyFill="1" applyBorder="1"/>
    <xf numFmtId="165" fontId="0" fillId="0" borderId="35" xfId="1" applyNumberFormat="1" applyFont="1" applyFill="1" applyBorder="1" applyAlignment="1">
      <alignment vertical="center" wrapText="1"/>
    </xf>
    <xf numFmtId="0" fontId="0" fillId="0" borderId="35" xfId="0" applyFont="1" applyBorder="1"/>
    <xf numFmtId="165" fontId="3" fillId="14" borderId="35" xfId="1" applyNumberFormat="1" applyFont="1" applyFill="1" applyBorder="1" applyAlignment="1">
      <alignment horizontal="center" vertical="center"/>
    </xf>
    <xf numFmtId="165" fontId="3" fillId="5" borderId="35" xfId="1" applyNumberFormat="1" applyFont="1" applyFill="1" applyBorder="1" applyAlignment="1">
      <alignment horizontal="center" vertical="center"/>
    </xf>
    <xf numFmtId="0" fontId="0" fillId="4" borderId="35" xfId="0" applyFont="1" applyFill="1" applyBorder="1" applyAlignment="1">
      <alignment wrapText="1"/>
    </xf>
    <xf numFmtId="10" fontId="4" fillId="10" borderId="35" xfId="1" applyNumberFormat="1" applyFont="1" applyFill="1" applyBorder="1" applyAlignment="1">
      <alignment horizontal="center" vertical="center" wrapText="1"/>
    </xf>
    <xf numFmtId="10" fontId="4" fillId="11" borderId="35" xfId="1" applyNumberFormat="1" applyFont="1" applyFill="1" applyBorder="1" applyAlignment="1">
      <alignment horizontal="center" vertical="center" wrapText="1"/>
    </xf>
    <xf numFmtId="49" fontId="0" fillId="6" borderId="35" xfId="0" applyNumberFormat="1" applyFont="1" applyFill="1" applyBorder="1" applyAlignment="1">
      <alignment vertical="center" wrapText="1"/>
    </xf>
    <xf numFmtId="0" fontId="4" fillId="0" borderId="35" xfId="0" applyFont="1" applyFill="1" applyBorder="1" applyAlignment="1">
      <alignment vertical="center" wrapText="1"/>
    </xf>
    <xf numFmtId="165" fontId="4" fillId="4" borderId="35" xfId="1" applyNumberFormat="1" applyFont="1" applyFill="1" applyBorder="1" applyAlignment="1">
      <alignment horizontal="center" vertical="center" wrapText="1"/>
    </xf>
    <xf numFmtId="165" fontId="4" fillId="16" borderId="35" xfId="1" applyNumberFormat="1" applyFont="1" applyFill="1" applyBorder="1" applyAlignment="1">
      <alignment horizontal="center" vertical="center" wrapText="1"/>
    </xf>
    <xf numFmtId="0" fontId="11" fillId="6" borderId="35" xfId="0" applyFont="1" applyFill="1" applyBorder="1" applyAlignment="1">
      <alignment horizontal="center" vertical="center" wrapText="1"/>
    </xf>
    <xf numFmtId="10" fontId="3" fillId="14" borderId="35" xfId="0" applyNumberFormat="1" applyFont="1" applyFill="1" applyBorder="1" applyAlignment="1">
      <alignment horizontal="center" vertical="center"/>
    </xf>
    <xf numFmtId="10" fontId="4" fillId="7" borderId="35" xfId="1" applyNumberFormat="1" applyFont="1" applyFill="1" applyBorder="1" applyAlignment="1">
      <alignment horizontal="center" vertical="center"/>
    </xf>
    <xf numFmtId="165" fontId="4" fillId="7" borderId="35" xfId="1" applyNumberFormat="1" applyFont="1" applyFill="1" applyBorder="1" applyAlignment="1">
      <alignment horizontal="center" vertical="center"/>
    </xf>
    <xf numFmtId="165" fontId="4" fillId="0" borderId="35" xfId="1" applyNumberFormat="1" applyFont="1" applyFill="1" applyBorder="1" applyAlignment="1">
      <alignment horizontal="center" vertical="center"/>
    </xf>
    <xf numFmtId="0" fontId="0" fillId="0" borderId="0" xfId="0" applyFont="1" applyFill="1" applyAlignment="1">
      <alignment wrapText="1"/>
    </xf>
    <xf numFmtId="0" fontId="4" fillId="6" borderId="35" xfId="0" applyFont="1" applyFill="1" applyBorder="1" applyAlignment="1">
      <alignment horizontal="center" vertical="center" wrapText="1"/>
    </xf>
    <xf numFmtId="49" fontId="3" fillId="0" borderId="35" xfId="0" applyNumberFormat="1" applyFont="1" applyFill="1" applyBorder="1" applyAlignment="1">
      <alignment vertical="center" wrapText="1"/>
    </xf>
    <xf numFmtId="1" fontId="3" fillId="14" borderId="35" xfId="0" applyNumberFormat="1" applyFont="1" applyFill="1" applyBorder="1" applyAlignment="1">
      <alignment horizontal="center" vertical="center"/>
    </xf>
    <xf numFmtId="166" fontId="3" fillId="15" borderId="35" xfId="2" applyNumberFormat="1" applyFont="1" applyFill="1" applyBorder="1" applyAlignment="1">
      <alignment horizontal="center" vertical="center" wrapText="1"/>
    </xf>
    <xf numFmtId="166" fontId="6" fillId="14" borderId="35" xfId="2" applyNumberFormat="1" applyFont="1" applyFill="1" applyBorder="1" applyAlignment="1">
      <alignment horizontal="center" vertical="center"/>
    </xf>
    <xf numFmtId="166" fontId="3" fillId="5" borderId="35" xfId="2" applyNumberFormat="1" applyFont="1" applyFill="1" applyBorder="1" applyAlignment="1">
      <alignment horizontal="center" vertical="center"/>
    </xf>
    <xf numFmtId="0" fontId="4" fillId="10" borderId="35" xfId="0" applyFont="1" applyFill="1" applyBorder="1" applyAlignment="1">
      <alignment horizontal="center" vertical="center"/>
    </xf>
    <xf numFmtId="0" fontId="4" fillId="11" borderId="35" xfId="0" applyFont="1" applyFill="1" applyBorder="1" applyAlignment="1">
      <alignment horizontal="center" vertical="center"/>
    </xf>
    <xf numFmtId="0" fontId="0" fillId="10" borderId="35" xfId="0" applyFont="1" applyFill="1" applyBorder="1" applyAlignment="1">
      <alignment horizontal="center" vertical="center"/>
    </xf>
    <xf numFmtId="44" fontId="3" fillId="14" borderId="35" xfId="3" applyFont="1" applyFill="1" applyBorder="1" applyAlignment="1">
      <alignment horizontal="center" vertical="center"/>
    </xf>
    <xf numFmtId="44" fontId="3" fillId="5" borderId="35" xfId="3" applyFont="1" applyFill="1" applyBorder="1" applyAlignment="1">
      <alignment horizontal="center" vertical="center"/>
    </xf>
    <xf numFmtId="167" fontId="3" fillId="15" borderId="35" xfId="3" applyNumberFormat="1" applyFont="1" applyFill="1" applyBorder="1" applyAlignment="1">
      <alignment horizontal="center" vertical="center" wrapText="1"/>
    </xf>
    <xf numFmtId="167" fontId="4" fillId="0" borderId="35" xfId="3" applyNumberFormat="1" applyFont="1" applyFill="1" applyBorder="1" applyAlignment="1">
      <alignment horizontal="center" vertical="center" wrapText="1"/>
    </xf>
    <xf numFmtId="8" fontId="3" fillId="14" borderId="35" xfId="0" applyNumberFormat="1" applyFont="1" applyFill="1" applyBorder="1" applyAlignment="1">
      <alignment horizontal="center" vertical="center"/>
    </xf>
    <xf numFmtId="164" fontId="3" fillId="14" borderId="35" xfId="0" applyNumberFormat="1" applyFont="1" applyFill="1" applyBorder="1" applyAlignment="1">
      <alignment horizontal="center" vertical="center"/>
    </xf>
    <xf numFmtId="164" fontId="3" fillId="5" borderId="35" xfId="0" applyNumberFormat="1" applyFont="1" applyFill="1" applyBorder="1" applyAlignment="1">
      <alignment horizontal="center" vertical="center"/>
    </xf>
    <xf numFmtId="8" fontId="15" fillId="14" borderId="35" xfId="0" applyNumberFormat="1" applyFont="1" applyFill="1" applyBorder="1" applyAlignment="1">
      <alignment horizontal="center" vertical="center"/>
    </xf>
    <xf numFmtId="0" fontId="15" fillId="5" borderId="35" xfId="0" applyFont="1" applyFill="1" applyBorder="1" applyAlignment="1">
      <alignment horizontal="center" vertical="center"/>
    </xf>
    <xf numFmtId="0" fontId="6" fillId="5" borderId="35" xfId="0" applyFont="1" applyFill="1" applyBorder="1" applyAlignment="1">
      <alignment horizontal="center" vertical="center"/>
    </xf>
    <xf numFmtId="164" fontId="4" fillId="10" borderId="35" xfId="3" applyNumberFormat="1" applyFont="1" applyFill="1" applyBorder="1" applyAlignment="1">
      <alignment horizontal="center" vertical="center" wrapText="1"/>
    </xf>
    <xf numFmtId="0" fontId="3" fillId="5" borderId="35" xfId="0" applyFont="1" applyFill="1" applyBorder="1" applyAlignment="1">
      <alignment horizontal="center" vertical="center"/>
    </xf>
    <xf numFmtId="167" fontId="6" fillId="14" borderId="35" xfId="3" applyNumberFormat="1" applyFont="1" applyFill="1" applyBorder="1" applyAlignment="1">
      <alignment horizontal="center" vertical="center"/>
    </xf>
    <xf numFmtId="167" fontId="3" fillId="5" borderId="35" xfId="3" applyNumberFormat="1" applyFont="1" applyFill="1" applyBorder="1" applyAlignment="1">
      <alignment horizontal="center" vertical="center"/>
    </xf>
    <xf numFmtId="0" fontId="4" fillId="0" borderId="35" xfId="0" applyFont="1" applyFill="1" applyBorder="1" applyAlignment="1">
      <alignment horizontal="center" vertical="center"/>
    </xf>
    <xf numFmtId="9" fontId="6" fillId="14" borderId="35" xfId="0" applyNumberFormat="1" applyFont="1" applyFill="1" applyBorder="1" applyAlignment="1">
      <alignment horizontal="center" vertical="center"/>
    </xf>
    <xf numFmtId="9" fontId="3" fillId="5" borderId="35" xfId="0" applyNumberFormat="1" applyFont="1" applyFill="1" applyBorder="1" applyAlignment="1">
      <alignment horizontal="center" vertical="center"/>
    </xf>
    <xf numFmtId="9" fontId="3" fillId="14" borderId="35" xfId="0" applyNumberFormat="1" applyFont="1" applyFill="1" applyBorder="1" applyAlignment="1">
      <alignment horizontal="center" vertical="center"/>
    </xf>
    <xf numFmtId="165" fontId="4" fillId="0" borderId="35" xfId="1" applyNumberFormat="1" applyFont="1" applyFill="1" applyBorder="1" applyAlignment="1">
      <alignment horizontal="center" vertical="center" wrapText="1"/>
    </xf>
    <xf numFmtId="9" fontId="4" fillId="0" borderId="35" xfId="1" applyNumberFormat="1" applyFont="1" applyFill="1" applyBorder="1" applyAlignment="1">
      <alignment horizontal="center" vertical="center" wrapText="1"/>
    </xf>
    <xf numFmtId="6" fontId="6" fillId="14" borderId="35" xfId="0" applyNumberFormat="1" applyFont="1" applyFill="1" applyBorder="1" applyAlignment="1">
      <alignment horizontal="center" vertical="center" wrapText="1"/>
    </xf>
    <xf numFmtId="0" fontId="6" fillId="5" borderId="35" xfId="0" applyFont="1" applyFill="1" applyBorder="1" applyAlignment="1">
      <alignment horizontal="center" vertical="center" wrapText="1"/>
    </xf>
    <xf numFmtId="168" fontId="4" fillId="16" borderId="35" xfId="3" applyNumberFormat="1" applyFont="1" applyFill="1" applyBorder="1" applyAlignment="1">
      <alignment horizontal="center" vertical="center" wrapText="1"/>
    </xf>
    <xf numFmtId="7" fontId="4" fillId="16" borderId="35" xfId="3" applyNumberFormat="1" applyFont="1" applyFill="1" applyBorder="1" applyAlignment="1">
      <alignment horizontal="center" vertical="center" wrapText="1"/>
    </xf>
    <xf numFmtId="6" fontId="15" fillId="14" borderId="35" xfId="0" applyNumberFormat="1" applyFont="1" applyFill="1" applyBorder="1" applyAlignment="1">
      <alignment horizontal="center" vertical="center" wrapText="1"/>
    </xf>
    <xf numFmtId="0" fontId="15" fillId="5" borderId="35" xfId="0" applyFont="1" applyFill="1" applyBorder="1" applyAlignment="1">
      <alignment horizontal="center" vertical="center" wrapText="1"/>
    </xf>
    <xf numFmtId="38" fontId="3" fillId="14" borderId="35" xfId="0" applyNumberFormat="1" applyFont="1" applyFill="1" applyBorder="1" applyAlignment="1">
      <alignment horizontal="center" vertical="center"/>
    </xf>
    <xf numFmtId="1" fontId="3" fillId="5" borderId="35" xfId="0" applyNumberFormat="1" applyFont="1" applyFill="1" applyBorder="1" applyAlignment="1">
      <alignment horizontal="center" vertical="center"/>
    </xf>
    <xf numFmtId="1" fontId="3" fillId="15" borderId="35" xfId="0" applyNumberFormat="1" applyFont="1" applyFill="1" applyBorder="1" applyAlignment="1">
      <alignment horizontal="center" vertical="center"/>
    </xf>
    <xf numFmtId="0" fontId="3" fillId="5" borderId="35" xfId="0" applyFont="1" applyFill="1" applyBorder="1" applyAlignment="1">
      <alignment horizontal="center" vertical="center" wrapText="1"/>
    </xf>
    <xf numFmtId="0" fontId="3" fillId="14" borderId="35" xfId="0" applyNumberFormat="1" applyFont="1" applyFill="1" applyBorder="1" applyAlignment="1">
      <alignment horizontal="center" vertical="center"/>
    </xf>
    <xf numFmtId="0" fontId="6" fillId="14" borderId="35" xfId="0" applyNumberFormat="1" applyFont="1" applyFill="1" applyBorder="1" applyAlignment="1">
      <alignment horizontal="center" vertical="center"/>
    </xf>
    <xf numFmtId="0" fontId="4" fillId="4" borderId="35" xfId="0" applyFont="1" applyFill="1" applyBorder="1" applyAlignment="1">
      <alignment horizontal="center" vertical="center"/>
    </xf>
    <xf numFmtId="0" fontId="6" fillId="11" borderId="0" xfId="0" applyFont="1" applyFill="1" applyAlignment="1">
      <alignment horizontal="center" vertical="center" wrapText="1"/>
    </xf>
    <xf numFmtId="0" fontId="18" fillId="11" borderId="0" xfId="0" applyFont="1" applyFill="1" applyAlignment="1">
      <alignment horizontal="center" vertical="center" wrapText="1"/>
    </xf>
    <xf numFmtId="9" fontId="4" fillId="0" borderId="24" xfId="1" applyFont="1" applyFill="1" applyBorder="1" applyAlignment="1">
      <alignment horizontal="center" vertical="center"/>
    </xf>
    <xf numFmtId="49" fontId="0" fillId="6" borderId="0" xfId="0" applyNumberFormat="1" applyFill="1" applyAlignment="1">
      <alignment horizontal="center" vertical="top" wrapText="1"/>
    </xf>
    <xf numFmtId="0" fontId="0" fillId="6" borderId="0" xfId="0" applyFill="1" applyAlignment="1">
      <alignment horizontal="left" vertical="top" wrapText="1"/>
    </xf>
    <xf numFmtId="0" fontId="0" fillId="6" borderId="0" xfId="0" applyFill="1" applyAlignment="1">
      <alignment vertical="center"/>
    </xf>
    <xf numFmtId="0" fontId="0" fillId="6" borderId="0" xfId="0" applyFill="1" applyAlignment="1">
      <alignment horizontal="center" vertical="center"/>
    </xf>
    <xf numFmtId="10" fontId="0" fillId="0" borderId="35" xfId="1" applyNumberFormat="1" applyFont="1" applyFill="1" applyBorder="1" applyAlignment="1">
      <alignment vertical="center" wrapText="1"/>
    </xf>
    <xf numFmtId="1" fontId="3" fillId="5" borderId="35" xfId="0" applyNumberFormat="1" applyFont="1" applyFill="1" applyBorder="1" applyAlignment="1">
      <alignment horizontal="center" vertical="center" wrapText="1"/>
    </xf>
    <xf numFmtId="0" fontId="0" fillId="6" borderId="35" xfId="0" applyFont="1" applyFill="1" applyBorder="1" applyAlignment="1">
      <alignment horizontal="left" vertical="center" wrapText="1"/>
    </xf>
    <xf numFmtId="10" fontId="6" fillId="5" borderId="35" xfId="0" applyNumberFormat="1" applyFont="1" applyFill="1" applyBorder="1" applyAlignment="1">
      <alignment horizontal="center" vertical="center"/>
    </xf>
    <xf numFmtId="49" fontId="0" fillId="8" borderId="35" xfId="0" applyNumberFormat="1" applyFont="1" applyFill="1" applyBorder="1" applyAlignment="1">
      <alignment horizontal="left" vertical="center" wrapText="1"/>
    </xf>
    <xf numFmtId="17" fontId="103" fillId="83" borderId="0" xfId="0" applyNumberFormat="1" applyFont="1" applyFill="1" applyBorder="1" applyAlignment="1" applyProtection="1">
      <alignment horizontal="center" vertical="center" wrapText="1"/>
    </xf>
    <xf numFmtId="0" fontId="104" fillId="83" borderId="0" xfId="0" applyFont="1" applyFill="1" applyBorder="1" applyAlignment="1">
      <alignment horizontal="center"/>
    </xf>
    <xf numFmtId="9" fontId="104" fillId="83" borderId="0" xfId="0" applyNumberFormat="1" applyFont="1" applyFill="1" applyBorder="1" applyAlignment="1">
      <alignment horizontal="center"/>
    </xf>
    <xf numFmtId="0" fontId="16" fillId="0" borderId="0" xfId="0" applyFont="1" applyFill="1" applyBorder="1" applyAlignment="1">
      <alignment horizontal="center"/>
    </xf>
    <xf numFmtId="0" fontId="16" fillId="0" borderId="0" xfId="0" applyFont="1" applyFill="1" applyBorder="1" applyAlignment="1">
      <alignment horizontal="center" vertical="center"/>
    </xf>
    <xf numFmtId="0" fontId="103" fillId="84" borderId="65" xfId="0" applyFont="1" applyFill="1" applyBorder="1" applyAlignment="1" applyProtection="1">
      <alignment horizontal="center" vertical="center" wrapText="1"/>
    </xf>
    <xf numFmtId="0" fontId="103" fillId="84" borderId="0" xfId="0" applyFont="1" applyFill="1" applyBorder="1" applyAlignment="1" applyProtection="1">
      <alignment horizontal="center" vertical="center" wrapText="1"/>
    </xf>
    <xf numFmtId="10" fontId="0" fillId="0" borderId="0" xfId="1" applyNumberFormat="1" applyFont="1"/>
    <xf numFmtId="193" fontId="0" fillId="0" borderId="0" xfId="0" applyNumberFormat="1"/>
    <xf numFmtId="194" fontId="0" fillId="0" borderId="0" xfId="0" applyNumberFormat="1"/>
    <xf numFmtId="0" fontId="105" fillId="0" borderId="0" xfId="0" applyFont="1" applyAlignment="1">
      <alignment horizontal="center" vertical="center"/>
    </xf>
    <xf numFmtId="10" fontId="7" fillId="0" borderId="35" xfId="1" applyNumberFormat="1" applyFont="1" applyFill="1" applyBorder="1" applyAlignment="1">
      <alignment horizontal="center" vertical="center"/>
    </xf>
    <xf numFmtId="0" fontId="0" fillId="0" borderId="35" xfId="0" applyFont="1" applyFill="1" applyBorder="1" applyAlignment="1">
      <alignment horizontal="center" vertical="center"/>
    </xf>
    <xf numFmtId="164" fontId="4" fillId="0" borderId="35" xfId="3" applyNumberFormat="1" applyFont="1" applyFill="1" applyBorder="1" applyAlignment="1">
      <alignment horizontal="center" vertical="center" wrapText="1"/>
    </xf>
    <xf numFmtId="0" fontId="11" fillId="0" borderId="35" xfId="0" applyFont="1" applyFill="1" applyBorder="1" applyAlignment="1">
      <alignment horizontal="center" vertical="center"/>
    </xf>
    <xf numFmtId="10" fontId="0" fillId="0" borderId="35" xfId="1" applyNumberFormat="1" applyFont="1" applyFill="1" applyBorder="1" applyAlignment="1">
      <alignment horizontal="center" vertical="center"/>
    </xf>
    <xf numFmtId="44" fontId="0" fillId="0" borderId="0" xfId="3" applyFont="1"/>
    <xf numFmtId="0" fontId="0" fillId="0" borderId="0" xfId="0" applyAlignment="1">
      <alignment wrapText="1"/>
    </xf>
    <xf numFmtId="0" fontId="0" fillId="11" borderId="0" xfId="0" applyFont="1" applyFill="1" applyAlignment="1">
      <alignment wrapText="1"/>
    </xf>
    <xf numFmtId="0" fontId="0" fillId="6" borderId="0" xfId="0" applyFill="1" applyAlignment="1">
      <alignment wrapText="1"/>
    </xf>
    <xf numFmtId="0" fontId="0" fillId="0" borderId="0" xfId="0" applyFill="1" applyAlignment="1">
      <alignment wrapText="1"/>
    </xf>
    <xf numFmtId="0" fontId="0" fillId="6" borderId="24" xfId="0" applyNumberFormat="1" applyFont="1" applyFill="1" applyBorder="1" applyAlignment="1">
      <alignment horizontal="left" vertical="center" wrapText="1"/>
    </xf>
    <xf numFmtId="0" fontId="0" fillId="7" borderId="24" xfId="0" applyNumberFormat="1" applyFont="1" applyFill="1" applyBorder="1" applyAlignment="1">
      <alignment horizontal="left" vertical="center" wrapText="1"/>
    </xf>
    <xf numFmtId="0" fontId="0" fillId="0" borderId="24" xfId="0" applyNumberFormat="1" applyFont="1" applyFill="1" applyBorder="1" applyAlignment="1">
      <alignment horizontal="left" vertical="center" wrapText="1"/>
    </xf>
    <xf numFmtId="10" fontId="0" fillId="6" borderId="24" xfId="0" applyNumberFormat="1" applyFont="1" applyFill="1" applyBorder="1" applyAlignment="1">
      <alignment horizontal="left" vertical="center" wrapText="1"/>
    </xf>
    <xf numFmtId="10" fontId="0" fillId="7" borderId="24" xfId="0" applyNumberFormat="1" applyFont="1" applyFill="1" applyBorder="1" applyAlignment="1">
      <alignment horizontal="left" vertical="center" wrapText="1"/>
    </xf>
    <xf numFmtId="10" fontId="0" fillId="7" borderId="25" xfId="0" applyNumberFormat="1" applyFont="1" applyFill="1" applyBorder="1" applyAlignment="1">
      <alignment horizontal="left" vertical="center" wrapText="1"/>
    </xf>
    <xf numFmtId="0" fontId="0" fillId="6" borderId="35" xfId="0" applyFill="1" applyBorder="1" applyAlignment="1">
      <alignment horizontal="left" vertical="top" wrapText="1"/>
    </xf>
    <xf numFmtId="0" fontId="0" fillId="0" borderId="35" xfId="0" applyFill="1" applyBorder="1" applyAlignment="1">
      <alignment horizontal="left" vertical="top" wrapText="1"/>
    </xf>
    <xf numFmtId="0" fontId="13" fillId="0" borderId="35" xfId="0" applyFont="1" applyFill="1" applyBorder="1" applyAlignment="1">
      <alignment horizontal="left" vertical="top" wrapText="1"/>
    </xf>
    <xf numFmtId="0" fontId="11" fillId="6" borderId="35" xfId="0" applyFont="1" applyFill="1" applyBorder="1" applyAlignment="1">
      <alignment horizontal="left" vertical="top" wrapText="1"/>
    </xf>
    <xf numFmtId="0" fontId="4" fillId="85" borderId="35" xfId="0" applyFont="1" applyFill="1" applyBorder="1" applyAlignment="1">
      <alignment horizontal="left" vertical="top" wrapText="1"/>
    </xf>
    <xf numFmtId="0" fontId="0" fillId="6" borderId="0" xfId="0" applyFill="1" applyBorder="1"/>
    <xf numFmtId="0" fontId="0" fillId="0" borderId="0" xfId="0" applyBorder="1"/>
    <xf numFmtId="0" fontId="0" fillId="7" borderId="66" xfId="0" applyFont="1" applyFill="1" applyBorder="1" applyAlignment="1">
      <alignment vertical="center" wrapText="1"/>
    </xf>
    <xf numFmtId="167" fontId="4" fillId="0" borderId="71" xfId="3" applyNumberFormat="1" applyFont="1" applyFill="1" applyBorder="1" applyAlignment="1">
      <alignment horizontal="center" vertical="center" wrapText="1"/>
    </xf>
    <xf numFmtId="49" fontId="0" fillId="6" borderId="71" xfId="0" applyNumberFormat="1" applyFont="1" applyFill="1" applyBorder="1" applyAlignment="1">
      <alignment horizontal="left" vertical="center" wrapText="1"/>
    </xf>
    <xf numFmtId="44" fontId="0" fillId="0" borderId="35" xfId="3" applyFont="1" applyBorder="1"/>
    <xf numFmtId="193" fontId="0" fillId="0" borderId="35" xfId="0" applyNumberFormat="1" applyBorder="1"/>
    <xf numFmtId="194" fontId="0" fillId="0" borderId="35" xfId="0" applyNumberFormat="1" applyBorder="1"/>
    <xf numFmtId="0" fontId="105" fillId="0" borderId="35" xfId="0" applyFont="1" applyBorder="1" applyAlignment="1">
      <alignment horizontal="center" vertical="center"/>
    </xf>
    <xf numFmtId="0" fontId="0" fillId="6" borderId="35" xfId="0" applyFill="1" applyBorder="1" applyAlignment="1">
      <alignment wrapText="1"/>
    </xf>
    <xf numFmtId="43" fontId="0" fillId="0" borderId="35" xfId="2" applyFont="1" applyBorder="1"/>
    <xf numFmtId="10" fontId="0" fillId="0" borderId="35" xfId="1" applyNumberFormat="1" applyFont="1" applyBorder="1"/>
    <xf numFmtId="43" fontId="0" fillId="6" borderId="35" xfId="2" applyFont="1" applyFill="1" applyBorder="1" applyAlignment="1">
      <alignment wrapText="1"/>
    </xf>
    <xf numFmtId="0" fontId="4" fillId="86" borderId="35" xfId="0" applyFont="1" applyFill="1" applyBorder="1" applyAlignment="1">
      <alignment horizontal="left" vertical="top" wrapText="1"/>
    </xf>
    <xf numFmtId="0" fontId="0" fillId="86" borderId="35" xfId="0" applyFill="1" applyBorder="1" applyAlignment="1">
      <alignment horizontal="left" vertical="top" wrapText="1"/>
    </xf>
    <xf numFmtId="0" fontId="10" fillId="3" borderId="21" xfId="0" applyFont="1" applyFill="1" applyBorder="1" applyAlignment="1">
      <alignment horizontal="center" vertical="center"/>
    </xf>
    <xf numFmtId="0" fontId="6" fillId="8" borderId="39" xfId="0" applyFont="1" applyFill="1" applyBorder="1" applyAlignment="1">
      <alignment horizontal="center" vertical="center" wrapText="1"/>
    </xf>
    <xf numFmtId="9" fontId="0" fillId="7" borderId="54" xfId="1" applyFont="1" applyFill="1" applyBorder="1" applyAlignment="1">
      <alignment horizontal="center" vertical="center"/>
    </xf>
    <xf numFmtId="9" fontId="0" fillId="0" borderId="54" xfId="1" applyFont="1" applyFill="1" applyBorder="1" applyAlignment="1">
      <alignment horizontal="center" vertical="center"/>
    </xf>
    <xf numFmtId="9" fontId="0" fillId="7" borderId="66" xfId="0" applyNumberFormat="1" applyFont="1" applyFill="1" applyBorder="1" applyAlignment="1">
      <alignment horizontal="center" vertical="center"/>
    </xf>
    <xf numFmtId="0" fontId="0" fillId="9" borderId="70" xfId="0" applyNumberFormat="1" applyFont="1" applyFill="1" applyBorder="1" applyAlignment="1">
      <alignment horizontal="center" vertical="center"/>
    </xf>
    <xf numFmtId="6" fontId="0" fillId="9" borderId="53" xfId="0" applyNumberFormat="1" applyFont="1" applyFill="1" applyBorder="1" applyAlignment="1">
      <alignment horizontal="center" vertical="center"/>
    </xf>
    <xf numFmtId="10" fontId="0" fillId="9" borderId="54" xfId="0" applyNumberFormat="1" applyFont="1" applyFill="1" applyBorder="1" applyAlignment="1">
      <alignment horizontal="center" vertical="center"/>
    </xf>
    <xf numFmtId="10" fontId="0" fillId="9" borderId="53" xfId="0" applyNumberFormat="1" applyFont="1" applyFill="1" applyBorder="1" applyAlignment="1">
      <alignment horizontal="center" vertical="center"/>
    </xf>
    <xf numFmtId="0" fontId="9" fillId="2" borderId="2" xfId="0" applyFont="1" applyFill="1" applyBorder="1" applyAlignment="1">
      <alignment horizontal="center" vertical="center" wrapText="1"/>
    </xf>
    <xf numFmtId="0" fontId="0" fillId="0" borderId="72" xfId="0" applyFont="1" applyBorder="1" applyAlignment="1">
      <alignment vertical="center" wrapText="1"/>
    </xf>
    <xf numFmtId="0" fontId="2" fillId="0" borderId="72" xfId="0" quotePrefix="1" applyFont="1" applyFill="1" applyBorder="1" applyAlignment="1">
      <alignment horizontal="left" vertical="center" wrapText="1"/>
    </xf>
    <xf numFmtId="0" fontId="2" fillId="7" borderId="72" xfId="0" applyFont="1" applyFill="1" applyBorder="1" applyAlignment="1">
      <alignment horizontal="left" vertical="center" wrapText="1"/>
    </xf>
    <xf numFmtId="0" fontId="0" fillId="7" borderId="72" xfId="0" applyFont="1" applyFill="1" applyBorder="1" applyAlignment="1">
      <alignment vertical="center" wrapText="1"/>
    </xf>
    <xf numFmtId="0" fontId="0" fillId="0" borderId="72" xfId="0" applyFont="1" applyBorder="1" applyAlignment="1">
      <alignment horizontal="left" vertical="center" wrapText="1"/>
    </xf>
    <xf numFmtId="0" fontId="16" fillId="7" borderId="0" xfId="0" applyFont="1" applyFill="1" applyBorder="1" applyAlignment="1">
      <alignment horizontal="center"/>
    </xf>
    <xf numFmtId="0" fontId="0" fillId="5" borderId="15" xfId="0" applyFont="1" applyFill="1" applyBorder="1" applyAlignment="1">
      <alignment horizontal="center" vertical="center"/>
    </xf>
    <xf numFmtId="0" fontId="0" fillId="10" borderId="14" xfId="0" applyFont="1" applyFill="1" applyBorder="1" applyAlignment="1">
      <alignment horizontal="center" vertical="center"/>
    </xf>
    <xf numFmtId="10" fontId="4" fillId="6" borderId="73" xfId="0" applyNumberFormat="1" applyFont="1" applyFill="1" applyBorder="1" applyAlignment="1">
      <alignment horizontal="center" vertical="center"/>
    </xf>
    <xf numFmtId="1" fontId="0" fillId="9" borderId="27" xfId="0" applyNumberFormat="1" applyFont="1" applyFill="1" applyBorder="1" applyAlignment="1">
      <alignment horizontal="center" vertical="center"/>
    </xf>
    <xf numFmtId="10" fontId="4" fillId="6" borderId="37" xfId="0" applyNumberFormat="1" applyFont="1" applyFill="1" applyBorder="1" applyAlignment="1">
      <alignment horizontal="center" vertical="center"/>
    </xf>
    <xf numFmtId="10" fontId="0" fillId="6" borderId="15" xfId="0" applyNumberFormat="1" applyFont="1" applyFill="1" applyBorder="1" applyAlignment="1">
      <alignment horizontal="left" vertical="center" wrapText="1"/>
    </xf>
    <xf numFmtId="10" fontId="0" fillId="6" borderId="14" xfId="0" applyNumberFormat="1" applyFont="1" applyFill="1" applyBorder="1" applyAlignment="1">
      <alignment horizontal="left" vertical="center" wrapText="1"/>
    </xf>
    <xf numFmtId="0" fontId="0" fillId="6" borderId="74" xfId="0" applyFill="1" applyBorder="1" applyAlignment="1">
      <alignment horizontal="left" vertical="top" wrapText="1"/>
    </xf>
    <xf numFmtId="0" fontId="0" fillId="7" borderId="36" xfId="0" applyFont="1" applyFill="1" applyBorder="1" applyAlignment="1">
      <alignment vertical="center" wrapText="1"/>
    </xf>
    <xf numFmtId="10" fontId="3" fillId="14" borderId="35" xfId="0" applyNumberFormat="1" applyFont="1" applyFill="1" applyBorder="1" applyAlignment="1">
      <alignment horizontal="center" vertical="center" wrapText="1"/>
    </xf>
    <xf numFmtId="43" fontId="4" fillId="0" borderId="35" xfId="2" applyFont="1" applyFill="1" applyBorder="1" applyAlignment="1">
      <alignment horizontal="center" vertical="center" wrapText="1"/>
    </xf>
    <xf numFmtId="9" fontId="4" fillId="16" borderId="35" xfId="1" applyNumberFormat="1" applyFont="1" applyFill="1" applyBorder="1" applyAlignment="1">
      <alignment horizontal="center" vertical="center" wrapText="1"/>
    </xf>
    <xf numFmtId="9" fontId="4" fillId="18" borderId="35" xfId="1" applyNumberFormat="1" applyFont="1" applyFill="1" applyBorder="1" applyAlignment="1">
      <alignment horizontal="center" vertical="center" wrapText="1"/>
    </xf>
    <xf numFmtId="9" fontId="4" fillId="10" borderId="35" xfId="1" applyNumberFormat="1" applyFont="1" applyFill="1" applyBorder="1" applyAlignment="1">
      <alignment horizontal="center" vertical="center"/>
    </xf>
    <xf numFmtId="9" fontId="7" fillId="10" borderId="35" xfId="1" applyNumberFormat="1" applyFont="1" applyFill="1" applyBorder="1" applyAlignment="1">
      <alignment horizontal="center" vertical="center"/>
    </xf>
    <xf numFmtId="9" fontId="4" fillId="87" borderId="35" xfId="1" applyNumberFormat="1" applyFont="1" applyFill="1" applyBorder="1" applyAlignment="1">
      <alignment horizontal="center" vertical="center" wrapText="1"/>
    </xf>
    <xf numFmtId="0" fontId="107" fillId="6" borderId="35" xfId="0" applyFont="1" applyFill="1" applyBorder="1" applyAlignment="1">
      <alignment horizontal="left" vertical="top" wrapText="1"/>
    </xf>
    <xf numFmtId="0" fontId="0" fillId="86" borderId="35" xfId="0" applyFont="1" applyFill="1" applyBorder="1" applyAlignment="1">
      <alignment vertical="center" wrapText="1"/>
    </xf>
    <xf numFmtId="10" fontId="7" fillId="7" borderId="35" xfId="1" applyNumberFormat="1" applyFont="1" applyFill="1" applyBorder="1" applyAlignment="1">
      <alignment horizontal="center" vertical="center"/>
    </xf>
    <xf numFmtId="0" fontId="3" fillId="0" borderId="35" xfId="0" applyFont="1" applyFill="1" applyBorder="1" applyAlignment="1">
      <alignment horizontal="center" vertical="center" wrapText="1"/>
    </xf>
    <xf numFmtId="0" fontId="4" fillId="85" borderId="35" xfId="0" applyFont="1" applyFill="1" applyBorder="1" applyAlignment="1">
      <alignment horizontal="center" vertical="center" wrapText="1"/>
    </xf>
    <xf numFmtId="0" fontId="0" fillId="6" borderId="18" xfId="0" applyFill="1" applyBorder="1" applyAlignment="1">
      <alignment horizontal="center" vertical="center" wrapText="1"/>
    </xf>
    <xf numFmtId="0" fontId="16" fillId="7" borderId="0" xfId="0" applyFont="1" applyFill="1" applyBorder="1" applyAlignment="1">
      <alignment horizontal="center"/>
    </xf>
    <xf numFmtId="165" fontId="3" fillId="14" borderId="35" xfId="0" applyNumberFormat="1" applyFont="1" applyFill="1" applyBorder="1" applyAlignment="1">
      <alignment horizontal="center" vertical="center"/>
    </xf>
    <xf numFmtId="165" fontId="3" fillId="5" borderId="35" xfId="0" applyNumberFormat="1" applyFont="1" applyFill="1" applyBorder="1" applyAlignment="1">
      <alignment horizontal="center" vertical="center"/>
    </xf>
    <xf numFmtId="165" fontId="0" fillId="0" borderId="35" xfId="1" applyNumberFormat="1" applyFont="1" applyFill="1" applyBorder="1" applyAlignment="1">
      <alignment horizontal="center" vertical="center"/>
    </xf>
    <xf numFmtId="0" fontId="0" fillId="0" borderId="18" xfId="0" applyFont="1" applyBorder="1" applyAlignment="1">
      <alignment horizontal="center" vertical="center" wrapText="1"/>
    </xf>
    <xf numFmtId="0" fontId="0" fillId="0" borderId="72" xfId="0" applyFont="1" applyFill="1" applyBorder="1" applyAlignment="1">
      <alignment horizontal="left" vertical="center" wrapText="1"/>
    </xf>
    <xf numFmtId="0" fontId="0" fillId="0" borderId="20" xfId="0" applyFont="1" applyBorder="1" applyAlignment="1">
      <alignment horizontal="center" vertical="center"/>
    </xf>
    <xf numFmtId="0" fontId="9" fillId="2" borderId="75" xfId="0" applyFont="1" applyFill="1" applyBorder="1" applyAlignment="1">
      <alignment horizontal="center" vertical="center" wrapText="1"/>
    </xf>
    <xf numFmtId="0" fontId="6" fillId="11" borderId="77" xfId="0" applyFont="1" applyFill="1" applyBorder="1" applyAlignment="1">
      <alignment horizontal="center" vertical="center" wrapText="1"/>
    </xf>
    <xf numFmtId="10" fontId="0" fillId="9" borderId="35" xfId="0" applyNumberFormat="1" applyFont="1" applyFill="1" applyBorder="1" applyAlignment="1">
      <alignment horizontal="center" vertical="center"/>
    </xf>
    <xf numFmtId="10" fontId="0" fillId="5" borderId="35" xfId="0" applyNumberFormat="1" applyFont="1" applyFill="1" applyBorder="1" applyAlignment="1">
      <alignment horizontal="center" vertical="center"/>
    </xf>
    <xf numFmtId="10" fontId="0" fillId="6" borderId="35" xfId="0" applyNumberFormat="1" applyFont="1" applyFill="1" applyBorder="1" applyAlignment="1">
      <alignment horizontal="center" vertical="center" wrapText="1"/>
    </xf>
    <xf numFmtId="10" fontId="0" fillId="10" borderId="35" xfId="0" applyNumberFormat="1" applyFont="1" applyFill="1" applyBorder="1" applyAlignment="1">
      <alignment horizontal="center" vertical="center"/>
    </xf>
    <xf numFmtId="10" fontId="4" fillId="6" borderId="35" xfId="0" applyNumberFormat="1" applyFont="1" applyFill="1" applyBorder="1" applyAlignment="1">
      <alignment horizontal="center" vertical="center"/>
    </xf>
    <xf numFmtId="0" fontId="0" fillId="6" borderId="35" xfId="0" applyNumberFormat="1" applyFont="1" applyFill="1" applyBorder="1" applyAlignment="1">
      <alignment horizontal="left" vertical="center" wrapText="1"/>
    </xf>
    <xf numFmtId="0" fontId="0" fillId="7" borderId="35" xfId="0" applyNumberFormat="1" applyFont="1" applyFill="1" applyBorder="1" applyAlignment="1">
      <alignment horizontal="left" vertical="center" wrapText="1"/>
    </xf>
    <xf numFmtId="10" fontId="0" fillId="0" borderId="35" xfId="0" applyNumberFormat="1" applyFont="1" applyFill="1" applyBorder="1" applyAlignment="1">
      <alignment horizontal="center" vertical="center"/>
    </xf>
    <xf numFmtId="10" fontId="0" fillId="0" borderId="35" xfId="0" applyNumberFormat="1" applyFont="1" applyFill="1" applyBorder="1" applyAlignment="1">
      <alignment horizontal="center" vertical="center" wrapText="1"/>
    </xf>
    <xf numFmtId="10" fontId="4" fillId="0" borderId="35" xfId="0" applyNumberFormat="1" applyFont="1" applyFill="1" applyBorder="1" applyAlignment="1">
      <alignment horizontal="center" vertical="center"/>
    </xf>
    <xf numFmtId="9" fontId="0" fillId="9" borderId="35" xfId="1" applyFont="1" applyFill="1" applyBorder="1" applyAlignment="1">
      <alignment horizontal="center" vertical="center"/>
    </xf>
    <xf numFmtId="9" fontId="0" fillId="5" borderId="35" xfId="1" applyFont="1" applyFill="1" applyBorder="1" applyAlignment="1">
      <alignment horizontal="center" vertical="center"/>
    </xf>
    <xf numFmtId="10" fontId="0" fillId="6" borderId="35" xfId="0" applyNumberFormat="1" applyFont="1" applyFill="1" applyBorder="1" applyAlignment="1">
      <alignment horizontal="center" vertical="center"/>
    </xf>
    <xf numFmtId="9" fontId="0" fillId="10" borderId="35" xfId="1" applyFont="1" applyFill="1" applyBorder="1" applyAlignment="1">
      <alignment horizontal="center" vertical="center"/>
    </xf>
    <xf numFmtId="9" fontId="0" fillId="7" borderId="35" xfId="1" applyFont="1" applyFill="1" applyBorder="1" applyAlignment="1">
      <alignment horizontal="center" vertical="center"/>
    </xf>
    <xf numFmtId="9" fontId="0" fillId="0" borderId="35" xfId="1" applyFont="1" applyFill="1" applyBorder="1" applyAlignment="1">
      <alignment horizontal="center" vertical="center"/>
    </xf>
    <xf numFmtId="0" fontId="0" fillId="0" borderId="35" xfId="0" applyNumberFormat="1" applyFont="1" applyFill="1" applyBorder="1" applyAlignment="1">
      <alignment horizontal="left" vertical="center" wrapText="1"/>
    </xf>
    <xf numFmtId="9" fontId="4" fillId="10" borderId="35" xfId="1" applyFont="1" applyFill="1" applyBorder="1" applyAlignment="1">
      <alignment horizontal="center" vertical="center"/>
    </xf>
    <xf numFmtId="9" fontId="4" fillId="0" borderId="35" xfId="1" applyFont="1" applyFill="1" applyBorder="1" applyAlignment="1">
      <alignment horizontal="center" vertical="center"/>
    </xf>
    <xf numFmtId="10" fontId="0" fillId="12" borderId="35" xfId="0" applyNumberFormat="1" applyFont="1" applyFill="1" applyBorder="1" applyAlignment="1">
      <alignment horizontal="center" vertical="center"/>
    </xf>
    <xf numFmtId="9" fontId="0" fillId="12" borderId="35" xfId="1" applyFont="1" applyFill="1" applyBorder="1" applyAlignment="1">
      <alignment horizontal="center" vertical="center"/>
    </xf>
    <xf numFmtId="0" fontId="0" fillId="9" borderId="35" xfId="0" applyFont="1" applyFill="1" applyBorder="1" applyAlignment="1">
      <alignment horizontal="center" vertical="center"/>
    </xf>
    <xf numFmtId="0" fontId="0" fillId="5" borderId="35" xfId="0" applyFont="1" applyFill="1" applyBorder="1" applyAlignment="1">
      <alignment horizontal="center" vertical="center"/>
    </xf>
    <xf numFmtId="8" fontId="0" fillId="9" borderId="35" xfId="0" applyNumberFormat="1" applyFont="1" applyFill="1" applyBorder="1" applyAlignment="1">
      <alignment horizontal="center" vertical="center"/>
    </xf>
    <xf numFmtId="0" fontId="4" fillId="4" borderId="35" xfId="0" applyFont="1" applyFill="1" applyBorder="1" applyAlignment="1">
      <alignment horizontal="center" vertical="center" wrapText="1"/>
    </xf>
    <xf numFmtId="1" fontId="0" fillId="9" borderId="35" xfId="0" applyNumberFormat="1" applyFont="1" applyFill="1" applyBorder="1" applyAlignment="1">
      <alignment horizontal="center" vertical="center"/>
    </xf>
    <xf numFmtId="10" fontId="0" fillId="6" borderId="35" xfId="0" applyNumberFormat="1" applyFont="1" applyFill="1" applyBorder="1" applyAlignment="1">
      <alignment horizontal="left" vertical="center" wrapText="1"/>
    </xf>
    <xf numFmtId="9" fontId="0" fillId="9" borderId="35" xfId="0" applyNumberFormat="1" applyFont="1" applyFill="1" applyBorder="1" applyAlignment="1">
      <alignment horizontal="center" vertical="center"/>
    </xf>
    <xf numFmtId="9" fontId="0" fillId="5" borderId="35" xfId="0" applyNumberFormat="1" applyFont="1" applyFill="1" applyBorder="1" applyAlignment="1">
      <alignment horizontal="center" vertical="center"/>
    </xf>
    <xf numFmtId="9" fontId="0" fillId="10" borderId="35" xfId="0" applyNumberFormat="1" applyFont="1" applyFill="1" applyBorder="1" applyAlignment="1">
      <alignment horizontal="center" vertical="center"/>
    </xf>
    <xf numFmtId="0" fontId="0" fillId="9" borderId="35" xfId="0" applyNumberFormat="1" applyFont="1" applyFill="1" applyBorder="1" applyAlignment="1">
      <alignment horizontal="center" vertical="center"/>
    </xf>
    <xf numFmtId="6" fontId="0" fillId="9" borderId="35" xfId="0" applyNumberFormat="1" applyFont="1" applyFill="1" applyBorder="1" applyAlignment="1">
      <alignment horizontal="center" vertical="center"/>
    </xf>
    <xf numFmtId="38" fontId="0" fillId="9" borderId="35" xfId="0" applyNumberFormat="1" applyFont="1" applyFill="1" applyBorder="1" applyAlignment="1">
      <alignment horizontal="center" vertical="center"/>
    </xf>
    <xf numFmtId="9" fontId="0" fillId="7" borderId="35" xfId="0" applyNumberFormat="1" applyFont="1" applyFill="1" applyBorder="1" applyAlignment="1">
      <alignment horizontal="center" vertical="center"/>
    </xf>
    <xf numFmtId="1" fontId="0" fillId="10" borderId="35" xfId="0" applyNumberFormat="1" applyFont="1" applyFill="1" applyBorder="1" applyAlignment="1">
      <alignment horizontal="center" vertical="center"/>
    </xf>
    <xf numFmtId="1" fontId="0" fillId="5" borderId="35" xfId="0" applyNumberFormat="1" applyFont="1" applyFill="1" applyBorder="1" applyAlignment="1">
      <alignment horizontal="center" vertical="center"/>
    </xf>
    <xf numFmtId="10" fontId="0" fillId="7" borderId="35" xfId="0" applyNumberFormat="1" applyFont="1" applyFill="1" applyBorder="1" applyAlignment="1">
      <alignment horizontal="left" vertical="center" wrapText="1"/>
    </xf>
    <xf numFmtId="0" fontId="0" fillId="5" borderId="35" xfId="0" applyFont="1" applyFill="1" applyBorder="1" applyAlignment="1">
      <alignment horizontal="center" vertical="center" wrapText="1"/>
    </xf>
    <xf numFmtId="0" fontId="0" fillId="10" borderId="35" xfId="0" applyFont="1" applyFill="1" applyBorder="1" applyAlignment="1">
      <alignment horizontal="center" vertical="center" wrapText="1"/>
    </xf>
    <xf numFmtId="10" fontId="0" fillId="9" borderId="74" xfId="0" applyNumberFormat="1" applyFont="1" applyFill="1" applyBorder="1" applyAlignment="1">
      <alignment horizontal="center" vertical="center"/>
    </xf>
    <xf numFmtId="10" fontId="0" fillId="0" borderId="74" xfId="0" applyNumberFormat="1" applyFont="1" applyFill="1" applyBorder="1" applyAlignment="1">
      <alignment horizontal="center" vertical="center"/>
    </xf>
    <xf numFmtId="9" fontId="0" fillId="9" borderId="74" xfId="1" applyFont="1" applyFill="1" applyBorder="1" applyAlignment="1">
      <alignment horizontal="center" vertical="center"/>
    </xf>
    <xf numFmtId="9" fontId="0" fillId="7" borderId="74" xfId="1" applyFont="1" applyFill="1" applyBorder="1" applyAlignment="1">
      <alignment horizontal="center" vertical="center"/>
    </xf>
    <xf numFmtId="9" fontId="0" fillId="0" borderId="74" xfId="1" applyFont="1" applyFill="1" applyBorder="1" applyAlignment="1">
      <alignment horizontal="center" vertical="center"/>
    </xf>
    <xf numFmtId="0" fontId="0" fillId="9" borderId="74" xfId="0" applyFont="1" applyFill="1" applyBorder="1" applyAlignment="1">
      <alignment horizontal="center" vertical="center"/>
    </xf>
    <xf numFmtId="1" fontId="0" fillId="9" borderId="74" xfId="0" applyNumberFormat="1" applyFont="1" applyFill="1" applyBorder="1" applyAlignment="1">
      <alignment horizontal="center" vertical="center"/>
    </xf>
    <xf numFmtId="9" fontId="0" fillId="9" borderId="74" xfId="0" applyNumberFormat="1" applyFont="1" applyFill="1" applyBorder="1" applyAlignment="1">
      <alignment horizontal="center" vertical="center"/>
    </xf>
    <xf numFmtId="0" fontId="0" fillId="9" borderId="74" xfId="0" applyNumberFormat="1" applyFont="1" applyFill="1" applyBorder="1" applyAlignment="1">
      <alignment horizontal="center" vertical="center"/>
    </xf>
    <xf numFmtId="6" fontId="0" fillId="9" borderId="74" xfId="0" applyNumberFormat="1" applyFont="1" applyFill="1" applyBorder="1" applyAlignment="1">
      <alignment horizontal="center" vertical="center"/>
    </xf>
    <xf numFmtId="9" fontId="0" fillId="7" borderId="74" xfId="0" applyNumberFormat="1" applyFont="1" applyFill="1" applyBorder="1" applyAlignment="1">
      <alignment horizontal="center" vertical="center"/>
    </xf>
    <xf numFmtId="38" fontId="0" fillId="9" borderId="74" xfId="0" applyNumberFormat="1" applyFont="1" applyFill="1" applyBorder="1" applyAlignment="1">
      <alignment horizontal="center" vertical="center"/>
    </xf>
    <xf numFmtId="0" fontId="2" fillId="0" borderId="2" xfId="0" applyFont="1" applyBorder="1" applyAlignment="1">
      <alignment horizontal="left" vertical="center" wrapText="1"/>
    </xf>
    <xf numFmtId="0" fontId="2" fillId="0" borderId="2" xfId="0" applyFont="1" applyFill="1" applyBorder="1" applyAlignment="1">
      <alignment horizontal="left" vertical="center" wrapText="1"/>
    </xf>
    <xf numFmtId="0" fontId="2" fillId="0" borderId="2" xfId="0" applyFont="1" applyFill="1" applyBorder="1" applyAlignment="1">
      <alignment horizontal="left" vertical="center" wrapText="1" readingOrder="1"/>
    </xf>
    <xf numFmtId="0" fontId="0" fillId="0" borderId="2" xfId="0" applyFont="1" applyBorder="1" applyAlignment="1">
      <alignment vertical="center" wrapText="1"/>
    </xf>
    <xf numFmtId="0" fontId="2" fillId="0" borderId="2" xfId="0" quotePrefix="1" applyFont="1" applyFill="1" applyBorder="1" applyAlignment="1">
      <alignment horizontal="left" vertical="center" wrapText="1"/>
    </xf>
    <xf numFmtId="0" fontId="0" fillId="0" borderId="2" xfId="0" applyFont="1" applyFill="1" applyBorder="1" applyAlignment="1">
      <alignment vertical="center" wrapText="1"/>
    </xf>
    <xf numFmtId="0" fontId="4" fillId="0" borderId="2" xfId="0" applyFont="1" applyFill="1" applyBorder="1" applyAlignment="1">
      <alignment vertical="center" wrapText="1"/>
    </xf>
    <xf numFmtId="0" fontId="0" fillId="7" borderId="2" xfId="0" applyFont="1" applyFill="1" applyBorder="1" applyAlignment="1">
      <alignment vertical="center" wrapText="1"/>
    </xf>
    <xf numFmtId="0" fontId="0" fillId="0" borderId="2" xfId="0" applyFont="1" applyBorder="1" applyAlignment="1">
      <alignment horizontal="left" vertical="center" wrapText="1"/>
    </xf>
    <xf numFmtId="0" fontId="2" fillId="7" borderId="2" xfId="0" applyFont="1" applyFill="1" applyBorder="1" applyAlignment="1">
      <alignment horizontal="left" vertical="center" wrapText="1"/>
    </xf>
    <xf numFmtId="0" fontId="0" fillId="0" borderId="2" xfId="0" applyFont="1" applyFill="1" applyBorder="1" applyAlignment="1">
      <alignment horizontal="left" vertical="center" wrapText="1"/>
    </xf>
    <xf numFmtId="0" fontId="0" fillId="7" borderId="35" xfId="0" applyFont="1" applyFill="1" applyBorder="1" applyAlignment="1">
      <alignment horizontal="center" vertical="center"/>
    </xf>
    <xf numFmtId="10" fontId="0" fillId="7" borderId="35" xfId="1" applyNumberFormat="1" applyFont="1" applyFill="1" applyBorder="1" applyAlignment="1">
      <alignment horizontal="center" vertical="center"/>
    </xf>
    <xf numFmtId="17" fontId="3" fillId="83" borderId="0" xfId="0" applyNumberFormat="1" applyFont="1" applyFill="1" applyBorder="1" applyAlignment="1" applyProtection="1">
      <alignment horizontal="center" vertical="center" wrapText="1"/>
    </xf>
    <xf numFmtId="0" fontId="0" fillId="0" borderId="0" xfId="0" applyFont="1" applyAlignment="1">
      <alignment vertical="center" wrapText="1"/>
    </xf>
    <xf numFmtId="0" fontId="0" fillId="0" borderId="0" xfId="0" applyFont="1"/>
    <xf numFmtId="0" fontId="0" fillId="6" borderId="0" xfId="0" applyFont="1" applyFill="1"/>
    <xf numFmtId="0" fontId="0" fillId="10" borderId="0" xfId="0" applyFont="1" applyFill="1"/>
    <xf numFmtId="0" fontId="0" fillId="6" borderId="0" xfId="0" applyFont="1" applyFill="1" applyAlignment="1">
      <alignment horizontal="left" vertical="center" wrapText="1"/>
    </xf>
    <xf numFmtId="0" fontId="0" fillId="6" borderId="0" xfId="0" applyFont="1" applyFill="1" applyAlignment="1">
      <alignment horizontal="center" vertical="center"/>
    </xf>
    <xf numFmtId="0" fontId="0" fillId="6" borderId="0" xfId="0" applyFont="1" applyFill="1" applyAlignment="1">
      <alignment vertical="center"/>
    </xf>
    <xf numFmtId="0" fontId="6" fillId="7" borderId="0" xfId="0" applyFont="1" applyFill="1" applyBorder="1" applyAlignment="1">
      <alignment horizontal="center"/>
    </xf>
    <xf numFmtId="0" fontId="6" fillId="83" borderId="0" xfId="0" applyFont="1" applyFill="1" applyBorder="1" applyAlignment="1">
      <alignment horizontal="center"/>
    </xf>
    <xf numFmtId="9" fontId="6" fillId="83" borderId="0" xfId="0" applyNumberFormat="1" applyFont="1" applyFill="1" applyBorder="1" applyAlignment="1">
      <alignment horizontal="center"/>
    </xf>
    <xf numFmtId="0" fontId="6" fillId="0" borderId="0" xfId="0" applyFont="1" applyFill="1" applyBorder="1" applyAlignment="1">
      <alignment horizontal="center"/>
    </xf>
    <xf numFmtId="0" fontId="6" fillId="0" borderId="0" xfId="0" applyFont="1" applyFill="1" applyBorder="1" applyAlignment="1">
      <alignment horizontal="center" vertical="center"/>
    </xf>
    <xf numFmtId="0" fontId="0" fillId="0" borderId="0" xfId="0" applyFont="1" applyAlignment="1">
      <alignment wrapText="1"/>
    </xf>
    <xf numFmtId="0" fontId="3" fillId="11" borderId="0" xfId="0" applyFont="1" applyFill="1" applyAlignment="1">
      <alignment horizontal="center" vertical="center" wrapText="1"/>
    </xf>
    <xf numFmtId="17" fontId="9" fillId="13" borderId="38" xfId="0" applyNumberFormat="1" applyFont="1" applyFill="1" applyBorder="1" applyAlignment="1" applyProtection="1">
      <alignment horizontal="center" vertical="center" wrapText="1"/>
    </xf>
    <xf numFmtId="17" fontId="9" fillId="13" borderId="39" xfId="0" applyNumberFormat="1" applyFont="1" applyFill="1" applyBorder="1" applyAlignment="1" applyProtection="1">
      <alignment horizontal="center" vertical="center" wrapText="1"/>
    </xf>
    <xf numFmtId="17" fontId="9" fillId="13" borderId="40" xfId="0" applyNumberFormat="1" applyFont="1" applyFill="1" applyBorder="1" applyAlignment="1" applyProtection="1">
      <alignment horizontal="center" vertical="center" wrapText="1"/>
    </xf>
    <xf numFmtId="17" fontId="9" fillId="10" borderId="39" xfId="0" applyNumberFormat="1" applyFont="1" applyFill="1" applyBorder="1" applyAlignment="1" applyProtection="1">
      <alignment horizontal="center" vertical="center" wrapText="1"/>
    </xf>
    <xf numFmtId="17" fontId="9" fillId="13" borderId="42" xfId="0" applyNumberFormat="1" applyFont="1" applyFill="1" applyBorder="1" applyAlignment="1" applyProtection="1">
      <alignment horizontal="center" vertical="center" wrapText="1"/>
    </xf>
    <xf numFmtId="17" fontId="9" fillId="13" borderId="0" xfId="0" applyNumberFormat="1" applyFont="1" applyFill="1" applyBorder="1" applyAlignment="1" applyProtection="1">
      <alignment horizontal="center" vertical="center" wrapText="1"/>
    </xf>
    <xf numFmtId="0" fontId="3" fillId="84" borderId="65" xfId="0" applyFont="1" applyFill="1" applyBorder="1" applyAlignment="1" applyProtection="1">
      <alignment horizontal="center" vertical="center" wrapText="1"/>
    </xf>
    <xf numFmtId="0" fontId="3" fillId="84" borderId="0" xfId="0" applyFont="1" applyFill="1" applyBorder="1" applyAlignment="1" applyProtection="1">
      <alignment horizontal="center" vertical="center" wrapText="1"/>
    </xf>
    <xf numFmtId="0" fontId="0" fillId="6" borderId="35" xfId="0" applyFont="1" applyFill="1" applyBorder="1" applyAlignment="1">
      <alignment horizontal="left" vertical="top" wrapText="1"/>
    </xf>
    <xf numFmtId="49" fontId="0" fillId="6" borderId="35" xfId="0" applyNumberFormat="1" applyFont="1" applyFill="1" applyBorder="1" applyAlignment="1">
      <alignment horizontal="center" vertical="top" wrapText="1"/>
    </xf>
    <xf numFmtId="193" fontId="0" fillId="0" borderId="0" xfId="0" applyNumberFormat="1" applyFont="1"/>
    <xf numFmtId="194" fontId="0" fillId="0" borderId="0" xfId="0" applyNumberFormat="1" applyFont="1"/>
    <xf numFmtId="0" fontId="109" fillId="0" borderId="0" xfId="0" applyFont="1" applyAlignment="1">
      <alignment horizontal="center" vertical="center"/>
    </xf>
    <xf numFmtId="0" fontId="0" fillId="6" borderId="0" xfId="0" applyFont="1" applyFill="1" applyAlignment="1">
      <alignment wrapText="1"/>
    </xf>
    <xf numFmtId="49" fontId="0" fillId="6" borderId="35" xfId="0" applyNumberFormat="1" applyFont="1" applyFill="1" applyBorder="1" applyAlignment="1">
      <alignment horizontal="left" vertical="top" wrapText="1"/>
    </xf>
    <xf numFmtId="0" fontId="0" fillId="0" borderId="35" xfId="0" applyFont="1" applyFill="1" applyBorder="1" applyAlignment="1">
      <alignment horizontal="left" vertical="top" wrapText="1"/>
    </xf>
    <xf numFmtId="49" fontId="0" fillId="0" borderId="35" xfId="0" applyNumberFormat="1" applyFont="1" applyFill="1" applyBorder="1" applyAlignment="1">
      <alignment horizontal="center" vertical="top" wrapText="1"/>
    </xf>
    <xf numFmtId="43" fontId="0" fillId="0" borderId="35" xfId="2" applyFont="1" applyFill="1" applyBorder="1" applyAlignment="1">
      <alignment horizontal="center" vertical="center"/>
    </xf>
    <xf numFmtId="167" fontId="0" fillId="10" borderId="35" xfId="3" applyNumberFormat="1" applyFont="1" applyFill="1" applyBorder="1" applyAlignment="1">
      <alignment horizontal="left" vertical="center"/>
    </xf>
    <xf numFmtId="167" fontId="0" fillId="11" borderId="35" xfId="3" applyNumberFormat="1" applyFont="1" applyFill="1" applyBorder="1" applyAlignment="1">
      <alignment horizontal="center" vertical="center"/>
    </xf>
    <xf numFmtId="167" fontId="0" fillId="10" borderId="35" xfId="3" applyNumberFormat="1" applyFont="1" applyFill="1" applyBorder="1" applyAlignment="1">
      <alignment horizontal="center" vertical="center"/>
    </xf>
    <xf numFmtId="167" fontId="0" fillId="7" borderId="35" xfId="3" applyNumberFormat="1" applyFont="1" applyFill="1" applyBorder="1" applyAlignment="1">
      <alignment horizontal="center" vertical="center"/>
    </xf>
    <xf numFmtId="194" fontId="0" fillId="0" borderId="35" xfId="0" applyNumberFormat="1" applyFont="1" applyBorder="1"/>
    <xf numFmtId="0" fontId="109" fillId="0" borderId="35" xfId="0" applyFont="1" applyBorder="1" applyAlignment="1">
      <alignment horizontal="center" vertical="center"/>
    </xf>
    <xf numFmtId="193" fontId="0" fillId="0" borderId="35" xfId="0" applyNumberFormat="1" applyFont="1" applyBorder="1"/>
    <xf numFmtId="0" fontId="0" fillId="6" borderId="35" xfId="0" applyFont="1" applyFill="1" applyBorder="1" applyAlignment="1">
      <alignment wrapText="1"/>
    </xf>
    <xf numFmtId="0" fontId="0" fillId="17" borderId="0" xfId="0" applyFont="1" applyFill="1"/>
    <xf numFmtId="0" fontId="0" fillId="0" borderId="54" xfId="0" applyFont="1" applyFill="1" applyBorder="1" applyAlignment="1">
      <alignment horizontal="left" vertical="center" wrapText="1"/>
    </xf>
    <xf numFmtId="0" fontId="0" fillId="0" borderId="72" xfId="0" applyFont="1" applyFill="1" applyBorder="1" applyAlignment="1">
      <alignment vertical="center" wrapText="1"/>
    </xf>
    <xf numFmtId="49" fontId="0" fillId="6" borderId="78" xfId="0" applyNumberFormat="1" applyFill="1" applyBorder="1" applyAlignment="1">
      <alignment horizontal="center" vertical="top" wrapText="1"/>
    </xf>
    <xf numFmtId="10" fontId="0" fillId="0" borderId="78" xfId="1" applyNumberFormat="1" applyFont="1" applyBorder="1"/>
    <xf numFmtId="193" fontId="0" fillId="0" borderId="78" xfId="0" applyNumberFormat="1" applyBorder="1"/>
    <xf numFmtId="194" fontId="0" fillId="0" borderId="78" xfId="0" applyNumberFormat="1" applyBorder="1"/>
    <xf numFmtId="0" fontId="105" fillId="0" borderId="79" xfId="0" applyFont="1" applyBorder="1" applyAlignment="1">
      <alignment horizontal="center" vertical="center"/>
    </xf>
    <xf numFmtId="49" fontId="0" fillId="0" borderId="35" xfId="0" applyNumberFormat="1" applyFill="1" applyBorder="1" applyAlignment="1">
      <alignment horizontal="center" vertical="top" wrapText="1"/>
    </xf>
    <xf numFmtId="0" fontId="105" fillId="0" borderId="80" xfId="0" applyFont="1" applyBorder="1" applyAlignment="1">
      <alignment horizontal="center" vertical="center"/>
    </xf>
    <xf numFmtId="49" fontId="0" fillId="6" borderId="35" xfId="0" applyNumberFormat="1" applyFill="1" applyBorder="1" applyAlignment="1">
      <alignment horizontal="center" vertical="top" wrapText="1"/>
    </xf>
    <xf numFmtId="49" fontId="0" fillId="6" borderId="71" xfId="0" applyNumberFormat="1" applyFill="1" applyBorder="1" applyAlignment="1">
      <alignment horizontal="center" vertical="top" wrapText="1"/>
    </xf>
    <xf numFmtId="168" fontId="108" fillId="10" borderId="81" xfId="0" applyNumberFormat="1" applyFont="1" applyFill="1" applyBorder="1" applyAlignment="1">
      <alignment horizontal="center" vertical="center" wrapText="1"/>
    </xf>
    <xf numFmtId="168" fontId="108" fillId="10" borderId="81" xfId="3" applyNumberFormat="1" applyFont="1" applyFill="1" applyBorder="1" applyAlignment="1" applyProtection="1">
      <alignment horizontal="center" vertical="center" wrapText="1"/>
    </xf>
    <xf numFmtId="165" fontId="0" fillId="7" borderId="35" xfId="1" applyNumberFormat="1" applyFont="1" applyFill="1" applyBorder="1" applyAlignment="1">
      <alignment horizontal="center" vertical="center"/>
    </xf>
    <xf numFmtId="9" fontId="0" fillId="7" borderId="76" xfId="1" applyFont="1" applyFill="1" applyBorder="1" applyAlignment="1">
      <alignment horizontal="center" vertical="center"/>
    </xf>
    <xf numFmtId="0" fontId="15" fillId="0" borderId="2" xfId="0" applyFont="1" applyBorder="1" applyAlignment="1">
      <alignment vertical="center" wrapText="1"/>
    </xf>
    <xf numFmtId="49" fontId="11" fillId="0" borderId="35" xfId="0" applyNumberFormat="1" applyFont="1" applyFill="1" applyBorder="1" applyAlignment="1">
      <alignment horizontal="left" vertical="center" wrapText="1"/>
    </xf>
    <xf numFmtId="9" fontId="3" fillId="15" borderId="35" xfId="0" applyNumberFormat="1" applyFont="1" applyFill="1" applyBorder="1" applyAlignment="1">
      <alignment horizontal="center" vertical="center" wrapText="1"/>
    </xf>
    <xf numFmtId="49" fontId="6" fillId="14" borderId="35" xfId="0" applyNumberFormat="1" applyFont="1" applyFill="1" applyBorder="1" applyAlignment="1">
      <alignment horizontal="center" vertical="center" wrapText="1"/>
    </xf>
    <xf numFmtId="9" fontId="4" fillId="10" borderId="35" xfId="1" applyNumberFormat="1" applyFont="1" applyFill="1" applyBorder="1" applyAlignment="1">
      <alignment horizontal="center" vertical="center" wrapText="1"/>
    </xf>
    <xf numFmtId="0" fontId="111" fillId="11" borderId="2" xfId="0" applyFont="1" applyFill="1" applyBorder="1" applyAlignment="1">
      <alignment vertical="center" wrapText="1"/>
    </xf>
    <xf numFmtId="0" fontId="111" fillId="0" borderId="2" xfId="0" applyFont="1" applyBorder="1" applyAlignment="1">
      <alignment vertical="center"/>
    </xf>
    <xf numFmtId="0" fontId="111" fillId="11" borderId="2" xfId="0" applyFont="1" applyFill="1" applyBorder="1" applyAlignment="1">
      <alignment vertical="center"/>
    </xf>
    <xf numFmtId="0" fontId="110" fillId="4" borderId="67" xfId="0" applyFont="1" applyFill="1" applyBorder="1" applyAlignment="1">
      <alignment horizontal="center" vertical="center"/>
    </xf>
    <xf numFmtId="0" fontId="110" fillId="4" borderId="41" xfId="0" applyFont="1" applyFill="1" applyBorder="1" applyAlignment="1">
      <alignment horizontal="center" vertical="center"/>
    </xf>
    <xf numFmtId="10" fontId="6" fillId="14" borderId="35" xfId="0" applyNumberFormat="1" applyFont="1" applyFill="1" applyBorder="1" applyAlignment="1">
      <alignment horizontal="center" vertical="center" wrapText="1"/>
    </xf>
    <xf numFmtId="10" fontId="6" fillId="5" borderId="35" xfId="0" applyNumberFormat="1" applyFont="1" applyFill="1" applyBorder="1" applyAlignment="1">
      <alignment horizontal="center" vertical="center" wrapText="1"/>
    </xf>
    <xf numFmtId="167" fontId="0" fillId="0" borderId="0" xfId="0" applyNumberFormat="1"/>
    <xf numFmtId="0" fontId="0" fillId="4" borderId="35" xfId="0" applyFont="1" applyFill="1" applyBorder="1" applyAlignment="1">
      <alignment vertical="center" wrapText="1"/>
    </xf>
    <xf numFmtId="165" fontId="6" fillId="14" borderId="35" xfId="0" applyNumberFormat="1" applyFont="1" applyFill="1" applyBorder="1" applyAlignment="1">
      <alignment horizontal="center" vertical="center" wrapText="1"/>
    </xf>
    <xf numFmtId="165" fontId="6" fillId="5" borderId="35" xfId="0" applyNumberFormat="1" applyFont="1" applyFill="1" applyBorder="1" applyAlignment="1">
      <alignment horizontal="center" vertical="center" wrapText="1"/>
    </xf>
    <xf numFmtId="165" fontId="4" fillId="11" borderId="35" xfId="1" applyNumberFormat="1" applyFont="1" applyFill="1" applyBorder="1" applyAlignment="1">
      <alignment horizontal="center" vertical="center" wrapText="1"/>
    </xf>
    <xf numFmtId="165" fontId="0" fillId="10" borderId="35" xfId="1" applyNumberFormat="1" applyFont="1" applyFill="1" applyBorder="1" applyAlignment="1">
      <alignment horizontal="center" vertical="center"/>
    </xf>
    <xf numFmtId="165" fontId="0" fillId="10" borderId="35" xfId="1" applyNumberFormat="1" applyFont="1" applyFill="1" applyBorder="1" applyAlignment="1">
      <alignment horizontal="center" vertical="center" wrapText="1"/>
    </xf>
    <xf numFmtId="167" fontId="0" fillId="88" borderId="0" xfId="0" applyNumberFormat="1" applyFill="1"/>
    <xf numFmtId="0" fontId="111" fillId="88" borderId="2" xfId="0" applyFont="1" applyFill="1" applyBorder="1" applyAlignment="1">
      <alignment vertical="center"/>
    </xf>
    <xf numFmtId="0" fontId="111" fillId="88" borderId="2" xfId="0" applyFont="1" applyFill="1" applyBorder="1" applyAlignment="1">
      <alignment vertical="center" wrapText="1"/>
    </xf>
    <xf numFmtId="0" fontId="0" fillId="88" borderId="0" xfId="0" applyFill="1"/>
    <xf numFmtId="0" fontId="111" fillId="0" borderId="2" xfId="0" applyFont="1" applyFill="1" applyBorder="1" applyAlignment="1">
      <alignment vertical="center"/>
    </xf>
    <xf numFmtId="0" fontId="111" fillId="0" borderId="2" xfId="0" applyFont="1" applyFill="1" applyBorder="1" applyAlignment="1">
      <alignment vertical="center" wrapText="1"/>
    </xf>
    <xf numFmtId="167" fontId="0" fillId="12" borderId="0" xfId="0" applyNumberFormat="1" applyFill="1"/>
    <xf numFmtId="0" fontId="2" fillId="0" borderId="72" xfId="0" applyFont="1" applyFill="1" applyBorder="1" applyAlignment="1">
      <alignment horizontal="left" vertical="center" wrapText="1"/>
    </xf>
    <xf numFmtId="0" fontId="11" fillId="0" borderId="2" xfId="0" applyFont="1" applyBorder="1" applyAlignment="1">
      <alignment vertical="center" wrapText="1"/>
    </xf>
    <xf numFmtId="0" fontId="0" fillId="4" borderId="35" xfId="0" applyFont="1" applyFill="1" applyBorder="1" applyAlignment="1">
      <alignment horizontal="left" vertical="center" wrapText="1"/>
    </xf>
    <xf numFmtId="1" fontId="6" fillId="14" borderId="35" xfId="0" applyNumberFormat="1" applyFont="1" applyFill="1" applyBorder="1" applyAlignment="1">
      <alignment horizontal="center" vertical="center"/>
    </xf>
    <xf numFmtId="1" fontId="6" fillId="5" borderId="35" xfId="0" applyNumberFormat="1" applyFont="1" applyFill="1" applyBorder="1" applyAlignment="1">
      <alignment horizontal="center" vertical="center"/>
    </xf>
    <xf numFmtId="9" fontId="4" fillId="7" borderId="35" xfId="1" applyNumberFormat="1" applyFont="1" applyFill="1" applyBorder="1" applyAlignment="1">
      <alignment horizontal="center" vertical="center"/>
    </xf>
    <xf numFmtId="9" fontId="7" fillId="7" borderId="35" xfId="1" applyNumberFormat="1" applyFont="1" applyFill="1" applyBorder="1" applyAlignment="1">
      <alignment horizontal="center" vertical="center"/>
    </xf>
    <xf numFmtId="0" fontId="2" fillId="7" borderId="76" xfId="0" applyFont="1" applyFill="1" applyBorder="1" applyAlignment="1">
      <alignment horizontal="left" vertical="center" wrapText="1"/>
    </xf>
    <xf numFmtId="6" fontId="4" fillId="10" borderId="35" xfId="1" applyNumberFormat="1" applyFont="1" applyFill="1" applyBorder="1" applyAlignment="1">
      <alignment horizontal="center" vertical="center" wrapText="1"/>
    </xf>
    <xf numFmtId="6" fontId="4" fillId="10" borderId="35" xfId="0" applyNumberFormat="1" applyFont="1" applyFill="1" applyBorder="1" applyAlignment="1">
      <alignment horizontal="center" vertical="center"/>
    </xf>
    <xf numFmtId="49" fontId="4" fillId="0" borderId="35" xfId="0" applyNumberFormat="1" applyFont="1" applyFill="1" applyBorder="1" applyAlignment="1">
      <alignment horizontal="left" vertical="center" wrapText="1"/>
    </xf>
    <xf numFmtId="49" fontId="4" fillId="6" borderId="35" xfId="0" applyNumberFormat="1" applyFont="1" applyFill="1" applyBorder="1" applyAlignment="1">
      <alignment horizontal="left" vertical="center" wrapText="1"/>
    </xf>
    <xf numFmtId="0" fontId="0" fillId="0" borderId="82" xfId="0" applyFont="1" applyBorder="1" applyAlignment="1">
      <alignment horizontal="center" vertical="center" wrapText="1"/>
    </xf>
    <xf numFmtId="0" fontId="0" fillId="0" borderId="83" xfId="0" applyFont="1" applyBorder="1" applyAlignment="1">
      <alignment horizontal="center" vertical="center" wrapText="1"/>
    </xf>
    <xf numFmtId="0" fontId="0" fillId="0" borderId="21" xfId="0" applyFont="1" applyBorder="1" applyAlignment="1">
      <alignment horizontal="center" vertical="center" wrapText="1"/>
    </xf>
    <xf numFmtId="0" fontId="0" fillId="0" borderId="33" xfId="0" applyFont="1" applyBorder="1" applyAlignment="1">
      <alignment horizontal="center" vertical="center" wrapText="1"/>
    </xf>
    <xf numFmtId="0" fontId="0" fillId="0" borderId="22" xfId="0" applyFont="1" applyBorder="1" applyAlignment="1">
      <alignment horizontal="center" vertical="center" wrapText="1"/>
    </xf>
    <xf numFmtId="0" fontId="6" fillId="7" borderId="33" xfId="0" applyFont="1" applyFill="1" applyBorder="1" applyAlignment="1">
      <alignment horizontal="center"/>
    </xf>
    <xf numFmtId="0" fontId="6" fillId="7" borderId="0" xfId="0" applyFont="1" applyFill="1" applyBorder="1" applyAlignment="1">
      <alignment horizontal="center"/>
    </xf>
    <xf numFmtId="0" fontId="1" fillId="2" borderId="26"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4" fillId="0" borderId="21"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1" xfId="0" applyFont="1" applyBorder="1" applyAlignment="1">
      <alignment horizontal="center" vertical="center"/>
    </xf>
    <xf numFmtId="0" fontId="4" fillId="0" borderId="33" xfId="0" applyFont="1" applyBorder="1" applyAlignment="1">
      <alignment horizontal="center" vertical="center"/>
    </xf>
    <xf numFmtId="0" fontId="4" fillId="0" borderId="22" xfId="0" applyFont="1" applyBorder="1" applyAlignment="1">
      <alignment horizontal="center" vertical="center"/>
    </xf>
    <xf numFmtId="0" fontId="0" fillId="6" borderId="67" xfId="0" applyFill="1" applyBorder="1" applyAlignment="1">
      <alignment horizontal="center" vertical="center"/>
    </xf>
    <xf numFmtId="0" fontId="0" fillId="6" borderId="68" xfId="0" applyFill="1" applyBorder="1" applyAlignment="1">
      <alignment horizontal="center" vertical="center"/>
    </xf>
    <xf numFmtId="0" fontId="0" fillId="6" borderId="69" xfId="0" applyFill="1" applyBorder="1" applyAlignment="1">
      <alignment horizontal="center" vertical="center"/>
    </xf>
    <xf numFmtId="0" fontId="16" fillId="7" borderId="33" xfId="0" applyFont="1" applyFill="1" applyBorder="1" applyAlignment="1">
      <alignment horizontal="center"/>
    </xf>
    <xf numFmtId="0" fontId="16" fillId="7" borderId="0" xfId="0" applyFont="1" applyFill="1" applyBorder="1" applyAlignment="1">
      <alignment horizontal="center"/>
    </xf>
    <xf numFmtId="0" fontId="4" fillId="0" borderId="68" xfId="0" applyFont="1" applyBorder="1" applyAlignment="1">
      <alignment horizontal="center" vertical="center"/>
    </xf>
    <xf numFmtId="0" fontId="4" fillId="0" borderId="69" xfId="0" applyFont="1" applyBorder="1" applyAlignment="1">
      <alignment horizontal="center" vertical="center"/>
    </xf>
    <xf numFmtId="0" fontId="0" fillId="6" borderId="67" xfId="0" applyFill="1" applyBorder="1" applyAlignment="1">
      <alignment horizontal="center" vertical="center" wrapText="1"/>
    </xf>
    <xf numFmtId="0" fontId="0" fillId="6" borderId="69" xfId="0" applyFill="1" applyBorder="1" applyAlignment="1">
      <alignment horizontal="center" vertical="center" wrapText="1"/>
    </xf>
    <xf numFmtId="0" fontId="0" fillId="0" borderId="67" xfId="0" applyFont="1" applyBorder="1" applyAlignment="1">
      <alignment horizontal="center" vertical="center" wrapText="1"/>
    </xf>
    <xf numFmtId="0" fontId="0" fillId="0" borderId="69" xfId="0" applyFont="1" applyBorder="1" applyAlignment="1">
      <alignment horizontal="center" vertical="center" wrapText="1"/>
    </xf>
    <xf numFmtId="0" fontId="0" fillId="0" borderId="68" xfId="0" applyFont="1" applyBorder="1" applyAlignment="1">
      <alignment horizontal="center" vertical="center" wrapText="1"/>
    </xf>
    <xf numFmtId="0" fontId="4" fillId="0" borderId="67" xfId="0" applyFont="1" applyBorder="1" applyAlignment="1">
      <alignment horizontal="center" vertical="center" wrapText="1"/>
    </xf>
    <xf numFmtId="0" fontId="4" fillId="0" borderId="68" xfId="0" applyFont="1" applyBorder="1" applyAlignment="1">
      <alignment horizontal="center" vertical="center" wrapText="1"/>
    </xf>
    <xf numFmtId="0" fontId="4" fillId="0" borderId="69" xfId="0" applyFont="1" applyBorder="1" applyAlignment="1">
      <alignment horizontal="center" vertical="center" wrapText="1"/>
    </xf>
    <xf numFmtId="0" fontId="111" fillId="11" borderId="2" xfId="0" applyFont="1" applyFill="1" applyBorder="1" applyAlignment="1">
      <alignment vertical="center"/>
    </xf>
  </cellXfs>
  <cellStyles count="40041">
    <cellStyle name="=C:\WINNT35\SYSTEM32\COMMAND.COM" xfId="87"/>
    <cellStyle name="0,0_x000d__x000a_NA_x000d__x000a_" xfId="88"/>
    <cellStyle name="0,0_x000d__x000a_NA_x000d__x000a_ 2" xfId="89"/>
    <cellStyle name="20% - Accent1 10" xfId="90"/>
    <cellStyle name="20% - Accent1 10 2" xfId="91"/>
    <cellStyle name="20% - Accent1 10 3" xfId="92"/>
    <cellStyle name="20% - Accent1 10 4" xfId="93"/>
    <cellStyle name="20% - Accent1 11" xfId="94"/>
    <cellStyle name="20% - Accent1 11 2" xfId="95"/>
    <cellStyle name="20% - Accent1 11 3" xfId="96"/>
    <cellStyle name="20% - Accent1 12" xfId="97"/>
    <cellStyle name="20% - Accent1 13" xfId="98"/>
    <cellStyle name="20% - Accent1 14" xfId="99"/>
    <cellStyle name="20% - Accent1 2" xfId="5"/>
    <cellStyle name="20% - Accent1 2 10" xfId="19317"/>
    <cellStyle name="20% - Accent1 2 10 2" xfId="19318"/>
    <cellStyle name="20% - Accent1 2 11" xfId="19319"/>
    <cellStyle name="20% - Accent1 2 2" xfId="100"/>
    <cellStyle name="20% - Accent1 2 2 2" xfId="101"/>
    <cellStyle name="20% - Accent1 2 2 2 2" xfId="102"/>
    <cellStyle name="20% - Accent1 2 2 2 2 2" xfId="103"/>
    <cellStyle name="20% - Accent1 2 2 2 2 2 2" xfId="19320"/>
    <cellStyle name="20% - Accent1 2 2 2 2 2 2 2" xfId="19321"/>
    <cellStyle name="20% - Accent1 2 2 2 2 2 2 2 2" xfId="19322"/>
    <cellStyle name="20% - Accent1 2 2 2 2 2 2 3" xfId="19323"/>
    <cellStyle name="20% - Accent1 2 2 2 2 2 3" xfId="19324"/>
    <cellStyle name="20% - Accent1 2 2 2 2 2 3 2" xfId="19325"/>
    <cellStyle name="20% - Accent1 2 2 2 2 2 4" xfId="19326"/>
    <cellStyle name="20% - Accent1 2 2 2 2 2 5" xfId="19327"/>
    <cellStyle name="20% - Accent1 2 2 2 2 3" xfId="104"/>
    <cellStyle name="20% - Accent1 2 2 2 2 3 2" xfId="19328"/>
    <cellStyle name="20% - Accent1 2 2 2 2 3 2 2" xfId="19329"/>
    <cellStyle name="20% - Accent1 2 2 2 2 3 3" xfId="19330"/>
    <cellStyle name="20% - Accent1 2 2 2 2 4" xfId="19331"/>
    <cellStyle name="20% - Accent1 2 2 2 2 4 2" xfId="19332"/>
    <cellStyle name="20% - Accent1 2 2 2 2 5" xfId="19333"/>
    <cellStyle name="20% - Accent1 2 2 2 2 6" xfId="19334"/>
    <cellStyle name="20% - Accent1 2 2 2 3" xfId="105"/>
    <cellStyle name="20% - Accent1 2 2 2 3 2" xfId="19335"/>
    <cellStyle name="20% - Accent1 2 2 2 3 2 2" xfId="19336"/>
    <cellStyle name="20% - Accent1 2 2 2 3 2 2 2" xfId="19337"/>
    <cellStyle name="20% - Accent1 2 2 2 3 2 3" xfId="19338"/>
    <cellStyle name="20% - Accent1 2 2 2 3 3" xfId="19339"/>
    <cellStyle name="20% - Accent1 2 2 2 3 3 2" xfId="19340"/>
    <cellStyle name="20% - Accent1 2 2 2 3 4" xfId="19341"/>
    <cellStyle name="20% - Accent1 2 2 2 3 5" xfId="19342"/>
    <cellStyle name="20% - Accent1 2 2 2 4" xfId="106"/>
    <cellStyle name="20% - Accent1 2 2 2 4 2" xfId="19343"/>
    <cellStyle name="20% - Accent1 2 2 2 4 2 2" xfId="19344"/>
    <cellStyle name="20% - Accent1 2 2 2 4 3" xfId="19345"/>
    <cellStyle name="20% - Accent1 2 2 2 5" xfId="19346"/>
    <cellStyle name="20% - Accent1 2 2 2 5 2" xfId="19347"/>
    <cellStyle name="20% - Accent1 2 2 2 6" xfId="19348"/>
    <cellStyle name="20% - Accent1 2 2 2 7" xfId="19349"/>
    <cellStyle name="20% - Accent1 2 2 3" xfId="107"/>
    <cellStyle name="20% - Accent1 2 2 3 2" xfId="108"/>
    <cellStyle name="20% - Accent1 2 2 3 2 2" xfId="19350"/>
    <cellStyle name="20% - Accent1 2 2 3 2 2 2" xfId="19351"/>
    <cellStyle name="20% - Accent1 2 2 3 2 2 2 2" xfId="19352"/>
    <cellStyle name="20% - Accent1 2 2 3 2 2 3" xfId="19353"/>
    <cellStyle name="20% - Accent1 2 2 3 2 3" xfId="19354"/>
    <cellStyle name="20% - Accent1 2 2 3 2 3 2" xfId="19355"/>
    <cellStyle name="20% - Accent1 2 2 3 2 4" xfId="19356"/>
    <cellStyle name="20% - Accent1 2 2 3 2 5" xfId="19357"/>
    <cellStyle name="20% - Accent1 2 2 3 3" xfId="109"/>
    <cellStyle name="20% - Accent1 2 2 3 3 2" xfId="19358"/>
    <cellStyle name="20% - Accent1 2 2 3 3 2 2" xfId="19359"/>
    <cellStyle name="20% - Accent1 2 2 3 3 3" xfId="19360"/>
    <cellStyle name="20% - Accent1 2 2 3 4" xfId="19361"/>
    <cellStyle name="20% - Accent1 2 2 3 4 2" xfId="19362"/>
    <cellStyle name="20% - Accent1 2 2 3 5" xfId="19363"/>
    <cellStyle name="20% - Accent1 2 2 3 6" xfId="19364"/>
    <cellStyle name="20% - Accent1 2 2 4" xfId="110"/>
    <cellStyle name="20% - Accent1 2 2 4 2" xfId="19365"/>
    <cellStyle name="20% - Accent1 2 2 4 2 2" xfId="19366"/>
    <cellStyle name="20% - Accent1 2 2 4 2 2 2" xfId="19367"/>
    <cellStyle name="20% - Accent1 2 2 4 2 3" xfId="19368"/>
    <cellStyle name="20% - Accent1 2 2 4 3" xfId="19369"/>
    <cellStyle name="20% - Accent1 2 2 4 3 2" xfId="19370"/>
    <cellStyle name="20% - Accent1 2 2 4 4" xfId="19371"/>
    <cellStyle name="20% - Accent1 2 2 4 5" xfId="19372"/>
    <cellStyle name="20% - Accent1 2 2 5" xfId="111"/>
    <cellStyle name="20% - Accent1 2 2 5 2" xfId="19373"/>
    <cellStyle name="20% - Accent1 2 2 5 2 2" xfId="19374"/>
    <cellStyle name="20% - Accent1 2 2 5 3" xfId="19375"/>
    <cellStyle name="20% - Accent1 2 2 6" xfId="19093"/>
    <cellStyle name="20% - Accent1 2 2 6 2" xfId="19376"/>
    <cellStyle name="20% - Accent1 2 2 7" xfId="19377"/>
    <cellStyle name="20% - Accent1 2 2 8" xfId="19378"/>
    <cellStyle name="20% - Accent1 2 2 9" xfId="19379"/>
    <cellStyle name="20% - Accent1 2 3" xfId="112"/>
    <cellStyle name="20% - Accent1 2 3 2" xfId="113"/>
    <cellStyle name="20% - Accent1 2 3 2 2" xfId="114"/>
    <cellStyle name="20% - Accent1 2 3 2 2 2" xfId="19380"/>
    <cellStyle name="20% - Accent1 2 3 2 2 2 2" xfId="19381"/>
    <cellStyle name="20% - Accent1 2 3 2 2 2 2 2" xfId="19382"/>
    <cellStyle name="20% - Accent1 2 3 2 2 2 3" xfId="19383"/>
    <cellStyle name="20% - Accent1 2 3 2 2 3" xfId="19384"/>
    <cellStyle name="20% - Accent1 2 3 2 2 3 2" xfId="19385"/>
    <cellStyle name="20% - Accent1 2 3 2 2 4" xfId="19386"/>
    <cellStyle name="20% - Accent1 2 3 2 2 5" xfId="19387"/>
    <cellStyle name="20% - Accent1 2 3 2 3" xfId="115"/>
    <cellStyle name="20% - Accent1 2 3 2 3 2" xfId="19388"/>
    <cellStyle name="20% - Accent1 2 3 2 3 2 2" xfId="19389"/>
    <cellStyle name="20% - Accent1 2 3 2 3 3" xfId="19390"/>
    <cellStyle name="20% - Accent1 2 3 2 4" xfId="19391"/>
    <cellStyle name="20% - Accent1 2 3 2 4 2" xfId="19392"/>
    <cellStyle name="20% - Accent1 2 3 2 5" xfId="19393"/>
    <cellStyle name="20% - Accent1 2 3 2 6" xfId="19394"/>
    <cellStyle name="20% - Accent1 2 3 3" xfId="116"/>
    <cellStyle name="20% - Accent1 2 3 3 2" xfId="19395"/>
    <cellStyle name="20% - Accent1 2 3 3 2 2" xfId="19396"/>
    <cellStyle name="20% - Accent1 2 3 3 2 2 2" xfId="19397"/>
    <cellStyle name="20% - Accent1 2 3 3 2 3" xfId="19398"/>
    <cellStyle name="20% - Accent1 2 3 3 3" xfId="19399"/>
    <cellStyle name="20% - Accent1 2 3 3 3 2" xfId="19400"/>
    <cellStyle name="20% - Accent1 2 3 3 4" xfId="19401"/>
    <cellStyle name="20% - Accent1 2 3 3 5" xfId="19402"/>
    <cellStyle name="20% - Accent1 2 3 4" xfId="117"/>
    <cellStyle name="20% - Accent1 2 3 4 2" xfId="19403"/>
    <cellStyle name="20% - Accent1 2 3 4 2 2" xfId="19404"/>
    <cellStyle name="20% - Accent1 2 3 4 3" xfId="19405"/>
    <cellStyle name="20% - Accent1 2 3 5" xfId="19406"/>
    <cellStyle name="20% - Accent1 2 3 5 2" xfId="19407"/>
    <cellStyle name="20% - Accent1 2 3 6" xfId="19408"/>
    <cellStyle name="20% - Accent1 2 3 7" xfId="19409"/>
    <cellStyle name="20% - Accent1 2 4" xfId="118"/>
    <cellStyle name="20% - Accent1 2 4 2" xfId="119"/>
    <cellStyle name="20% - Accent1 2 4 2 2" xfId="19410"/>
    <cellStyle name="20% - Accent1 2 4 2 2 2" xfId="19411"/>
    <cellStyle name="20% - Accent1 2 4 2 2 2 2" xfId="19412"/>
    <cellStyle name="20% - Accent1 2 4 2 2 3" xfId="19413"/>
    <cellStyle name="20% - Accent1 2 4 2 3" xfId="19414"/>
    <cellStyle name="20% - Accent1 2 4 2 3 2" xfId="19415"/>
    <cellStyle name="20% - Accent1 2 4 2 4" xfId="19416"/>
    <cellStyle name="20% - Accent1 2 4 2 5" xfId="19417"/>
    <cellStyle name="20% - Accent1 2 4 3" xfId="120"/>
    <cellStyle name="20% - Accent1 2 4 3 2" xfId="19418"/>
    <cellStyle name="20% - Accent1 2 4 3 2 2" xfId="19419"/>
    <cellStyle name="20% - Accent1 2 4 3 3" xfId="19420"/>
    <cellStyle name="20% - Accent1 2 4 4" xfId="19421"/>
    <cellStyle name="20% - Accent1 2 4 4 2" xfId="19422"/>
    <cellStyle name="20% - Accent1 2 4 5" xfId="19423"/>
    <cellStyle name="20% - Accent1 2 4 6" xfId="19424"/>
    <cellStyle name="20% - Accent1 2 5" xfId="121"/>
    <cellStyle name="20% - Accent1 2 5 2" xfId="16678"/>
    <cellStyle name="20% - Accent1 2 5 2 2" xfId="19425"/>
    <cellStyle name="20% - Accent1 2 5 2 2 2" xfId="19426"/>
    <cellStyle name="20% - Accent1 2 5 2 2 2 2" xfId="19427"/>
    <cellStyle name="20% - Accent1 2 5 2 2 3" xfId="19428"/>
    <cellStyle name="20% - Accent1 2 5 2 3" xfId="19429"/>
    <cellStyle name="20% - Accent1 2 5 2 3 2" xfId="19430"/>
    <cellStyle name="20% - Accent1 2 5 2 4" xfId="19431"/>
    <cellStyle name="20% - Accent1 2 5 3" xfId="19432"/>
    <cellStyle name="20% - Accent1 2 5 3 2" xfId="19433"/>
    <cellStyle name="20% - Accent1 2 5 3 2 2" xfId="19434"/>
    <cellStyle name="20% - Accent1 2 5 3 3" xfId="19435"/>
    <cellStyle name="20% - Accent1 2 5 4" xfId="19436"/>
    <cellStyle name="20% - Accent1 2 5 4 2" xfId="19437"/>
    <cellStyle name="20% - Accent1 2 5 5" xfId="19438"/>
    <cellStyle name="20% - Accent1 2 6" xfId="122"/>
    <cellStyle name="20% - Accent1 2 6 2" xfId="19439"/>
    <cellStyle name="20% - Accent1 2 6 2 2" xfId="19440"/>
    <cellStyle name="20% - Accent1 2 6 2 2 2" xfId="19441"/>
    <cellStyle name="20% - Accent1 2 6 2 3" xfId="19442"/>
    <cellStyle name="20% - Accent1 2 6 3" xfId="19443"/>
    <cellStyle name="20% - Accent1 2 6 3 2" xfId="19444"/>
    <cellStyle name="20% - Accent1 2 6 4" xfId="19445"/>
    <cellStyle name="20% - Accent1 2 6 5" xfId="19446"/>
    <cellStyle name="20% - Accent1 2 7" xfId="123"/>
    <cellStyle name="20% - Accent1 2 7 2" xfId="19447"/>
    <cellStyle name="20% - Accent1 2 7 2 2" xfId="19448"/>
    <cellStyle name="20% - Accent1 2 7 2 2 2" xfId="19449"/>
    <cellStyle name="20% - Accent1 2 7 2 3" xfId="19450"/>
    <cellStyle name="20% - Accent1 2 7 3" xfId="19451"/>
    <cellStyle name="20% - Accent1 2 7 3 2" xfId="19452"/>
    <cellStyle name="20% - Accent1 2 7 4" xfId="19453"/>
    <cellStyle name="20% - Accent1 2 8" xfId="19454"/>
    <cellStyle name="20% - Accent1 2 8 2" xfId="19455"/>
    <cellStyle name="20% - Accent1 2 8 2 2" xfId="19456"/>
    <cellStyle name="20% - Accent1 2 8 2 2 2" xfId="19457"/>
    <cellStyle name="20% - Accent1 2 8 2 3" xfId="19458"/>
    <cellStyle name="20% - Accent1 2 8 3" xfId="19459"/>
    <cellStyle name="20% - Accent1 2 8 3 2" xfId="19460"/>
    <cellStyle name="20% - Accent1 2 8 4" xfId="19461"/>
    <cellStyle name="20% - Accent1 2 9" xfId="19462"/>
    <cellStyle name="20% - Accent1 2 9 2" xfId="19463"/>
    <cellStyle name="20% - Accent1 2 9 2 2" xfId="19464"/>
    <cellStyle name="20% - Accent1 2 9 3" xfId="19465"/>
    <cellStyle name="20% - Accent1 3" xfId="6"/>
    <cellStyle name="20% - Accent1 3 10" xfId="124"/>
    <cellStyle name="20% - Accent1 3 11" xfId="125"/>
    <cellStyle name="20% - Accent1 3 12" xfId="19466"/>
    <cellStyle name="20% - Accent1 3 2" xfId="126"/>
    <cellStyle name="20% - Accent1 3 2 2" xfId="127"/>
    <cellStyle name="20% - Accent1 3 2 2 2" xfId="128"/>
    <cellStyle name="20% - Accent1 3 2 2 2 2" xfId="129"/>
    <cellStyle name="20% - Accent1 3 2 2 2 2 2" xfId="130"/>
    <cellStyle name="20% - Accent1 3 2 2 2 2 2 2" xfId="19467"/>
    <cellStyle name="20% - Accent1 3 2 2 2 2 3" xfId="131"/>
    <cellStyle name="20% - Accent1 3 2 2 2 2 4" xfId="132"/>
    <cellStyle name="20% - Accent1 3 2 2 2 3" xfId="133"/>
    <cellStyle name="20% - Accent1 3 2 2 2 3 2" xfId="134"/>
    <cellStyle name="20% - Accent1 3 2 2 2 3 3" xfId="135"/>
    <cellStyle name="20% - Accent1 3 2 2 2 3 4" xfId="136"/>
    <cellStyle name="20% - Accent1 3 2 2 2 4" xfId="137"/>
    <cellStyle name="20% - Accent1 3 2 2 2 5" xfId="138"/>
    <cellStyle name="20% - Accent1 3 2 2 2 6" xfId="139"/>
    <cellStyle name="20% - Accent1 3 2 2 3" xfId="140"/>
    <cellStyle name="20% - Accent1 3 2 2 3 2" xfId="141"/>
    <cellStyle name="20% - Accent1 3 2 2 3 2 2" xfId="19468"/>
    <cellStyle name="20% - Accent1 3 2 2 3 3" xfId="142"/>
    <cellStyle name="20% - Accent1 3 2 2 3 4" xfId="143"/>
    <cellStyle name="20% - Accent1 3 2 2 4" xfId="144"/>
    <cellStyle name="20% - Accent1 3 2 2 4 2" xfId="145"/>
    <cellStyle name="20% - Accent1 3 2 2 4 3" xfId="146"/>
    <cellStyle name="20% - Accent1 3 2 2 4 4" xfId="147"/>
    <cellStyle name="20% - Accent1 3 2 2 5" xfId="148"/>
    <cellStyle name="20% - Accent1 3 2 2 6" xfId="149"/>
    <cellStyle name="20% - Accent1 3 2 2 7" xfId="150"/>
    <cellStyle name="20% - Accent1 3 2 3" xfId="151"/>
    <cellStyle name="20% - Accent1 3 2 3 2" xfId="152"/>
    <cellStyle name="20% - Accent1 3 2 3 2 2" xfId="153"/>
    <cellStyle name="20% - Accent1 3 2 3 2 2 2" xfId="19469"/>
    <cellStyle name="20% - Accent1 3 2 3 2 3" xfId="154"/>
    <cellStyle name="20% - Accent1 3 2 3 2 4" xfId="155"/>
    <cellStyle name="20% - Accent1 3 2 3 3" xfId="156"/>
    <cellStyle name="20% - Accent1 3 2 3 3 2" xfId="157"/>
    <cellStyle name="20% - Accent1 3 2 3 3 3" xfId="158"/>
    <cellStyle name="20% - Accent1 3 2 3 3 4" xfId="159"/>
    <cellStyle name="20% - Accent1 3 2 3 4" xfId="160"/>
    <cellStyle name="20% - Accent1 3 2 3 5" xfId="161"/>
    <cellStyle name="20% - Accent1 3 2 3 6" xfId="162"/>
    <cellStyle name="20% - Accent1 3 2 4" xfId="163"/>
    <cellStyle name="20% - Accent1 3 2 4 2" xfId="164"/>
    <cellStyle name="20% - Accent1 3 2 4 2 2" xfId="19470"/>
    <cellStyle name="20% - Accent1 3 2 4 3" xfId="165"/>
    <cellStyle name="20% - Accent1 3 2 4 4" xfId="166"/>
    <cellStyle name="20% - Accent1 3 2 5" xfId="167"/>
    <cellStyle name="20% - Accent1 3 2 5 2" xfId="168"/>
    <cellStyle name="20% - Accent1 3 2 5 3" xfId="169"/>
    <cellStyle name="20% - Accent1 3 2 5 4" xfId="170"/>
    <cellStyle name="20% - Accent1 3 2 6" xfId="171"/>
    <cellStyle name="20% - Accent1 3 2 7" xfId="172"/>
    <cellStyle name="20% - Accent1 3 2 8" xfId="173"/>
    <cellStyle name="20% - Accent1 3 2 9" xfId="19471"/>
    <cellStyle name="20% - Accent1 3 3" xfId="174"/>
    <cellStyle name="20% - Accent1 3 3 2" xfId="175"/>
    <cellStyle name="20% - Accent1 3 3 2 2" xfId="176"/>
    <cellStyle name="20% - Accent1 3 3 2 2 2" xfId="177"/>
    <cellStyle name="20% - Accent1 3 3 2 2 2 2" xfId="19472"/>
    <cellStyle name="20% - Accent1 3 3 2 2 3" xfId="178"/>
    <cellStyle name="20% - Accent1 3 3 2 2 4" xfId="179"/>
    <cellStyle name="20% - Accent1 3 3 2 3" xfId="180"/>
    <cellStyle name="20% - Accent1 3 3 2 3 2" xfId="181"/>
    <cellStyle name="20% - Accent1 3 3 2 3 3" xfId="182"/>
    <cellStyle name="20% - Accent1 3 3 2 3 4" xfId="183"/>
    <cellStyle name="20% - Accent1 3 3 2 4" xfId="184"/>
    <cellStyle name="20% - Accent1 3 3 2 5" xfId="185"/>
    <cellStyle name="20% - Accent1 3 3 2 6" xfId="186"/>
    <cellStyle name="20% - Accent1 3 3 3" xfId="187"/>
    <cellStyle name="20% - Accent1 3 3 3 2" xfId="188"/>
    <cellStyle name="20% - Accent1 3 3 3 2 2" xfId="19473"/>
    <cellStyle name="20% - Accent1 3 3 3 3" xfId="189"/>
    <cellStyle name="20% - Accent1 3 3 3 4" xfId="190"/>
    <cellStyle name="20% - Accent1 3 3 4" xfId="191"/>
    <cellStyle name="20% - Accent1 3 3 4 2" xfId="192"/>
    <cellStyle name="20% - Accent1 3 3 4 3" xfId="193"/>
    <cellStyle name="20% - Accent1 3 3 4 4" xfId="194"/>
    <cellStyle name="20% - Accent1 3 3 5" xfId="195"/>
    <cellStyle name="20% - Accent1 3 3 6" xfId="196"/>
    <cellStyle name="20% - Accent1 3 3 7" xfId="197"/>
    <cellStyle name="20% - Accent1 3 4" xfId="198"/>
    <cellStyle name="20% - Accent1 3 4 2" xfId="199"/>
    <cellStyle name="20% - Accent1 3 4 2 2" xfId="200"/>
    <cellStyle name="20% - Accent1 3 4 2 2 2" xfId="201"/>
    <cellStyle name="20% - Accent1 3 4 2 2 2 2" xfId="19474"/>
    <cellStyle name="20% - Accent1 3 4 2 2 3" xfId="202"/>
    <cellStyle name="20% - Accent1 3 4 2 2 4" xfId="203"/>
    <cellStyle name="20% - Accent1 3 4 2 3" xfId="204"/>
    <cellStyle name="20% - Accent1 3 4 2 3 2" xfId="205"/>
    <cellStyle name="20% - Accent1 3 4 2 3 3" xfId="206"/>
    <cellStyle name="20% - Accent1 3 4 2 3 4" xfId="207"/>
    <cellStyle name="20% - Accent1 3 4 2 4" xfId="208"/>
    <cellStyle name="20% - Accent1 3 4 2 5" xfId="209"/>
    <cellStyle name="20% - Accent1 3 4 2 6" xfId="210"/>
    <cellStyle name="20% - Accent1 3 4 3" xfId="211"/>
    <cellStyle name="20% - Accent1 3 4 3 2" xfId="212"/>
    <cellStyle name="20% - Accent1 3 4 3 2 2" xfId="19475"/>
    <cellStyle name="20% - Accent1 3 4 3 3" xfId="213"/>
    <cellStyle name="20% - Accent1 3 4 3 4" xfId="214"/>
    <cellStyle name="20% - Accent1 3 4 4" xfId="215"/>
    <cellStyle name="20% - Accent1 3 4 4 2" xfId="216"/>
    <cellStyle name="20% - Accent1 3 4 4 3" xfId="217"/>
    <cellStyle name="20% - Accent1 3 4 4 4" xfId="218"/>
    <cellStyle name="20% - Accent1 3 4 5" xfId="219"/>
    <cellStyle name="20% - Accent1 3 4 6" xfId="220"/>
    <cellStyle name="20% - Accent1 3 4 7" xfId="221"/>
    <cellStyle name="20% - Accent1 3 5" xfId="222"/>
    <cellStyle name="20% - Accent1 3 5 2" xfId="223"/>
    <cellStyle name="20% - Accent1 3 5 2 2" xfId="224"/>
    <cellStyle name="20% - Accent1 3 5 2 2 2" xfId="225"/>
    <cellStyle name="20% - Accent1 3 5 2 2 3" xfId="226"/>
    <cellStyle name="20% - Accent1 3 5 2 2 4" xfId="227"/>
    <cellStyle name="20% - Accent1 3 5 2 3" xfId="228"/>
    <cellStyle name="20% - Accent1 3 5 2 3 2" xfId="229"/>
    <cellStyle name="20% - Accent1 3 5 2 3 3" xfId="230"/>
    <cellStyle name="20% - Accent1 3 5 2 3 4" xfId="231"/>
    <cellStyle name="20% - Accent1 3 5 2 4" xfId="232"/>
    <cellStyle name="20% - Accent1 3 5 2 5" xfId="233"/>
    <cellStyle name="20% - Accent1 3 5 2 6" xfId="234"/>
    <cellStyle name="20% - Accent1 3 5 3" xfId="235"/>
    <cellStyle name="20% - Accent1 3 5 3 2" xfId="236"/>
    <cellStyle name="20% - Accent1 3 5 3 3" xfId="237"/>
    <cellStyle name="20% - Accent1 3 5 3 4" xfId="238"/>
    <cellStyle name="20% - Accent1 3 5 4" xfId="239"/>
    <cellStyle name="20% - Accent1 3 5 4 2" xfId="240"/>
    <cellStyle name="20% - Accent1 3 5 4 3" xfId="241"/>
    <cellStyle name="20% - Accent1 3 5 4 4" xfId="242"/>
    <cellStyle name="20% - Accent1 3 5 5" xfId="243"/>
    <cellStyle name="20% - Accent1 3 5 6" xfId="244"/>
    <cellStyle name="20% - Accent1 3 5 7" xfId="245"/>
    <cellStyle name="20% - Accent1 3 6" xfId="246"/>
    <cellStyle name="20% - Accent1 3 6 2" xfId="247"/>
    <cellStyle name="20% - Accent1 3 6 2 2" xfId="248"/>
    <cellStyle name="20% - Accent1 3 6 2 2 2" xfId="19476"/>
    <cellStyle name="20% - Accent1 3 6 2 3" xfId="249"/>
    <cellStyle name="20% - Accent1 3 6 2 4" xfId="250"/>
    <cellStyle name="20% - Accent1 3 6 3" xfId="251"/>
    <cellStyle name="20% - Accent1 3 6 3 2" xfId="252"/>
    <cellStyle name="20% - Accent1 3 6 3 3" xfId="253"/>
    <cellStyle name="20% - Accent1 3 6 3 4" xfId="254"/>
    <cellStyle name="20% - Accent1 3 6 4" xfId="255"/>
    <cellStyle name="20% - Accent1 3 6 5" xfId="256"/>
    <cellStyle name="20% - Accent1 3 6 6" xfId="257"/>
    <cellStyle name="20% - Accent1 3 7" xfId="258"/>
    <cellStyle name="20% - Accent1 3 7 2" xfId="259"/>
    <cellStyle name="20% - Accent1 3 7 2 2" xfId="19477"/>
    <cellStyle name="20% - Accent1 3 7 2 2 2" xfId="19478"/>
    <cellStyle name="20% - Accent1 3 7 2 3" xfId="19479"/>
    <cellStyle name="20% - Accent1 3 7 3" xfId="260"/>
    <cellStyle name="20% - Accent1 3 7 3 2" xfId="19480"/>
    <cellStyle name="20% - Accent1 3 7 4" xfId="261"/>
    <cellStyle name="20% - Accent1 3 8" xfId="262"/>
    <cellStyle name="20% - Accent1 3 8 2" xfId="263"/>
    <cellStyle name="20% - Accent1 3 8 2 2" xfId="19481"/>
    <cellStyle name="20% - Accent1 3 8 3" xfId="264"/>
    <cellStyle name="20% - Accent1 3 8 4" xfId="265"/>
    <cellStyle name="20% - Accent1 3 9" xfId="266"/>
    <cellStyle name="20% - Accent1 3 9 2" xfId="19482"/>
    <cellStyle name="20% - Accent1 4" xfId="7"/>
    <cellStyle name="20% - Accent1 4 2" xfId="267"/>
    <cellStyle name="20% - Accent1 4 2 2" xfId="268"/>
    <cellStyle name="20% - Accent1 4 2 2 2" xfId="269"/>
    <cellStyle name="20% - Accent1 4 2 2 2 2" xfId="270"/>
    <cellStyle name="20% - Accent1 4 2 2 2 2 2" xfId="19483"/>
    <cellStyle name="20% - Accent1 4 2 2 2 3" xfId="271"/>
    <cellStyle name="20% - Accent1 4 2 2 2 4" xfId="272"/>
    <cellStyle name="20% - Accent1 4 2 2 3" xfId="273"/>
    <cellStyle name="20% - Accent1 4 2 2 3 2" xfId="274"/>
    <cellStyle name="20% - Accent1 4 2 2 3 3" xfId="275"/>
    <cellStyle name="20% - Accent1 4 2 2 3 4" xfId="276"/>
    <cellStyle name="20% - Accent1 4 2 2 4" xfId="277"/>
    <cellStyle name="20% - Accent1 4 2 2 5" xfId="278"/>
    <cellStyle name="20% - Accent1 4 2 2 6" xfId="279"/>
    <cellStyle name="20% - Accent1 4 2 3" xfId="280"/>
    <cellStyle name="20% - Accent1 4 2 3 2" xfId="281"/>
    <cellStyle name="20% - Accent1 4 2 3 2 2" xfId="19484"/>
    <cellStyle name="20% - Accent1 4 2 3 3" xfId="282"/>
    <cellStyle name="20% - Accent1 4 2 3 4" xfId="283"/>
    <cellStyle name="20% - Accent1 4 2 4" xfId="284"/>
    <cellStyle name="20% - Accent1 4 2 4 2" xfId="285"/>
    <cellStyle name="20% - Accent1 4 2 4 3" xfId="286"/>
    <cellStyle name="20% - Accent1 4 2 4 4" xfId="287"/>
    <cellStyle name="20% - Accent1 4 2 5" xfId="288"/>
    <cellStyle name="20% - Accent1 4 2 6" xfId="289"/>
    <cellStyle name="20% - Accent1 4 2 7" xfId="290"/>
    <cellStyle name="20% - Accent1 4 2 8" xfId="19485"/>
    <cellStyle name="20% - Accent1 4 3" xfId="291"/>
    <cellStyle name="20% - Accent1 4 3 2" xfId="292"/>
    <cellStyle name="20% - Accent1 4 3 2 2" xfId="293"/>
    <cellStyle name="20% - Accent1 4 3 2 2 2" xfId="19486"/>
    <cellStyle name="20% - Accent1 4 3 2 3" xfId="294"/>
    <cellStyle name="20% - Accent1 4 3 2 4" xfId="295"/>
    <cellStyle name="20% - Accent1 4 3 3" xfId="296"/>
    <cellStyle name="20% - Accent1 4 3 3 2" xfId="297"/>
    <cellStyle name="20% - Accent1 4 3 3 3" xfId="298"/>
    <cellStyle name="20% - Accent1 4 3 3 4" xfId="299"/>
    <cellStyle name="20% - Accent1 4 3 4" xfId="300"/>
    <cellStyle name="20% - Accent1 4 3 5" xfId="301"/>
    <cellStyle name="20% - Accent1 4 3 6" xfId="302"/>
    <cellStyle name="20% - Accent1 4 4" xfId="303"/>
    <cellStyle name="20% - Accent1 4 4 2" xfId="304"/>
    <cellStyle name="20% - Accent1 4 4 2 2" xfId="19487"/>
    <cellStyle name="20% - Accent1 4 4 3" xfId="305"/>
    <cellStyle name="20% - Accent1 4 4 4" xfId="306"/>
    <cellStyle name="20% - Accent1 4 5" xfId="307"/>
    <cellStyle name="20% - Accent1 4 5 2" xfId="308"/>
    <cellStyle name="20% - Accent1 4 5 3" xfId="309"/>
    <cellStyle name="20% - Accent1 4 5 4" xfId="310"/>
    <cellStyle name="20% - Accent1 4 6" xfId="311"/>
    <cellStyle name="20% - Accent1 4 7" xfId="312"/>
    <cellStyle name="20% - Accent1 4 8" xfId="313"/>
    <cellStyle name="20% - Accent1 4 9" xfId="19488"/>
    <cellStyle name="20% - Accent1 5" xfId="314"/>
    <cellStyle name="20% - Accent1 5 10" xfId="19489"/>
    <cellStyle name="20% - Accent1 5 2" xfId="315"/>
    <cellStyle name="20% - Accent1 5 2 2" xfId="316"/>
    <cellStyle name="20% - Accent1 5 2 2 2" xfId="317"/>
    <cellStyle name="20% - Accent1 5 2 2 2 2" xfId="19490"/>
    <cellStyle name="20% - Accent1 5 2 2 3" xfId="318"/>
    <cellStyle name="20% - Accent1 5 2 2 4" xfId="319"/>
    <cellStyle name="20% - Accent1 5 2 3" xfId="320"/>
    <cellStyle name="20% - Accent1 5 2 3 2" xfId="321"/>
    <cellStyle name="20% - Accent1 5 2 3 3" xfId="322"/>
    <cellStyle name="20% - Accent1 5 2 3 4" xfId="323"/>
    <cellStyle name="20% - Accent1 5 2 4" xfId="324"/>
    <cellStyle name="20% - Accent1 5 2 5" xfId="325"/>
    <cellStyle name="20% - Accent1 5 2 6" xfId="326"/>
    <cellStyle name="20% - Accent1 5 2 7" xfId="19491"/>
    <cellStyle name="20% - Accent1 5 2 8" xfId="19492"/>
    <cellStyle name="20% - Accent1 5 3" xfId="327"/>
    <cellStyle name="20% - Accent1 5 3 2" xfId="328"/>
    <cellStyle name="20% - Accent1 5 3 2 2" xfId="19493"/>
    <cellStyle name="20% - Accent1 5 3 3" xfId="329"/>
    <cellStyle name="20% - Accent1 5 3 4" xfId="330"/>
    <cellStyle name="20% - Accent1 5 4" xfId="331"/>
    <cellStyle name="20% - Accent1 5 4 2" xfId="332"/>
    <cellStyle name="20% - Accent1 5 4 3" xfId="333"/>
    <cellStyle name="20% - Accent1 5 4 4" xfId="334"/>
    <cellStyle name="20% - Accent1 5 5" xfId="335"/>
    <cellStyle name="20% - Accent1 5 6" xfId="336"/>
    <cellStyle name="20% - Accent1 5 7" xfId="337"/>
    <cellStyle name="20% - Accent1 5 8" xfId="19494"/>
    <cellStyle name="20% - Accent1 5 9" xfId="19495"/>
    <cellStyle name="20% - Accent1 6" xfId="338"/>
    <cellStyle name="20% - Accent1 6 2" xfId="339"/>
    <cellStyle name="20% - Accent1 6 2 2" xfId="340"/>
    <cellStyle name="20% - Accent1 6 2 2 2" xfId="341"/>
    <cellStyle name="20% - Accent1 6 2 2 3" xfId="342"/>
    <cellStyle name="20% - Accent1 6 2 2 4" xfId="343"/>
    <cellStyle name="20% - Accent1 6 2 3" xfId="344"/>
    <cellStyle name="20% - Accent1 6 2 3 2" xfId="345"/>
    <cellStyle name="20% - Accent1 6 2 3 3" xfId="346"/>
    <cellStyle name="20% - Accent1 6 2 3 4" xfId="347"/>
    <cellStyle name="20% - Accent1 6 2 4" xfId="348"/>
    <cellStyle name="20% - Accent1 6 2 5" xfId="349"/>
    <cellStyle name="20% - Accent1 6 2 6" xfId="350"/>
    <cellStyle name="20% - Accent1 6 3" xfId="351"/>
    <cellStyle name="20% - Accent1 6 3 2" xfId="352"/>
    <cellStyle name="20% - Accent1 6 3 3" xfId="353"/>
    <cellStyle name="20% - Accent1 6 3 4" xfId="354"/>
    <cellStyle name="20% - Accent1 6 4" xfId="355"/>
    <cellStyle name="20% - Accent1 6 4 2" xfId="356"/>
    <cellStyle name="20% - Accent1 6 4 3" xfId="357"/>
    <cellStyle name="20% - Accent1 6 4 4" xfId="358"/>
    <cellStyle name="20% - Accent1 6 5" xfId="359"/>
    <cellStyle name="20% - Accent1 6 6" xfId="360"/>
    <cellStyle name="20% - Accent1 6 7" xfId="361"/>
    <cellStyle name="20% - Accent1 7" xfId="362"/>
    <cellStyle name="20% - Accent1 7 2" xfId="363"/>
    <cellStyle name="20% - Accent1 7 2 2" xfId="364"/>
    <cellStyle name="20% - Accent1 7 2 2 2" xfId="365"/>
    <cellStyle name="20% - Accent1 7 2 2 3" xfId="366"/>
    <cellStyle name="20% - Accent1 7 2 2 4" xfId="367"/>
    <cellStyle name="20% - Accent1 7 2 3" xfId="368"/>
    <cellStyle name="20% - Accent1 7 2 3 2" xfId="369"/>
    <cellStyle name="20% - Accent1 7 2 3 3" xfId="370"/>
    <cellStyle name="20% - Accent1 7 2 3 4" xfId="371"/>
    <cellStyle name="20% - Accent1 7 2 4" xfId="372"/>
    <cellStyle name="20% - Accent1 7 2 5" xfId="373"/>
    <cellStyle name="20% - Accent1 7 2 6" xfId="374"/>
    <cellStyle name="20% - Accent1 7 3" xfId="375"/>
    <cellStyle name="20% - Accent1 7 3 2" xfId="376"/>
    <cellStyle name="20% - Accent1 7 3 3" xfId="377"/>
    <cellStyle name="20% - Accent1 7 3 4" xfId="378"/>
    <cellStyle name="20% - Accent1 7 4" xfId="379"/>
    <cellStyle name="20% - Accent1 7 4 2" xfId="380"/>
    <cellStyle name="20% - Accent1 7 4 3" xfId="381"/>
    <cellStyle name="20% - Accent1 7 4 4" xfId="382"/>
    <cellStyle name="20% - Accent1 7 5" xfId="383"/>
    <cellStyle name="20% - Accent1 7 6" xfId="384"/>
    <cellStyle name="20% - Accent1 7 7" xfId="385"/>
    <cellStyle name="20% - Accent1 8" xfId="386"/>
    <cellStyle name="20% - Accent1 8 2" xfId="387"/>
    <cellStyle name="20% - Accent1 8 2 2" xfId="388"/>
    <cellStyle name="20% - Accent1 8 2 3" xfId="389"/>
    <cellStyle name="20% - Accent1 8 2 4" xfId="390"/>
    <cellStyle name="20% - Accent1 8 3" xfId="391"/>
    <cellStyle name="20% - Accent1 8 3 2" xfId="392"/>
    <cellStyle name="20% - Accent1 8 3 3" xfId="393"/>
    <cellStyle name="20% - Accent1 8 3 4" xfId="394"/>
    <cellStyle name="20% - Accent1 8 4" xfId="395"/>
    <cellStyle name="20% - Accent1 8 5" xfId="396"/>
    <cellStyle name="20% - Accent1 8 6" xfId="397"/>
    <cellStyle name="20% - Accent1 9" xfId="398"/>
    <cellStyle name="20% - Accent1 9 2" xfId="399"/>
    <cellStyle name="20% - Accent1 9 3" xfId="400"/>
    <cellStyle name="20% - Accent1 9 4" xfId="401"/>
    <cellStyle name="20% - Accent2 10" xfId="402"/>
    <cellStyle name="20% - Accent2 10 2" xfId="403"/>
    <cellStyle name="20% - Accent2 10 3" xfId="404"/>
    <cellStyle name="20% - Accent2 10 4" xfId="405"/>
    <cellStyle name="20% - Accent2 11" xfId="406"/>
    <cellStyle name="20% - Accent2 11 2" xfId="407"/>
    <cellStyle name="20% - Accent2 11 3" xfId="408"/>
    <cellStyle name="20% - Accent2 12" xfId="409"/>
    <cellStyle name="20% - Accent2 13" xfId="410"/>
    <cellStyle name="20% - Accent2 14" xfId="411"/>
    <cellStyle name="20% - Accent2 2" xfId="8"/>
    <cellStyle name="20% - Accent2 2 10" xfId="19496"/>
    <cellStyle name="20% - Accent2 2 10 2" xfId="19497"/>
    <cellStyle name="20% - Accent2 2 11" xfId="19498"/>
    <cellStyle name="20% - Accent2 2 2" xfId="412"/>
    <cellStyle name="20% - Accent2 2 2 2" xfId="413"/>
    <cellStyle name="20% - Accent2 2 2 2 2" xfId="414"/>
    <cellStyle name="20% - Accent2 2 2 2 2 2" xfId="415"/>
    <cellStyle name="20% - Accent2 2 2 2 2 2 2" xfId="19499"/>
    <cellStyle name="20% - Accent2 2 2 2 2 2 2 2" xfId="19500"/>
    <cellStyle name="20% - Accent2 2 2 2 2 2 2 2 2" xfId="19501"/>
    <cellStyle name="20% - Accent2 2 2 2 2 2 2 3" xfId="19502"/>
    <cellStyle name="20% - Accent2 2 2 2 2 2 3" xfId="19503"/>
    <cellStyle name="20% - Accent2 2 2 2 2 2 3 2" xfId="19504"/>
    <cellStyle name="20% - Accent2 2 2 2 2 2 4" xfId="19505"/>
    <cellStyle name="20% - Accent2 2 2 2 2 2 5" xfId="19506"/>
    <cellStyle name="20% - Accent2 2 2 2 2 3" xfId="416"/>
    <cellStyle name="20% - Accent2 2 2 2 2 3 2" xfId="19507"/>
    <cellStyle name="20% - Accent2 2 2 2 2 3 2 2" xfId="19508"/>
    <cellStyle name="20% - Accent2 2 2 2 2 3 3" xfId="19509"/>
    <cellStyle name="20% - Accent2 2 2 2 2 4" xfId="19510"/>
    <cellStyle name="20% - Accent2 2 2 2 2 4 2" xfId="19511"/>
    <cellStyle name="20% - Accent2 2 2 2 2 5" xfId="19512"/>
    <cellStyle name="20% - Accent2 2 2 2 2 6" xfId="19513"/>
    <cellStyle name="20% - Accent2 2 2 2 3" xfId="417"/>
    <cellStyle name="20% - Accent2 2 2 2 3 2" xfId="19514"/>
    <cellStyle name="20% - Accent2 2 2 2 3 2 2" xfId="19515"/>
    <cellStyle name="20% - Accent2 2 2 2 3 2 2 2" xfId="19516"/>
    <cellStyle name="20% - Accent2 2 2 2 3 2 3" xfId="19517"/>
    <cellStyle name="20% - Accent2 2 2 2 3 3" xfId="19518"/>
    <cellStyle name="20% - Accent2 2 2 2 3 3 2" xfId="19519"/>
    <cellStyle name="20% - Accent2 2 2 2 3 4" xfId="19520"/>
    <cellStyle name="20% - Accent2 2 2 2 3 5" xfId="19521"/>
    <cellStyle name="20% - Accent2 2 2 2 4" xfId="418"/>
    <cellStyle name="20% - Accent2 2 2 2 4 2" xfId="19522"/>
    <cellStyle name="20% - Accent2 2 2 2 4 2 2" xfId="19523"/>
    <cellStyle name="20% - Accent2 2 2 2 4 3" xfId="19524"/>
    <cellStyle name="20% - Accent2 2 2 2 5" xfId="19525"/>
    <cellStyle name="20% - Accent2 2 2 2 5 2" xfId="19526"/>
    <cellStyle name="20% - Accent2 2 2 2 6" xfId="19527"/>
    <cellStyle name="20% - Accent2 2 2 2 7" xfId="19528"/>
    <cellStyle name="20% - Accent2 2 2 3" xfId="419"/>
    <cellStyle name="20% - Accent2 2 2 3 2" xfId="420"/>
    <cellStyle name="20% - Accent2 2 2 3 2 2" xfId="19529"/>
    <cellStyle name="20% - Accent2 2 2 3 2 2 2" xfId="19530"/>
    <cellStyle name="20% - Accent2 2 2 3 2 2 2 2" xfId="19531"/>
    <cellStyle name="20% - Accent2 2 2 3 2 2 3" xfId="19532"/>
    <cellStyle name="20% - Accent2 2 2 3 2 3" xfId="19533"/>
    <cellStyle name="20% - Accent2 2 2 3 2 3 2" xfId="19534"/>
    <cellStyle name="20% - Accent2 2 2 3 2 4" xfId="19535"/>
    <cellStyle name="20% - Accent2 2 2 3 2 5" xfId="19536"/>
    <cellStyle name="20% - Accent2 2 2 3 3" xfId="421"/>
    <cellStyle name="20% - Accent2 2 2 3 3 2" xfId="19537"/>
    <cellStyle name="20% - Accent2 2 2 3 3 2 2" xfId="19538"/>
    <cellStyle name="20% - Accent2 2 2 3 3 3" xfId="19539"/>
    <cellStyle name="20% - Accent2 2 2 3 4" xfId="19540"/>
    <cellStyle name="20% - Accent2 2 2 3 4 2" xfId="19541"/>
    <cellStyle name="20% - Accent2 2 2 3 5" xfId="19542"/>
    <cellStyle name="20% - Accent2 2 2 3 6" xfId="19543"/>
    <cellStyle name="20% - Accent2 2 2 4" xfId="422"/>
    <cellStyle name="20% - Accent2 2 2 4 2" xfId="19544"/>
    <cellStyle name="20% - Accent2 2 2 4 2 2" xfId="19545"/>
    <cellStyle name="20% - Accent2 2 2 4 2 2 2" xfId="19546"/>
    <cellStyle name="20% - Accent2 2 2 4 2 3" xfId="19547"/>
    <cellStyle name="20% - Accent2 2 2 4 3" xfId="19548"/>
    <cellStyle name="20% - Accent2 2 2 4 3 2" xfId="19549"/>
    <cellStyle name="20% - Accent2 2 2 4 4" xfId="19550"/>
    <cellStyle name="20% - Accent2 2 2 4 5" xfId="19551"/>
    <cellStyle name="20% - Accent2 2 2 5" xfId="423"/>
    <cellStyle name="20% - Accent2 2 2 5 2" xfId="19552"/>
    <cellStyle name="20% - Accent2 2 2 5 2 2" xfId="19553"/>
    <cellStyle name="20% - Accent2 2 2 5 3" xfId="19554"/>
    <cellStyle name="20% - Accent2 2 2 6" xfId="19094"/>
    <cellStyle name="20% - Accent2 2 2 6 2" xfId="19555"/>
    <cellStyle name="20% - Accent2 2 2 7" xfId="19556"/>
    <cellStyle name="20% - Accent2 2 2 8" xfId="19557"/>
    <cellStyle name="20% - Accent2 2 2 9" xfId="19558"/>
    <cellStyle name="20% - Accent2 2 3" xfId="424"/>
    <cellStyle name="20% - Accent2 2 3 2" xfId="425"/>
    <cellStyle name="20% - Accent2 2 3 2 2" xfId="426"/>
    <cellStyle name="20% - Accent2 2 3 2 2 2" xfId="19559"/>
    <cellStyle name="20% - Accent2 2 3 2 2 2 2" xfId="19560"/>
    <cellStyle name="20% - Accent2 2 3 2 2 2 2 2" xfId="19561"/>
    <cellStyle name="20% - Accent2 2 3 2 2 2 3" xfId="19562"/>
    <cellStyle name="20% - Accent2 2 3 2 2 3" xfId="19563"/>
    <cellStyle name="20% - Accent2 2 3 2 2 3 2" xfId="19564"/>
    <cellStyle name="20% - Accent2 2 3 2 2 4" xfId="19565"/>
    <cellStyle name="20% - Accent2 2 3 2 2 5" xfId="19566"/>
    <cellStyle name="20% - Accent2 2 3 2 3" xfId="427"/>
    <cellStyle name="20% - Accent2 2 3 2 3 2" xfId="19567"/>
    <cellStyle name="20% - Accent2 2 3 2 3 2 2" xfId="19568"/>
    <cellStyle name="20% - Accent2 2 3 2 3 3" xfId="19569"/>
    <cellStyle name="20% - Accent2 2 3 2 4" xfId="19570"/>
    <cellStyle name="20% - Accent2 2 3 2 4 2" xfId="19571"/>
    <cellStyle name="20% - Accent2 2 3 2 5" xfId="19572"/>
    <cellStyle name="20% - Accent2 2 3 2 6" xfId="19573"/>
    <cellStyle name="20% - Accent2 2 3 3" xfId="428"/>
    <cellStyle name="20% - Accent2 2 3 3 2" xfId="19574"/>
    <cellStyle name="20% - Accent2 2 3 3 2 2" xfId="19575"/>
    <cellStyle name="20% - Accent2 2 3 3 2 2 2" xfId="19576"/>
    <cellStyle name="20% - Accent2 2 3 3 2 3" xfId="19577"/>
    <cellStyle name="20% - Accent2 2 3 3 3" xfId="19578"/>
    <cellStyle name="20% - Accent2 2 3 3 3 2" xfId="19579"/>
    <cellStyle name="20% - Accent2 2 3 3 4" xfId="19580"/>
    <cellStyle name="20% - Accent2 2 3 3 5" xfId="19581"/>
    <cellStyle name="20% - Accent2 2 3 4" xfId="429"/>
    <cellStyle name="20% - Accent2 2 3 4 2" xfId="19582"/>
    <cellStyle name="20% - Accent2 2 3 4 2 2" xfId="19583"/>
    <cellStyle name="20% - Accent2 2 3 4 3" xfId="19584"/>
    <cellStyle name="20% - Accent2 2 3 5" xfId="19585"/>
    <cellStyle name="20% - Accent2 2 3 5 2" xfId="19586"/>
    <cellStyle name="20% - Accent2 2 3 6" xfId="19587"/>
    <cellStyle name="20% - Accent2 2 3 7" xfId="19588"/>
    <cellStyle name="20% - Accent2 2 4" xfId="430"/>
    <cellStyle name="20% - Accent2 2 4 2" xfId="431"/>
    <cellStyle name="20% - Accent2 2 4 2 2" xfId="19589"/>
    <cellStyle name="20% - Accent2 2 4 2 2 2" xfId="19590"/>
    <cellStyle name="20% - Accent2 2 4 2 2 2 2" xfId="19591"/>
    <cellStyle name="20% - Accent2 2 4 2 2 3" xfId="19592"/>
    <cellStyle name="20% - Accent2 2 4 2 3" xfId="19593"/>
    <cellStyle name="20% - Accent2 2 4 2 3 2" xfId="19594"/>
    <cellStyle name="20% - Accent2 2 4 2 4" xfId="19595"/>
    <cellStyle name="20% - Accent2 2 4 2 5" xfId="19596"/>
    <cellStyle name="20% - Accent2 2 4 3" xfId="432"/>
    <cellStyle name="20% - Accent2 2 4 3 2" xfId="19597"/>
    <cellStyle name="20% - Accent2 2 4 3 2 2" xfId="19598"/>
    <cellStyle name="20% - Accent2 2 4 3 3" xfId="19599"/>
    <cellStyle name="20% - Accent2 2 4 4" xfId="19600"/>
    <cellStyle name="20% - Accent2 2 4 4 2" xfId="19601"/>
    <cellStyle name="20% - Accent2 2 4 5" xfId="19602"/>
    <cellStyle name="20% - Accent2 2 4 6" xfId="19603"/>
    <cellStyle name="20% - Accent2 2 5" xfId="433"/>
    <cellStyle name="20% - Accent2 2 5 2" xfId="16679"/>
    <cellStyle name="20% - Accent2 2 5 2 2" xfId="19604"/>
    <cellStyle name="20% - Accent2 2 5 2 2 2" xfId="19605"/>
    <cellStyle name="20% - Accent2 2 5 2 2 2 2" xfId="19606"/>
    <cellStyle name="20% - Accent2 2 5 2 2 3" xfId="19607"/>
    <cellStyle name="20% - Accent2 2 5 2 3" xfId="19608"/>
    <cellStyle name="20% - Accent2 2 5 2 3 2" xfId="19609"/>
    <cellStyle name="20% - Accent2 2 5 2 4" xfId="19610"/>
    <cellStyle name="20% - Accent2 2 5 3" xfId="19611"/>
    <cellStyle name="20% - Accent2 2 5 3 2" xfId="19612"/>
    <cellStyle name="20% - Accent2 2 5 3 2 2" xfId="19613"/>
    <cellStyle name="20% - Accent2 2 5 3 3" xfId="19614"/>
    <cellStyle name="20% - Accent2 2 5 4" xfId="19615"/>
    <cellStyle name="20% - Accent2 2 5 4 2" xfId="19616"/>
    <cellStyle name="20% - Accent2 2 5 5" xfId="19617"/>
    <cellStyle name="20% - Accent2 2 6" xfId="434"/>
    <cellStyle name="20% - Accent2 2 6 2" xfId="19618"/>
    <cellStyle name="20% - Accent2 2 6 2 2" xfId="19619"/>
    <cellStyle name="20% - Accent2 2 6 2 2 2" xfId="19620"/>
    <cellStyle name="20% - Accent2 2 6 2 3" xfId="19621"/>
    <cellStyle name="20% - Accent2 2 6 3" xfId="19622"/>
    <cellStyle name="20% - Accent2 2 6 3 2" xfId="19623"/>
    <cellStyle name="20% - Accent2 2 6 4" xfId="19624"/>
    <cellStyle name="20% - Accent2 2 6 5" xfId="19625"/>
    <cellStyle name="20% - Accent2 2 7" xfId="435"/>
    <cellStyle name="20% - Accent2 2 7 2" xfId="19626"/>
    <cellStyle name="20% - Accent2 2 7 2 2" xfId="19627"/>
    <cellStyle name="20% - Accent2 2 7 2 2 2" xfId="19628"/>
    <cellStyle name="20% - Accent2 2 7 2 3" xfId="19629"/>
    <cellStyle name="20% - Accent2 2 7 3" xfId="19630"/>
    <cellStyle name="20% - Accent2 2 7 3 2" xfId="19631"/>
    <cellStyle name="20% - Accent2 2 7 4" xfId="19632"/>
    <cellStyle name="20% - Accent2 2 8" xfId="19633"/>
    <cellStyle name="20% - Accent2 2 8 2" xfId="19634"/>
    <cellStyle name="20% - Accent2 2 8 2 2" xfId="19635"/>
    <cellStyle name="20% - Accent2 2 8 2 2 2" xfId="19636"/>
    <cellStyle name="20% - Accent2 2 8 2 3" xfId="19637"/>
    <cellStyle name="20% - Accent2 2 8 3" xfId="19638"/>
    <cellStyle name="20% - Accent2 2 8 3 2" xfId="19639"/>
    <cellStyle name="20% - Accent2 2 8 4" xfId="19640"/>
    <cellStyle name="20% - Accent2 2 9" xfId="19641"/>
    <cellStyle name="20% - Accent2 2 9 2" xfId="19642"/>
    <cellStyle name="20% - Accent2 2 9 2 2" xfId="19643"/>
    <cellStyle name="20% - Accent2 2 9 3" xfId="19644"/>
    <cellStyle name="20% - Accent2 3" xfId="9"/>
    <cellStyle name="20% - Accent2 3 10" xfId="436"/>
    <cellStyle name="20% - Accent2 3 11" xfId="437"/>
    <cellStyle name="20% - Accent2 3 12" xfId="19645"/>
    <cellStyle name="20% - Accent2 3 2" xfId="438"/>
    <cellStyle name="20% - Accent2 3 2 2" xfId="439"/>
    <cellStyle name="20% - Accent2 3 2 2 2" xfId="440"/>
    <cellStyle name="20% - Accent2 3 2 2 2 2" xfId="441"/>
    <cellStyle name="20% - Accent2 3 2 2 2 2 2" xfId="442"/>
    <cellStyle name="20% - Accent2 3 2 2 2 2 2 2" xfId="19646"/>
    <cellStyle name="20% - Accent2 3 2 2 2 2 3" xfId="443"/>
    <cellStyle name="20% - Accent2 3 2 2 2 2 4" xfId="444"/>
    <cellStyle name="20% - Accent2 3 2 2 2 3" xfId="445"/>
    <cellStyle name="20% - Accent2 3 2 2 2 3 2" xfId="446"/>
    <cellStyle name="20% - Accent2 3 2 2 2 3 3" xfId="447"/>
    <cellStyle name="20% - Accent2 3 2 2 2 3 4" xfId="448"/>
    <cellStyle name="20% - Accent2 3 2 2 2 4" xfId="449"/>
    <cellStyle name="20% - Accent2 3 2 2 2 5" xfId="450"/>
    <cellStyle name="20% - Accent2 3 2 2 2 6" xfId="451"/>
    <cellStyle name="20% - Accent2 3 2 2 3" xfId="452"/>
    <cellStyle name="20% - Accent2 3 2 2 3 2" xfId="453"/>
    <cellStyle name="20% - Accent2 3 2 2 3 2 2" xfId="19647"/>
    <cellStyle name="20% - Accent2 3 2 2 3 3" xfId="454"/>
    <cellStyle name="20% - Accent2 3 2 2 3 4" xfId="455"/>
    <cellStyle name="20% - Accent2 3 2 2 4" xfId="456"/>
    <cellStyle name="20% - Accent2 3 2 2 4 2" xfId="457"/>
    <cellStyle name="20% - Accent2 3 2 2 4 3" xfId="458"/>
    <cellStyle name="20% - Accent2 3 2 2 4 4" xfId="459"/>
    <cellStyle name="20% - Accent2 3 2 2 5" xfId="460"/>
    <cellStyle name="20% - Accent2 3 2 2 6" xfId="461"/>
    <cellStyle name="20% - Accent2 3 2 2 7" xfId="462"/>
    <cellStyle name="20% - Accent2 3 2 3" xfId="463"/>
    <cellStyle name="20% - Accent2 3 2 3 2" xfId="464"/>
    <cellStyle name="20% - Accent2 3 2 3 2 2" xfId="465"/>
    <cellStyle name="20% - Accent2 3 2 3 2 2 2" xfId="19648"/>
    <cellStyle name="20% - Accent2 3 2 3 2 3" xfId="466"/>
    <cellStyle name="20% - Accent2 3 2 3 2 4" xfId="467"/>
    <cellStyle name="20% - Accent2 3 2 3 3" xfId="468"/>
    <cellStyle name="20% - Accent2 3 2 3 3 2" xfId="469"/>
    <cellStyle name="20% - Accent2 3 2 3 3 3" xfId="470"/>
    <cellStyle name="20% - Accent2 3 2 3 3 4" xfId="471"/>
    <cellStyle name="20% - Accent2 3 2 3 4" xfId="472"/>
    <cellStyle name="20% - Accent2 3 2 3 5" xfId="473"/>
    <cellStyle name="20% - Accent2 3 2 3 6" xfId="474"/>
    <cellStyle name="20% - Accent2 3 2 4" xfId="475"/>
    <cellStyle name="20% - Accent2 3 2 4 2" xfId="476"/>
    <cellStyle name="20% - Accent2 3 2 4 2 2" xfId="19649"/>
    <cellStyle name="20% - Accent2 3 2 4 3" xfId="477"/>
    <cellStyle name="20% - Accent2 3 2 4 4" xfId="478"/>
    <cellStyle name="20% - Accent2 3 2 5" xfId="479"/>
    <cellStyle name="20% - Accent2 3 2 5 2" xfId="480"/>
    <cellStyle name="20% - Accent2 3 2 5 3" xfId="481"/>
    <cellStyle name="20% - Accent2 3 2 5 4" xfId="482"/>
    <cellStyle name="20% - Accent2 3 2 6" xfId="483"/>
    <cellStyle name="20% - Accent2 3 2 7" xfId="484"/>
    <cellStyle name="20% - Accent2 3 2 8" xfId="485"/>
    <cellStyle name="20% - Accent2 3 2 9" xfId="19650"/>
    <cellStyle name="20% - Accent2 3 3" xfId="486"/>
    <cellStyle name="20% - Accent2 3 3 2" xfId="487"/>
    <cellStyle name="20% - Accent2 3 3 2 2" xfId="488"/>
    <cellStyle name="20% - Accent2 3 3 2 2 2" xfId="489"/>
    <cellStyle name="20% - Accent2 3 3 2 2 2 2" xfId="19651"/>
    <cellStyle name="20% - Accent2 3 3 2 2 3" xfId="490"/>
    <cellStyle name="20% - Accent2 3 3 2 2 4" xfId="491"/>
    <cellStyle name="20% - Accent2 3 3 2 3" xfId="492"/>
    <cellStyle name="20% - Accent2 3 3 2 3 2" xfId="493"/>
    <cellStyle name="20% - Accent2 3 3 2 3 3" xfId="494"/>
    <cellStyle name="20% - Accent2 3 3 2 3 4" xfId="495"/>
    <cellStyle name="20% - Accent2 3 3 2 4" xfId="496"/>
    <cellStyle name="20% - Accent2 3 3 2 5" xfId="497"/>
    <cellStyle name="20% - Accent2 3 3 2 6" xfId="498"/>
    <cellStyle name="20% - Accent2 3 3 3" xfId="499"/>
    <cellStyle name="20% - Accent2 3 3 3 2" xfId="500"/>
    <cellStyle name="20% - Accent2 3 3 3 2 2" xfId="19652"/>
    <cellStyle name="20% - Accent2 3 3 3 3" xfId="501"/>
    <cellStyle name="20% - Accent2 3 3 3 4" xfId="502"/>
    <cellStyle name="20% - Accent2 3 3 4" xfId="503"/>
    <cellStyle name="20% - Accent2 3 3 4 2" xfId="504"/>
    <cellStyle name="20% - Accent2 3 3 4 3" xfId="505"/>
    <cellStyle name="20% - Accent2 3 3 4 4" xfId="506"/>
    <cellStyle name="20% - Accent2 3 3 5" xfId="507"/>
    <cellStyle name="20% - Accent2 3 3 6" xfId="508"/>
    <cellStyle name="20% - Accent2 3 3 7" xfId="509"/>
    <cellStyle name="20% - Accent2 3 4" xfId="510"/>
    <cellStyle name="20% - Accent2 3 4 2" xfId="511"/>
    <cellStyle name="20% - Accent2 3 4 2 2" xfId="512"/>
    <cellStyle name="20% - Accent2 3 4 2 2 2" xfId="513"/>
    <cellStyle name="20% - Accent2 3 4 2 2 2 2" xfId="19653"/>
    <cellStyle name="20% - Accent2 3 4 2 2 3" xfId="514"/>
    <cellStyle name="20% - Accent2 3 4 2 2 4" xfId="515"/>
    <cellStyle name="20% - Accent2 3 4 2 3" xfId="516"/>
    <cellStyle name="20% - Accent2 3 4 2 3 2" xfId="517"/>
    <cellStyle name="20% - Accent2 3 4 2 3 3" xfId="518"/>
    <cellStyle name="20% - Accent2 3 4 2 3 4" xfId="519"/>
    <cellStyle name="20% - Accent2 3 4 2 4" xfId="520"/>
    <cellStyle name="20% - Accent2 3 4 2 5" xfId="521"/>
    <cellStyle name="20% - Accent2 3 4 2 6" xfId="522"/>
    <cellStyle name="20% - Accent2 3 4 3" xfId="523"/>
    <cellStyle name="20% - Accent2 3 4 3 2" xfId="524"/>
    <cellStyle name="20% - Accent2 3 4 3 2 2" xfId="19654"/>
    <cellStyle name="20% - Accent2 3 4 3 3" xfId="525"/>
    <cellStyle name="20% - Accent2 3 4 3 4" xfId="526"/>
    <cellStyle name="20% - Accent2 3 4 4" xfId="527"/>
    <cellStyle name="20% - Accent2 3 4 4 2" xfId="528"/>
    <cellStyle name="20% - Accent2 3 4 4 3" xfId="529"/>
    <cellStyle name="20% - Accent2 3 4 4 4" xfId="530"/>
    <cellStyle name="20% - Accent2 3 4 5" xfId="531"/>
    <cellStyle name="20% - Accent2 3 4 6" xfId="532"/>
    <cellStyle name="20% - Accent2 3 4 7" xfId="533"/>
    <cellStyle name="20% - Accent2 3 5" xfId="534"/>
    <cellStyle name="20% - Accent2 3 5 2" xfId="535"/>
    <cellStyle name="20% - Accent2 3 5 2 2" xfId="536"/>
    <cellStyle name="20% - Accent2 3 5 2 2 2" xfId="537"/>
    <cellStyle name="20% - Accent2 3 5 2 2 3" xfId="538"/>
    <cellStyle name="20% - Accent2 3 5 2 2 4" xfId="539"/>
    <cellStyle name="20% - Accent2 3 5 2 3" xfId="540"/>
    <cellStyle name="20% - Accent2 3 5 2 3 2" xfId="541"/>
    <cellStyle name="20% - Accent2 3 5 2 3 3" xfId="542"/>
    <cellStyle name="20% - Accent2 3 5 2 3 4" xfId="543"/>
    <cellStyle name="20% - Accent2 3 5 2 4" xfId="544"/>
    <cellStyle name="20% - Accent2 3 5 2 5" xfId="545"/>
    <cellStyle name="20% - Accent2 3 5 2 6" xfId="546"/>
    <cellStyle name="20% - Accent2 3 5 3" xfId="547"/>
    <cellStyle name="20% - Accent2 3 5 3 2" xfId="548"/>
    <cellStyle name="20% - Accent2 3 5 3 3" xfId="549"/>
    <cellStyle name="20% - Accent2 3 5 3 4" xfId="550"/>
    <cellStyle name="20% - Accent2 3 5 4" xfId="551"/>
    <cellStyle name="20% - Accent2 3 5 4 2" xfId="552"/>
    <cellStyle name="20% - Accent2 3 5 4 3" xfId="553"/>
    <cellStyle name="20% - Accent2 3 5 4 4" xfId="554"/>
    <cellStyle name="20% - Accent2 3 5 5" xfId="555"/>
    <cellStyle name="20% - Accent2 3 5 6" xfId="556"/>
    <cellStyle name="20% - Accent2 3 5 7" xfId="557"/>
    <cellStyle name="20% - Accent2 3 6" xfId="558"/>
    <cellStyle name="20% - Accent2 3 6 2" xfId="559"/>
    <cellStyle name="20% - Accent2 3 6 2 2" xfId="560"/>
    <cellStyle name="20% - Accent2 3 6 2 2 2" xfId="19655"/>
    <cellStyle name="20% - Accent2 3 6 2 3" xfId="561"/>
    <cellStyle name="20% - Accent2 3 6 2 4" xfId="562"/>
    <cellStyle name="20% - Accent2 3 6 3" xfId="563"/>
    <cellStyle name="20% - Accent2 3 6 3 2" xfId="564"/>
    <cellStyle name="20% - Accent2 3 6 3 3" xfId="565"/>
    <cellStyle name="20% - Accent2 3 6 3 4" xfId="566"/>
    <cellStyle name="20% - Accent2 3 6 4" xfId="567"/>
    <cellStyle name="20% - Accent2 3 6 5" xfId="568"/>
    <cellStyle name="20% - Accent2 3 6 6" xfId="569"/>
    <cellStyle name="20% - Accent2 3 7" xfId="570"/>
    <cellStyle name="20% - Accent2 3 7 2" xfId="571"/>
    <cellStyle name="20% - Accent2 3 7 2 2" xfId="19656"/>
    <cellStyle name="20% - Accent2 3 7 2 2 2" xfId="19657"/>
    <cellStyle name="20% - Accent2 3 7 2 3" xfId="19658"/>
    <cellStyle name="20% - Accent2 3 7 3" xfId="572"/>
    <cellStyle name="20% - Accent2 3 7 3 2" xfId="19659"/>
    <cellStyle name="20% - Accent2 3 7 4" xfId="573"/>
    <cellStyle name="20% - Accent2 3 8" xfId="574"/>
    <cellStyle name="20% - Accent2 3 8 2" xfId="575"/>
    <cellStyle name="20% - Accent2 3 8 2 2" xfId="19660"/>
    <cellStyle name="20% - Accent2 3 8 3" xfId="576"/>
    <cellStyle name="20% - Accent2 3 8 4" xfId="577"/>
    <cellStyle name="20% - Accent2 3 9" xfId="578"/>
    <cellStyle name="20% - Accent2 3 9 2" xfId="19661"/>
    <cellStyle name="20% - Accent2 4" xfId="10"/>
    <cellStyle name="20% - Accent2 4 2" xfId="579"/>
    <cellStyle name="20% - Accent2 4 2 2" xfId="580"/>
    <cellStyle name="20% - Accent2 4 2 2 2" xfId="581"/>
    <cellStyle name="20% - Accent2 4 2 2 2 2" xfId="582"/>
    <cellStyle name="20% - Accent2 4 2 2 2 2 2" xfId="19662"/>
    <cellStyle name="20% - Accent2 4 2 2 2 3" xfId="583"/>
    <cellStyle name="20% - Accent2 4 2 2 2 4" xfId="584"/>
    <cellStyle name="20% - Accent2 4 2 2 3" xfId="585"/>
    <cellStyle name="20% - Accent2 4 2 2 3 2" xfId="586"/>
    <cellStyle name="20% - Accent2 4 2 2 3 3" xfId="587"/>
    <cellStyle name="20% - Accent2 4 2 2 3 4" xfId="588"/>
    <cellStyle name="20% - Accent2 4 2 2 4" xfId="589"/>
    <cellStyle name="20% - Accent2 4 2 2 5" xfId="590"/>
    <cellStyle name="20% - Accent2 4 2 2 6" xfId="591"/>
    <cellStyle name="20% - Accent2 4 2 3" xfId="592"/>
    <cellStyle name="20% - Accent2 4 2 3 2" xfId="593"/>
    <cellStyle name="20% - Accent2 4 2 3 2 2" xfId="19663"/>
    <cellStyle name="20% - Accent2 4 2 3 3" xfId="594"/>
    <cellStyle name="20% - Accent2 4 2 3 4" xfId="595"/>
    <cellStyle name="20% - Accent2 4 2 4" xfId="596"/>
    <cellStyle name="20% - Accent2 4 2 4 2" xfId="597"/>
    <cellStyle name="20% - Accent2 4 2 4 3" xfId="598"/>
    <cellStyle name="20% - Accent2 4 2 4 4" xfId="599"/>
    <cellStyle name="20% - Accent2 4 2 5" xfId="600"/>
    <cellStyle name="20% - Accent2 4 2 6" xfId="601"/>
    <cellStyle name="20% - Accent2 4 2 7" xfId="602"/>
    <cellStyle name="20% - Accent2 4 2 8" xfId="19664"/>
    <cellStyle name="20% - Accent2 4 3" xfId="603"/>
    <cellStyle name="20% - Accent2 4 3 2" xfId="604"/>
    <cellStyle name="20% - Accent2 4 3 2 2" xfId="605"/>
    <cellStyle name="20% - Accent2 4 3 2 2 2" xfId="19665"/>
    <cellStyle name="20% - Accent2 4 3 2 3" xfId="606"/>
    <cellStyle name="20% - Accent2 4 3 2 4" xfId="607"/>
    <cellStyle name="20% - Accent2 4 3 3" xfId="608"/>
    <cellStyle name="20% - Accent2 4 3 3 2" xfId="609"/>
    <cellStyle name="20% - Accent2 4 3 3 3" xfId="610"/>
    <cellStyle name="20% - Accent2 4 3 3 4" xfId="611"/>
    <cellStyle name="20% - Accent2 4 3 4" xfId="612"/>
    <cellStyle name="20% - Accent2 4 3 5" xfId="613"/>
    <cellStyle name="20% - Accent2 4 3 6" xfId="614"/>
    <cellStyle name="20% - Accent2 4 4" xfId="615"/>
    <cellStyle name="20% - Accent2 4 4 2" xfId="616"/>
    <cellStyle name="20% - Accent2 4 4 2 2" xfId="19666"/>
    <cellStyle name="20% - Accent2 4 4 3" xfId="617"/>
    <cellStyle name="20% - Accent2 4 4 4" xfId="618"/>
    <cellStyle name="20% - Accent2 4 5" xfId="619"/>
    <cellStyle name="20% - Accent2 4 5 2" xfId="620"/>
    <cellStyle name="20% - Accent2 4 5 3" xfId="621"/>
    <cellStyle name="20% - Accent2 4 5 4" xfId="622"/>
    <cellStyle name="20% - Accent2 4 6" xfId="623"/>
    <cellStyle name="20% - Accent2 4 7" xfId="624"/>
    <cellStyle name="20% - Accent2 4 8" xfId="625"/>
    <cellStyle name="20% - Accent2 4 9" xfId="19667"/>
    <cellStyle name="20% - Accent2 5" xfId="626"/>
    <cellStyle name="20% - Accent2 5 10" xfId="19668"/>
    <cellStyle name="20% - Accent2 5 2" xfId="627"/>
    <cellStyle name="20% - Accent2 5 2 2" xfId="628"/>
    <cellStyle name="20% - Accent2 5 2 2 2" xfId="629"/>
    <cellStyle name="20% - Accent2 5 2 2 2 2" xfId="19669"/>
    <cellStyle name="20% - Accent2 5 2 2 3" xfId="630"/>
    <cellStyle name="20% - Accent2 5 2 2 4" xfId="631"/>
    <cellStyle name="20% - Accent2 5 2 3" xfId="632"/>
    <cellStyle name="20% - Accent2 5 2 3 2" xfId="633"/>
    <cellStyle name="20% - Accent2 5 2 3 3" xfId="634"/>
    <cellStyle name="20% - Accent2 5 2 3 4" xfId="635"/>
    <cellStyle name="20% - Accent2 5 2 4" xfId="636"/>
    <cellStyle name="20% - Accent2 5 2 5" xfId="637"/>
    <cellStyle name="20% - Accent2 5 2 6" xfId="638"/>
    <cellStyle name="20% - Accent2 5 2 7" xfId="19670"/>
    <cellStyle name="20% - Accent2 5 2 8" xfId="19671"/>
    <cellStyle name="20% - Accent2 5 3" xfId="639"/>
    <cellStyle name="20% - Accent2 5 3 2" xfId="640"/>
    <cellStyle name="20% - Accent2 5 3 2 2" xfId="19672"/>
    <cellStyle name="20% - Accent2 5 3 3" xfId="641"/>
    <cellStyle name="20% - Accent2 5 3 4" xfId="642"/>
    <cellStyle name="20% - Accent2 5 4" xfId="643"/>
    <cellStyle name="20% - Accent2 5 4 2" xfId="644"/>
    <cellStyle name="20% - Accent2 5 4 3" xfId="645"/>
    <cellStyle name="20% - Accent2 5 4 4" xfId="646"/>
    <cellStyle name="20% - Accent2 5 5" xfId="647"/>
    <cellStyle name="20% - Accent2 5 6" xfId="648"/>
    <cellStyle name="20% - Accent2 5 7" xfId="649"/>
    <cellStyle name="20% - Accent2 5 8" xfId="19673"/>
    <cellStyle name="20% - Accent2 5 9" xfId="19674"/>
    <cellStyle name="20% - Accent2 6" xfId="650"/>
    <cellStyle name="20% - Accent2 6 2" xfId="651"/>
    <cellStyle name="20% - Accent2 6 2 2" xfId="652"/>
    <cellStyle name="20% - Accent2 6 2 2 2" xfId="653"/>
    <cellStyle name="20% - Accent2 6 2 2 3" xfId="654"/>
    <cellStyle name="20% - Accent2 6 2 2 4" xfId="655"/>
    <cellStyle name="20% - Accent2 6 2 3" xfId="656"/>
    <cellStyle name="20% - Accent2 6 2 3 2" xfId="657"/>
    <cellStyle name="20% - Accent2 6 2 3 3" xfId="658"/>
    <cellStyle name="20% - Accent2 6 2 3 4" xfId="659"/>
    <cellStyle name="20% - Accent2 6 2 4" xfId="660"/>
    <cellStyle name="20% - Accent2 6 2 5" xfId="661"/>
    <cellStyle name="20% - Accent2 6 2 6" xfId="662"/>
    <cellStyle name="20% - Accent2 6 3" xfId="663"/>
    <cellStyle name="20% - Accent2 6 3 2" xfId="664"/>
    <cellStyle name="20% - Accent2 6 3 3" xfId="665"/>
    <cellStyle name="20% - Accent2 6 3 4" xfId="666"/>
    <cellStyle name="20% - Accent2 6 4" xfId="667"/>
    <cellStyle name="20% - Accent2 6 4 2" xfId="668"/>
    <cellStyle name="20% - Accent2 6 4 3" xfId="669"/>
    <cellStyle name="20% - Accent2 6 4 4" xfId="670"/>
    <cellStyle name="20% - Accent2 6 5" xfId="671"/>
    <cellStyle name="20% - Accent2 6 6" xfId="672"/>
    <cellStyle name="20% - Accent2 6 7" xfId="673"/>
    <cellStyle name="20% - Accent2 7" xfId="674"/>
    <cellStyle name="20% - Accent2 7 2" xfId="675"/>
    <cellStyle name="20% - Accent2 7 2 2" xfId="676"/>
    <cellStyle name="20% - Accent2 7 2 2 2" xfId="677"/>
    <cellStyle name="20% - Accent2 7 2 2 3" xfId="678"/>
    <cellStyle name="20% - Accent2 7 2 2 4" xfId="679"/>
    <cellStyle name="20% - Accent2 7 2 3" xfId="680"/>
    <cellStyle name="20% - Accent2 7 2 3 2" xfId="681"/>
    <cellStyle name="20% - Accent2 7 2 3 3" xfId="682"/>
    <cellStyle name="20% - Accent2 7 2 3 4" xfId="683"/>
    <cellStyle name="20% - Accent2 7 2 4" xfId="684"/>
    <cellStyle name="20% - Accent2 7 2 5" xfId="685"/>
    <cellStyle name="20% - Accent2 7 2 6" xfId="686"/>
    <cellStyle name="20% - Accent2 7 3" xfId="687"/>
    <cellStyle name="20% - Accent2 7 3 2" xfId="688"/>
    <cellStyle name="20% - Accent2 7 3 3" xfId="689"/>
    <cellStyle name="20% - Accent2 7 3 4" xfId="690"/>
    <cellStyle name="20% - Accent2 7 4" xfId="691"/>
    <cellStyle name="20% - Accent2 7 4 2" xfId="692"/>
    <cellStyle name="20% - Accent2 7 4 3" xfId="693"/>
    <cellStyle name="20% - Accent2 7 4 4" xfId="694"/>
    <cellStyle name="20% - Accent2 7 5" xfId="695"/>
    <cellStyle name="20% - Accent2 7 6" xfId="696"/>
    <cellStyle name="20% - Accent2 7 7" xfId="697"/>
    <cellStyle name="20% - Accent2 8" xfId="698"/>
    <cellStyle name="20% - Accent2 8 2" xfId="699"/>
    <cellStyle name="20% - Accent2 8 2 2" xfId="700"/>
    <cellStyle name="20% - Accent2 8 2 3" xfId="701"/>
    <cellStyle name="20% - Accent2 8 2 4" xfId="702"/>
    <cellStyle name="20% - Accent2 8 3" xfId="703"/>
    <cellStyle name="20% - Accent2 8 3 2" xfId="704"/>
    <cellStyle name="20% - Accent2 8 3 3" xfId="705"/>
    <cellStyle name="20% - Accent2 8 3 4" xfId="706"/>
    <cellStyle name="20% - Accent2 8 4" xfId="707"/>
    <cellStyle name="20% - Accent2 8 5" xfId="708"/>
    <cellStyle name="20% - Accent2 8 6" xfId="709"/>
    <cellStyle name="20% - Accent2 9" xfId="710"/>
    <cellStyle name="20% - Accent2 9 2" xfId="711"/>
    <cellStyle name="20% - Accent2 9 3" xfId="712"/>
    <cellStyle name="20% - Accent2 9 4" xfId="713"/>
    <cellStyle name="20% - Accent3 10" xfId="714"/>
    <cellStyle name="20% - Accent3 10 2" xfId="715"/>
    <cellStyle name="20% - Accent3 10 3" xfId="716"/>
    <cellStyle name="20% - Accent3 10 4" xfId="717"/>
    <cellStyle name="20% - Accent3 11" xfId="718"/>
    <cellStyle name="20% - Accent3 11 2" xfId="719"/>
    <cellStyle name="20% - Accent3 11 3" xfId="720"/>
    <cellStyle name="20% - Accent3 12" xfId="721"/>
    <cellStyle name="20% - Accent3 13" xfId="722"/>
    <cellStyle name="20% - Accent3 14" xfId="723"/>
    <cellStyle name="20% - Accent3 2" xfId="11"/>
    <cellStyle name="20% - Accent3 2 10" xfId="19675"/>
    <cellStyle name="20% - Accent3 2 10 2" xfId="19676"/>
    <cellStyle name="20% - Accent3 2 11" xfId="19677"/>
    <cellStyle name="20% - Accent3 2 2" xfId="724"/>
    <cellStyle name="20% - Accent3 2 2 2" xfId="725"/>
    <cellStyle name="20% - Accent3 2 2 2 2" xfId="726"/>
    <cellStyle name="20% - Accent3 2 2 2 2 2" xfId="727"/>
    <cellStyle name="20% - Accent3 2 2 2 2 2 2" xfId="19678"/>
    <cellStyle name="20% - Accent3 2 2 2 2 2 2 2" xfId="19679"/>
    <cellStyle name="20% - Accent3 2 2 2 2 2 2 2 2" xfId="19680"/>
    <cellStyle name="20% - Accent3 2 2 2 2 2 2 3" xfId="19681"/>
    <cellStyle name="20% - Accent3 2 2 2 2 2 3" xfId="19682"/>
    <cellStyle name="20% - Accent3 2 2 2 2 2 3 2" xfId="19683"/>
    <cellStyle name="20% - Accent3 2 2 2 2 2 4" xfId="19684"/>
    <cellStyle name="20% - Accent3 2 2 2 2 2 5" xfId="19685"/>
    <cellStyle name="20% - Accent3 2 2 2 2 3" xfId="728"/>
    <cellStyle name="20% - Accent3 2 2 2 2 3 2" xfId="19686"/>
    <cellStyle name="20% - Accent3 2 2 2 2 3 2 2" xfId="19687"/>
    <cellStyle name="20% - Accent3 2 2 2 2 3 3" xfId="19688"/>
    <cellStyle name="20% - Accent3 2 2 2 2 4" xfId="19689"/>
    <cellStyle name="20% - Accent3 2 2 2 2 4 2" xfId="19690"/>
    <cellStyle name="20% - Accent3 2 2 2 2 5" xfId="19691"/>
    <cellStyle name="20% - Accent3 2 2 2 2 6" xfId="19692"/>
    <cellStyle name="20% - Accent3 2 2 2 3" xfId="729"/>
    <cellStyle name="20% - Accent3 2 2 2 3 2" xfId="19693"/>
    <cellStyle name="20% - Accent3 2 2 2 3 2 2" xfId="19694"/>
    <cellStyle name="20% - Accent3 2 2 2 3 2 2 2" xfId="19695"/>
    <cellStyle name="20% - Accent3 2 2 2 3 2 3" xfId="19696"/>
    <cellStyle name="20% - Accent3 2 2 2 3 3" xfId="19697"/>
    <cellStyle name="20% - Accent3 2 2 2 3 3 2" xfId="19698"/>
    <cellStyle name="20% - Accent3 2 2 2 3 4" xfId="19699"/>
    <cellStyle name="20% - Accent3 2 2 2 3 5" xfId="19700"/>
    <cellStyle name="20% - Accent3 2 2 2 4" xfId="730"/>
    <cellStyle name="20% - Accent3 2 2 2 4 2" xfId="19701"/>
    <cellStyle name="20% - Accent3 2 2 2 4 2 2" xfId="19702"/>
    <cellStyle name="20% - Accent3 2 2 2 4 3" xfId="19703"/>
    <cellStyle name="20% - Accent3 2 2 2 5" xfId="19704"/>
    <cellStyle name="20% - Accent3 2 2 2 5 2" xfId="19705"/>
    <cellStyle name="20% - Accent3 2 2 2 6" xfId="19706"/>
    <cellStyle name="20% - Accent3 2 2 2 7" xfId="19707"/>
    <cellStyle name="20% - Accent3 2 2 3" xfId="731"/>
    <cellStyle name="20% - Accent3 2 2 3 2" xfId="732"/>
    <cellStyle name="20% - Accent3 2 2 3 2 2" xfId="19708"/>
    <cellStyle name="20% - Accent3 2 2 3 2 2 2" xfId="19709"/>
    <cellStyle name="20% - Accent3 2 2 3 2 2 2 2" xfId="19710"/>
    <cellStyle name="20% - Accent3 2 2 3 2 2 3" xfId="19711"/>
    <cellStyle name="20% - Accent3 2 2 3 2 3" xfId="19712"/>
    <cellStyle name="20% - Accent3 2 2 3 2 3 2" xfId="19713"/>
    <cellStyle name="20% - Accent3 2 2 3 2 4" xfId="19714"/>
    <cellStyle name="20% - Accent3 2 2 3 2 5" xfId="19715"/>
    <cellStyle name="20% - Accent3 2 2 3 3" xfId="733"/>
    <cellStyle name="20% - Accent3 2 2 3 3 2" xfId="19716"/>
    <cellStyle name="20% - Accent3 2 2 3 3 2 2" xfId="19717"/>
    <cellStyle name="20% - Accent3 2 2 3 3 3" xfId="19718"/>
    <cellStyle name="20% - Accent3 2 2 3 4" xfId="19719"/>
    <cellStyle name="20% - Accent3 2 2 3 4 2" xfId="19720"/>
    <cellStyle name="20% - Accent3 2 2 3 5" xfId="19721"/>
    <cellStyle name="20% - Accent3 2 2 3 6" xfId="19722"/>
    <cellStyle name="20% - Accent3 2 2 4" xfId="734"/>
    <cellStyle name="20% - Accent3 2 2 4 2" xfId="19723"/>
    <cellStyle name="20% - Accent3 2 2 4 2 2" xfId="19724"/>
    <cellStyle name="20% - Accent3 2 2 4 2 2 2" xfId="19725"/>
    <cellStyle name="20% - Accent3 2 2 4 2 3" xfId="19726"/>
    <cellStyle name="20% - Accent3 2 2 4 3" xfId="19727"/>
    <cellStyle name="20% - Accent3 2 2 4 3 2" xfId="19728"/>
    <cellStyle name="20% - Accent3 2 2 4 4" xfId="19729"/>
    <cellStyle name="20% - Accent3 2 2 4 5" xfId="19730"/>
    <cellStyle name="20% - Accent3 2 2 5" xfId="735"/>
    <cellStyle name="20% - Accent3 2 2 5 2" xfId="19731"/>
    <cellStyle name="20% - Accent3 2 2 5 2 2" xfId="19732"/>
    <cellStyle name="20% - Accent3 2 2 5 3" xfId="19733"/>
    <cellStyle name="20% - Accent3 2 2 6" xfId="19095"/>
    <cellStyle name="20% - Accent3 2 2 6 2" xfId="19734"/>
    <cellStyle name="20% - Accent3 2 2 7" xfId="19735"/>
    <cellStyle name="20% - Accent3 2 2 8" xfId="19736"/>
    <cellStyle name="20% - Accent3 2 2 9" xfId="19737"/>
    <cellStyle name="20% - Accent3 2 3" xfId="736"/>
    <cellStyle name="20% - Accent3 2 3 2" xfId="737"/>
    <cellStyle name="20% - Accent3 2 3 2 2" xfId="738"/>
    <cellStyle name="20% - Accent3 2 3 2 2 2" xfId="19738"/>
    <cellStyle name="20% - Accent3 2 3 2 2 2 2" xfId="19739"/>
    <cellStyle name="20% - Accent3 2 3 2 2 2 2 2" xfId="19740"/>
    <cellStyle name="20% - Accent3 2 3 2 2 2 3" xfId="19741"/>
    <cellStyle name="20% - Accent3 2 3 2 2 3" xfId="19742"/>
    <cellStyle name="20% - Accent3 2 3 2 2 3 2" xfId="19743"/>
    <cellStyle name="20% - Accent3 2 3 2 2 4" xfId="19744"/>
    <cellStyle name="20% - Accent3 2 3 2 2 5" xfId="19745"/>
    <cellStyle name="20% - Accent3 2 3 2 3" xfId="739"/>
    <cellStyle name="20% - Accent3 2 3 2 3 2" xfId="19746"/>
    <cellStyle name="20% - Accent3 2 3 2 3 2 2" xfId="19747"/>
    <cellStyle name="20% - Accent3 2 3 2 3 3" xfId="19748"/>
    <cellStyle name="20% - Accent3 2 3 2 4" xfId="19749"/>
    <cellStyle name="20% - Accent3 2 3 2 4 2" xfId="19750"/>
    <cellStyle name="20% - Accent3 2 3 2 5" xfId="19751"/>
    <cellStyle name="20% - Accent3 2 3 2 6" xfId="19752"/>
    <cellStyle name="20% - Accent3 2 3 3" xfId="740"/>
    <cellStyle name="20% - Accent3 2 3 3 2" xfId="19753"/>
    <cellStyle name="20% - Accent3 2 3 3 2 2" xfId="19754"/>
    <cellStyle name="20% - Accent3 2 3 3 2 2 2" xfId="19755"/>
    <cellStyle name="20% - Accent3 2 3 3 2 3" xfId="19756"/>
    <cellStyle name="20% - Accent3 2 3 3 3" xfId="19757"/>
    <cellStyle name="20% - Accent3 2 3 3 3 2" xfId="19758"/>
    <cellStyle name="20% - Accent3 2 3 3 4" xfId="19759"/>
    <cellStyle name="20% - Accent3 2 3 3 5" xfId="19760"/>
    <cellStyle name="20% - Accent3 2 3 4" xfId="741"/>
    <cellStyle name="20% - Accent3 2 3 4 2" xfId="19761"/>
    <cellStyle name="20% - Accent3 2 3 4 2 2" xfId="19762"/>
    <cellStyle name="20% - Accent3 2 3 4 3" xfId="19763"/>
    <cellStyle name="20% - Accent3 2 3 5" xfId="19764"/>
    <cellStyle name="20% - Accent3 2 3 5 2" xfId="19765"/>
    <cellStyle name="20% - Accent3 2 3 6" xfId="19766"/>
    <cellStyle name="20% - Accent3 2 3 7" xfId="19767"/>
    <cellStyle name="20% - Accent3 2 4" xfId="742"/>
    <cellStyle name="20% - Accent3 2 4 2" xfId="743"/>
    <cellStyle name="20% - Accent3 2 4 2 2" xfId="19768"/>
    <cellStyle name="20% - Accent3 2 4 2 2 2" xfId="19769"/>
    <cellStyle name="20% - Accent3 2 4 2 2 2 2" xfId="19770"/>
    <cellStyle name="20% - Accent3 2 4 2 2 3" xfId="19771"/>
    <cellStyle name="20% - Accent3 2 4 2 3" xfId="19772"/>
    <cellStyle name="20% - Accent3 2 4 2 3 2" xfId="19773"/>
    <cellStyle name="20% - Accent3 2 4 2 4" xfId="19774"/>
    <cellStyle name="20% - Accent3 2 4 2 5" xfId="19775"/>
    <cellStyle name="20% - Accent3 2 4 3" xfId="744"/>
    <cellStyle name="20% - Accent3 2 4 3 2" xfId="19776"/>
    <cellStyle name="20% - Accent3 2 4 3 2 2" xfId="19777"/>
    <cellStyle name="20% - Accent3 2 4 3 3" xfId="19778"/>
    <cellStyle name="20% - Accent3 2 4 4" xfId="19779"/>
    <cellStyle name="20% - Accent3 2 4 4 2" xfId="19780"/>
    <cellStyle name="20% - Accent3 2 4 5" xfId="19781"/>
    <cellStyle name="20% - Accent3 2 4 6" xfId="19782"/>
    <cellStyle name="20% - Accent3 2 5" xfId="745"/>
    <cellStyle name="20% - Accent3 2 5 2" xfId="16680"/>
    <cellStyle name="20% - Accent3 2 5 2 2" xfId="19783"/>
    <cellStyle name="20% - Accent3 2 5 2 2 2" xfId="19784"/>
    <cellStyle name="20% - Accent3 2 5 2 2 2 2" xfId="19785"/>
    <cellStyle name="20% - Accent3 2 5 2 2 3" xfId="19786"/>
    <cellStyle name="20% - Accent3 2 5 2 3" xfId="19787"/>
    <cellStyle name="20% - Accent3 2 5 2 3 2" xfId="19788"/>
    <cellStyle name="20% - Accent3 2 5 2 4" xfId="19789"/>
    <cellStyle name="20% - Accent3 2 5 3" xfId="19790"/>
    <cellStyle name="20% - Accent3 2 5 3 2" xfId="19791"/>
    <cellStyle name="20% - Accent3 2 5 3 2 2" xfId="19792"/>
    <cellStyle name="20% - Accent3 2 5 3 3" xfId="19793"/>
    <cellStyle name="20% - Accent3 2 5 4" xfId="19794"/>
    <cellStyle name="20% - Accent3 2 5 4 2" xfId="19795"/>
    <cellStyle name="20% - Accent3 2 5 5" xfId="19796"/>
    <cellStyle name="20% - Accent3 2 6" xfId="746"/>
    <cellStyle name="20% - Accent3 2 6 2" xfId="19797"/>
    <cellStyle name="20% - Accent3 2 6 2 2" xfId="19798"/>
    <cellStyle name="20% - Accent3 2 6 2 2 2" xfId="19799"/>
    <cellStyle name="20% - Accent3 2 6 2 3" xfId="19800"/>
    <cellStyle name="20% - Accent3 2 6 3" xfId="19801"/>
    <cellStyle name="20% - Accent3 2 6 3 2" xfId="19802"/>
    <cellStyle name="20% - Accent3 2 6 4" xfId="19803"/>
    <cellStyle name="20% - Accent3 2 6 5" xfId="19804"/>
    <cellStyle name="20% - Accent3 2 7" xfId="747"/>
    <cellStyle name="20% - Accent3 2 7 2" xfId="19805"/>
    <cellStyle name="20% - Accent3 2 7 2 2" xfId="19806"/>
    <cellStyle name="20% - Accent3 2 7 2 2 2" xfId="19807"/>
    <cellStyle name="20% - Accent3 2 7 2 3" xfId="19808"/>
    <cellStyle name="20% - Accent3 2 7 3" xfId="19809"/>
    <cellStyle name="20% - Accent3 2 7 3 2" xfId="19810"/>
    <cellStyle name="20% - Accent3 2 7 4" xfId="19811"/>
    <cellStyle name="20% - Accent3 2 8" xfId="19812"/>
    <cellStyle name="20% - Accent3 2 8 2" xfId="19813"/>
    <cellStyle name="20% - Accent3 2 8 2 2" xfId="19814"/>
    <cellStyle name="20% - Accent3 2 8 2 2 2" xfId="19815"/>
    <cellStyle name="20% - Accent3 2 8 2 3" xfId="19816"/>
    <cellStyle name="20% - Accent3 2 8 3" xfId="19817"/>
    <cellStyle name="20% - Accent3 2 8 3 2" xfId="19818"/>
    <cellStyle name="20% - Accent3 2 8 4" xfId="19819"/>
    <cellStyle name="20% - Accent3 2 9" xfId="19820"/>
    <cellStyle name="20% - Accent3 2 9 2" xfId="19821"/>
    <cellStyle name="20% - Accent3 2 9 2 2" xfId="19822"/>
    <cellStyle name="20% - Accent3 2 9 3" xfId="19823"/>
    <cellStyle name="20% - Accent3 3" xfId="12"/>
    <cellStyle name="20% - Accent3 3 10" xfId="748"/>
    <cellStyle name="20% - Accent3 3 11" xfId="749"/>
    <cellStyle name="20% - Accent3 3 12" xfId="19824"/>
    <cellStyle name="20% - Accent3 3 2" xfId="750"/>
    <cellStyle name="20% - Accent3 3 2 2" xfId="751"/>
    <cellStyle name="20% - Accent3 3 2 2 2" xfId="752"/>
    <cellStyle name="20% - Accent3 3 2 2 2 2" xfId="753"/>
    <cellStyle name="20% - Accent3 3 2 2 2 2 2" xfId="754"/>
    <cellStyle name="20% - Accent3 3 2 2 2 2 2 2" xfId="19825"/>
    <cellStyle name="20% - Accent3 3 2 2 2 2 3" xfId="755"/>
    <cellStyle name="20% - Accent3 3 2 2 2 2 4" xfId="756"/>
    <cellStyle name="20% - Accent3 3 2 2 2 3" xfId="757"/>
    <cellStyle name="20% - Accent3 3 2 2 2 3 2" xfId="758"/>
    <cellStyle name="20% - Accent3 3 2 2 2 3 3" xfId="759"/>
    <cellStyle name="20% - Accent3 3 2 2 2 3 4" xfId="760"/>
    <cellStyle name="20% - Accent3 3 2 2 2 4" xfId="761"/>
    <cellStyle name="20% - Accent3 3 2 2 2 5" xfId="762"/>
    <cellStyle name="20% - Accent3 3 2 2 2 6" xfId="763"/>
    <cellStyle name="20% - Accent3 3 2 2 3" xfId="764"/>
    <cellStyle name="20% - Accent3 3 2 2 3 2" xfId="765"/>
    <cellStyle name="20% - Accent3 3 2 2 3 2 2" xfId="19826"/>
    <cellStyle name="20% - Accent3 3 2 2 3 3" xfId="766"/>
    <cellStyle name="20% - Accent3 3 2 2 3 4" xfId="767"/>
    <cellStyle name="20% - Accent3 3 2 2 4" xfId="768"/>
    <cellStyle name="20% - Accent3 3 2 2 4 2" xfId="769"/>
    <cellStyle name="20% - Accent3 3 2 2 4 3" xfId="770"/>
    <cellStyle name="20% - Accent3 3 2 2 4 4" xfId="771"/>
    <cellStyle name="20% - Accent3 3 2 2 5" xfId="772"/>
    <cellStyle name="20% - Accent3 3 2 2 6" xfId="773"/>
    <cellStyle name="20% - Accent3 3 2 2 7" xfId="774"/>
    <cellStyle name="20% - Accent3 3 2 3" xfId="775"/>
    <cellStyle name="20% - Accent3 3 2 3 2" xfId="776"/>
    <cellStyle name="20% - Accent3 3 2 3 2 2" xfId="777"/>
    <cellStyle name="20% - Accent3 3 2 3 2 2 2" xfId="19827"/>
    <cellStyle name="20% - Accent3 3 2 3 2 3" xfId="778"/>
    <cellStyle name="20% - Accent3 3 2 3 2 4" xfId="779"/>
    <cellStyle name="20% - Accent3 3 2 3 3" xfId="780"/>
    <cellStyle name="20% - Accent3 3 2 3 3 2" xfId="781"/>
    <cellStyle name="20% - Accent3 3 2 3 3 3" xfId="782"/>
    <cellStyle name="20% - Accent3 3 2 3 3 4" xfId="783"/>
    <cellStyle name="20% - Accent3 3 2 3 4" xfId="784"/>
    <cellStyle name="20% - Accent3 3 2 3 5" xfId="785"/>
    <cellStyle name="20% - Accent3 3 2 3 6" xfId="786"/>
    <cellStyle name="20% - Accent3 3 2 4" xfId="787"/>
    <cellStyle name="20% - Accent3 3 2 4 2" xfId="788"/>
    <cellStyle name="20% - Accent3 3 2 4 2 2" xfId="19828"/>
    <cellStyle name="20% - Accent3 3 2 4 3" xfId="789"/>
    <cellStyle name="20% - Accent3 3 2 4 4" xfId="790"/>
    <cellStyle name="20% - Accent3 3 2 5" xfId="791"/>
    <cellStyle name="20% - Accent3 3 2 5 2" xfId="792"/>
    <cellStyle name="20% - Accent3 3 2 5 3" xfId="793"/>
    <cellStyle name="20% - Accent3 3 2 5 4" xfId="794"/>
    <cellStyle name="20% - Accent3 3 2 6" xfId="795"/>
    <cellStyle name="20% - Accent3 3 2 7" xfId="796"/>
    <cellStyle name="20% - Accent3 3 2 8" xfId="797"/>
    <cellStyle name="20% - Accent3 3 2 9" xfId="19829"/>
    <cellStyle name="20% - Accent3 3 3" xfId="798"/>
    <cellStyle name="20% - Accent3 3 3 2" xfId="799"/>
    <cellStyle name="20% - Accent3 3 3 2 2" xfId="800"/>
    <cellStyle name="20% - Accent3 3 3 2 2 2" xfId="801"/>
    <cellStyle name="20% - Accent3 3 3 2 2 2 2" xfId="19830"/>
    <cellStyle name="20% - Accent3 3 3 2 2 3" xfId="802"/>
    <cellStyle name="20% - Accent3 3 3 2 2 4" xfId="803"/>
    <cellStyle name="20% - Accent3 3 3 2 3" xfId="804"/>
    <cellStyle name="20% - Accent3 3 3 2 3 2" xfId="805"/>
    <cellStyle name="20% - Accent3 3 3 2 3 3" xfId="806"/>
    <cellStyle name="20% - Accent3 3 3 2 3 4" xfId="807"/>
    <cellStyle name="20% - Accent3 3 3 2 4" xfId="808"/>
    <cellStyle name="20% - Accent3 3 3 2 5" xfId="809"/>
    <cellStyle name="20% - Accent3 3 3 2 6" xfId="810"/>
    <cellStyle name="20% - Accent3 3 3 3" xfId="811"/>
    <cellStyle name="20% - Accent3 3 3 3 2" xfId="812"/>
    <cellStyle name="20% - Accent3 3 3 3 2 2" xfId="19831"/>
    <cellStyle name="20% - Accent3 3 3 3 3" xfId="813"/>
    <cellStyle name="20% - Accent3 3 3 3 4" xfId="814"/>
    <cellStyle name="20% - Accent3 3 3 4" xfId="815"/>
    <cellStyle name="20% - Accent3 3 3 4 2" xfId="816"/>
    <cellStyle name="20% - Accent3 3 3 4 3" xfId="817"/>
    <cellStyle name="20% - Accent3 3 3 4 4" xfId="818"/>
    <cellStyle name="20% - Accent3 3 3 5" xfId="819"/>
    <cellStyle name="20% - Accent3 3 3 6" xfId="820"/>
    <cellStyle name="20% - Accent3 3 3 7" xfId="821"/>
    <cellStyle name="20% - Accent3 3 4" xfId="822"/>
    <cellStyle name="20% - Accent3 3 4 2" xfId="823"/>
    <cellStyle name="20% - Accent3 3 4 2 2" xfId="824"/>
    <cellStyle name="20% - Accent3 3 4 2 2 2" xfId="825"/>
    <cellStyle name="20% - Accent3 3 4 2 2 2 2" xfId="19832"/>
    <cellStyle name="20% - Accent3 3 4 2 2 3" xfId="826"/>
    <cellStyle name="20% - Accent3 3 4 2 2 4" xfId="827"/>
    <cellStyle name="20% - Accent3 3 4 2 3" xfId="828"/>
    <cellStyle name="20% - Accent3 3 4 2 3 2" xfId="829"/>
    <cellStyle name="20% - Accent3 3 4 2 3 3" xfId="830"/>
    <cellStyle name="20% - Accent3 3 4 2 3 4" xfId="831"/>
    <cellStyle name="20% - Accent3 3 4 2 4" xfId="832"/>
    <cellStyle name="20% - Accent3 3 4 2 5" xfId="833"/>
    <cellStyle name="20% - Accent3 3 4 2 6" xfId="834"/>
    <cellStyle name="20% - Accent3 3 4 3" xfId="835"/>
    <cellStyle name="20% - Accent3 3 4 3 2" xfId="836"/>
    <cellStyle name="20% - Accent3 3 4 3 2 2" xfId="19833"/>
    <cellStyle name="20% - Accent3 3 4 3 3" xfId="837"/>
    <cellStyle name="20% - Accent3 3 4 3 4" xfId="838"/>
    <cellStyle name="20% - Accent3 3 4 4" xfId="839"/>
    <cellStyle name="20% - Accent3 3 4 4 2" xfId="840"/>
    <cellStyle name="20% - Accent3 3 4 4 3" xfId="841"/>
    <cellStyle name="20% - Accent3 3 4 4 4" xfId="842"/>
    <cellStyle name="20% - Accent3 3 4 5" xfId="843"/>
    <cellStyle name="20% - Accent3 3 4 6" xfId="844"/>
    <cellStyle name="20% - Accent3 3 4 7" xfId="845"/>
    <cellStyle name="20% - Accent3 3 5" xfId="846"/>
    <cellStyle name="20% - Accent3 3 5 2" xfId="847"/>
    <cellStyle name="20% - Accent3 3 5 2 2" xfId="848"/>
    <cellStyle name="20% - Accent3 3 5 2 2 2" xfId="849"/>
    <cellStyle name="20% - Accent3 3 5 2 2 3" xfId="850"/>
    <cellStyle name="20% - Accent3 3 5 2 2 4" xfId="851"/>
    <cellStyle name="20% - Accent3 3 5 2 3" xfId="852"/>
    <cellStyle name="20% - Accent3 3 5 2 3 2" xfId="853"/>
    <cellStyle name="20% - Accent3 3 5 2 3 3" xfId="854"/>
    <cellStyle name="20% - Accent3 3 5 2 3 4" xfId="855"/>
    <cellStyle name="20% - Accent3 3 5 2 4" xfId="856"/>
    <cellStyle name="20% - Accent3 3 5 2 5" xfId="857"/>
    <cellStyle name="20% - Accent3 3 5 2 6" xfId="858"/>
    <cellStyle name="20% - Accent3 3 5 3" xfId="859"/>
    <cellStyle name="20% - Accent3 3 5 3 2" xfId="860"/>
    <cellStyle name="20% - Accent3 3 5 3 3" xfId="861"/>
    <cellStyle name="20% - Accent3 3 5 3 4" xfId="862"/>
    <cellStyle name="20% - Accent3 3 5 4" xfId="863"/>
    <cellStyle name="20% - Accent3 3 5 4 2" xfId="864"/>
    <cellStyle name="20% - Accent3 3 5 4 3" xfId="865"/>
    <cellStyle name="20% - Accent3 3 5 4 4" xfId="866"/>
    <cellStyle name="20% - Accent3 3 5 5" xfId="867"/>
    <cellStyle name="20% - Accent3 3 5 6" xfId="868"/>
    <cellStyle name="20% - Accent3 3 5 7" xfId="869"/>
    <cellStyle name="20% - Accent3 3 6" xfId="870"/>
    <cellStyle name="20% - Accent3 3 6 2" xfId="871"/>
    <cellStyle name="20% - Accent3 3 6 2 2" xfId="872"/>
    <cellStyle name="20% - Accent3 3 6 2 2 2" xfId="19834"/>
    <cellStyle name="20% - Accent3 3 6 2 3" xfId="873"/>
    <cellStyle name="20% - Accent3 3 6 2 4" xfId="874"/>
    <cellStyle name="20% - Accent3 3 6 3" xfId="875"/>
    <cellStyle name="20% - Accent3 3 6 3 2" xfId="876"/>
    <cellStyle name="20% - Accent3 3 6 3 3" xfId="877"/>
    <cellStyle name="20% - Accent3 3 6 3 4" xfId="878"/>
    <cellStyle name="20% - Accent3 3 6 4" xfId="879"/>
    <cellStyle name="20% - Accent3 3 6 5" xfId="880"/>
    <cellStyle name="20% - Accent3 3 6 6" xfId="881"/>
    <cellStyle name="20% - Accent3 3 7" xfId="882"/>
    <cellStyle name="20% - Accent3 3 7 2" xfId="883"/>
    <cellStyle name="20% - Accent3 3 7 2 2" xfId="19835"/>
    <cellStyle name="20% - Accent3 3 7 2 2 2" xfId="19836"/>
    <cellStyle name="20% - Accent3 3 7 2 3" xfId="19837"/>
    <cellStyle name="20% - Accent3 3 7 3" xfId="884"/>
    <cellStyle name="20% - Accent3 3 7 3 2" xfId="19838"/>
    <cellStyle name="20% - Accent3 3 7 4" xfId="885"/>
    <cellStyle name="20% - Accent3 3 8" xfId="886"/>
    <cellStyle name="20% - Accent3 3 8 2" xfId="887"/>
    <cellStyle name="20% - Accent3 3 8 2 2" xfId="19839"/>
    <cellStyle name="20% - Accent3 3 8 3" xfId="888"/>
    <cellStyle name="20% - Accent3 3 8 4" xfId="889"/>
    <cellStyle name="20% - Accent3 3 9" xfId="890"/>
    <cellStyle name="20% - Accent3 3 9 2" xfId="19840"/>
    <cellStyle name="20% - Accent3 4" xfId="13"/>
    <cellStyle name="20% - Accent3 4 2" xfId="891"/>
    <cellStyle name="20% - Accent3 4 2 2" xfId="892"/>
    <cellStyle name="20% - Accent3 4 2 2 2" xfId="893"/>
    <cellStyle name="20% - Accent3 4 2 2 2 2" xfId="894"/>
    <cellStyle name="20% - Accent3 4 2 2 2 2 2" xfId="19841"/>
    <cellStyle name="20% - Accent3 4 2 2 2 3" xfId="895"/>
    <cellStyle name="20% - Accent3 4 2 2 2 4" xfId="896"/>
    <cellStyle name="20% - Accent3 4 2 2 3" xfId="897"/>
    <cellStyle name="20% - Accent3 4 2 2 3 2" xfId="898"/>
    <cellStyle name="20% - Accent3 4 2 2 3 3" xfId="899"/>
    <cellStyle name="20% - Accent3 4 2 2 3 4" xfId="900"/>
    <cellStyle name="20% - Accent3 4 2 2 4" xfId="901"/>
    <cellStyle name="20% - Accent3 4 2 2 5" xfId="902"/>
    <cellStyle name="20% - Accent3 4 2 2 6" xfId="903"/>
    <cellStyle name="20% - Accent3 4 2 3" xfId="904"/>
    <cellStyle name="20% - Accent3 4 2 3 2" xfId="905"/>
    <cellStyle name="20% - Accent3 4 2 3 2 2" xfId="19842"/>
    <cellStyle name="20% - Accent3 4 2 3 3" xfId="906"/>
    <cellStyle name="20% - Accent3 4 2 3 4" xfId="907"/>
    <cellStyle name="20% - Accent3 4 2 4" xfId="908"/>
    <cellStyle name="20% - Accent3 4 2 4 2" xfId="909"/>
    <cellStyle name="20% - Accent3 4 2 4 3" xfId="910"/>
    <cellStyle name="20% - Accent3 4 2 4 4" xfId="911"/>
    <cellStyle name="20% - Accent3 4 2 5" xfId="912"/>
    <cellStyle name="20% - Accent3 4 2 6" xfId="913"/>
    <cellStyle name="20% - Accent3 4 2 7" xfId="914"/>
    <cellStyle name="20% - Accent3 4 2 8" xfId="19843"/>
    <cellStyle name="20% - Accent3 4 3" xfId="915"/>
    <cellStyle name="20% - Accent3 4 3 2" xfId="916"/>
    <cellStyle name="20% - Accent3 4 3 2 2" xfId="917"/>
    <cellStyle name="20% - Accent3 4 3 2 2 2" xfId="19844"/>
    <cellStyle name="20% - Accent3 4 3 2 3" xfId="918"/>
    <cellStyle name="20% - Accent3 4 3 2 4" xfId="919"/>
    <cellStyle name="20% - Accent3 4 3 3" xfId="920"/>
    <cellStyle name="20% - Accent3 4 3 3 2" xfId="921"/>
    <cellStyle name="20% - Accent3 4 3 3 3" xfId="922"/>
    <cellStyle name="20% - Accent3 4 3 3 4" xfId="923"/>
    <cellStyle name="20% - Accent3 4 3 4" xfId="924"/>
    <cellStyle name="20% - Accent3 4 3 5" xfId="925"/>
    <cellStyle name="20% - Accent3 4 3 6" xfId="926"/>
    <cellStyle name="20% - Accent3 4 4" xfId="927"/>
    <cellStyle name="20% - Accent3 4 4 2" xfId="928"/>
    <cellStyle name="20% - Accent3 4 4 2 2" xfId="19845"/>
    <cellStyle name="20% - Accent3 4 4 3" xfId="929"/>
    <cellStyle name="20% - Accent3 4 4 4" xfId="930"/>
    <cellStyle name="20% - Accent3 4 5" xfId="931"/>
    <cellStyle name="20% - Accent3 4 5 2" xfId="932"/>
    <cellStyle name="20% - Accent3 4 5 3" xfId="933"/>
    <cellStyle name="20% - Accent3 4 5 4" xfId="934"/>
    <cellStyle name="20% - Accent3 4 6" xfId="935"/>
    <cellStyle name="20% - Accent3 4 7" xfId="936"/>
    <cellStyle name="20% - Accent3 4 8" xfId="937"/>
    <cellStyle name="20% - Accent3 4 9" xfId="19846"/>
    <cellStyle name="20% - Accent3 5" xfId="938"/>
    <cellStyle name="20% - Accent3 5 10" xfId="19847"/>
    <cellStyle name="20% - Accent3 5 2" xfId="939"/>
    <cellStyle name="20% - Accent3 5 2 2" xfId="940"/>
    <cellStyle name="20% - Accent3 5 2 2 2" xfId="941"/>
    <cellStyle name="20% - Accent3 5 2 2 2 2" xfId="19848"/>
    <cellStyle name="20% - Accent3 5 2 2 3" xfId="942"/>
    <cellStyle name="20% - Accent3 5 2 2 4" xfId="943"/>
    <cellStyle name="20% - Accent3 5 2 3" xfId="944"/>
    <cellStyle name="20% - Accent3 5 2 3 2" xfId="945"/>
    <cellStyle name="20% - Accent3 5 2 3 3" xfId="946"/>
    <cellStyle name="20% - Accent3 5 2 3 4" xfId="947"/>
    <cellStyle name="20% - Accent3 5 2 4" xfId="948"/>
    <cellStyle name="20% - Accent3 5 2 5" xfId="949"/>
    <cellStyle name="20% - Accent3 5 2 6" xfId="950"/>
    <cellStyle name="20% - Accent3 5 2 7" xfId="19849"/>
    <cellStyle name="20% - Accent3 5 2 8" xfId="19850"/>
    <cellStyle name="20% - Accent3 5 3" xfId="951"/>
    <cellStyle name="20% - Accent3 5 3 2" xfId="952"/>
    <cellStyle name="20% - Accent3 5 3 2 2" xfId="19851"/>
    <cellStyle name="20% - Accent3 5 3 3" xfId="953"/>
    <cellStyle name="20% - Accent3 5 3 4" xfId="954"/>
    <cellStyle name="20% - Accent3 5 4" xfId="955"/>
    <cellStyle name="20% - Accent3 5 4 2" xfId="956"/>
    <cellStyle name="20% - Accent3 5 4 3" xfId="957"/>
    <cellStyle name="20% - Accent3 5 4 4" xfId="958"/>
    <cellStyle name="20% - Accent3 5 5" xfId="959"/>
    <cellStyle name="20% - Accent3 5 6" xfId="960"/>
    <cellStyle name="20% - Accent3 5 7" xfId="961"/>
    <cellStyle name="20% - Accent3 5 8" xfId="19852"/>
    <cellStyle name="20% - Accent3 5 9" xfId="19853"/>
    <cellStyle name="20% - Accent3 6" xfId="962"/>
    <cellStyle name="20% - Accent3 6 2" xfId="963"/>
    <cellStyle name="20% - Accent3 6 2 2" xfId="964"/>
    <cellStyle name="20% - Accent3 6 2 2 2" xfId="965"/>
    <cellStyle name="20% - Accent3 6 2 2 3" xfId="966"/>
    <cellStyle name="20% - Accent3 6 2 2 4" xfId="967"/>
    <cellStyle name="20% - Accent3 6 2 3" xfId="968"/>
    <cellStyle name="20% - Accent3 6 2 3 2" xfId="969"/>
    <cellStyle name="20% - Accent3 6 2 3 3" xfId="970"/>
    <cellStyle name="20% - Accent3 6 2 3 4" xfId="971"/>
    <cellStyle name="20% - Accent3 6 2 4" xfId="972"/>
    <cellStyle name="20% - Accent3 6 2 5" xfId="973"/>
    <cellStyle name="20% - Accent3 6 2 6" xfId="974"/>
    <cellStyle name="20% - Accent3 6 3" xfId="975"/>
    <cellStyle name="20% - Accent3 6 3 2" xfId="976"/>
    <cellStyle name="20% - Accent3 6 3 3" xfId="977"/>
    <cellStyle name="20% - Accent3 6 3 4" xfId="978"/>
    <cellStyle name="20% - Accent3 6 4" xfId="979"/>
    <cellStyle name="20% - Accent3 6 4 2" xfId="980"/>
    <cellStyle name="20% - Accent3 6 4 3" xfId="981"/>
    <cellStyle name="20% - Accent3 6 4 4" xfId="982"/>
    <cellStyle name="20% - Accent3 6 5" xfId="983"/>
    <cellStyle name="20% - Accent3 6 6" xfId="984"/>
    <cellStyle name="20% - Accent3 6 7" xfId="985"/>
    <cellStyle name="20% - Accent3 7" xfId="986"/>
    <cellStyle name="20% - Accent3 7 2" xfId="987"/>
    <cellStyle name="20% - Accent3 7 2 2" xfId="988"/>
    <cellStyle name="20% - Accent3 7 2 2 2" xfId="989"/>
    <cellStyle name="20% - Accent3 7 2 2 3" xfId="990"/>
    <cellStyle name="20% - Accent3 7 2 2 4" xfId="991"/>
    <cellStyle name="20% - Accent3 7 2 3" xfId="992"/>
    <cellStyle name="20% - Accent3 7 2 3 2" xfId="993"/>
    <cellStyle name="20% - Accent3 7 2 3 3" xfId="994"/>
    <cellStyle name="20% - Accent3 7 2 3 4" xfId="995"/>
    <cellStyle name="20% - Accent3 7 2 4" xfId="996"/>
    <cellStyle name="20% - Accent3 7 2 5" xfId="997"/>
    <cellStyle name="20% - Accent3 7 2 6" xfId="998"/>
    <cellStyle name="20% - Accent3 7 3" xfId="999"/>
    <cellStyle name="20% - Accent3 7 3 2" xfId="1000"/>
    <cellStyle name="20% - Accent3 7 3 3" xfId="1001"/>
    <cellStyle name="20% - Accent3 7 3 4" xfId="1002"/>
    <cellStyle name="20% - Accent3 7 4" xfId="1003"/>
    <cellStyle name="20% - Accent3 7 4 2" xfId="1004"/>
    <cellStyle name="20% - Accent3 7 4 3" xfId="1005"/>
    <cellStyle name="20% - Accent3 7 4 4" xfId="1006"/>
    <cellStyle name="20% - Accent3 7 5" xfId="1007"/>
    <cellStyle name="20% - Accent3 7 6" xfId="1008"/>
    <cellStyle name="20% - Accent3 7 7" xfId="1009"/>
    <cellStyle name="20% - Accent3 8" xfId="1010"/>
    <cellStyle name="20% - Accent3 8 2" xfId="1011"/>
    <cellStyle name="20% - Accent3 8 2 2" xfId="1012"/>
    <cellStyle name="20% - Accent3 8 2 3" xfId="1013"/>
    <cellStyle name="20% - Accent3 8 2 4" xfId="1014"/>
    <cellStyle name="20% - Accent3 8 3" xfId="1015"/>
    <cellStyle name="20% - Accent3 8 3 2" xfId="1016"/>
    <cellStyle name="20% - Accent3 8 3 3" xfId="1017"/>
    <cellStyle name="20% - Accent3 8 3 4" xfId="1018"/>
    <cellStyle name="20% - Accent3 8 4" xfId="1019"/>
    <cellStyle name="20% - Accent3 8 5" xfId="1020"/>
    <cellStyle name="20% - Accent3 8 6" xfId="1021"/>
    <cellStyle name="20% - Accent3 9" xfId="1022"/>
    <cellStyle name="20% - Accent3 9 2" xfId="1023"/>
    <cellStyle name="20% - Accent3 9 3" xfId="1024"/>
    <cellStyle name="20% - Accent3 9 4" xfId="1025"/>
    <cellStyle name="20% - Accent4 10" xfId="1026"/>
    <cellStyle name="20% - Accent4 10 2" xfId="1027"/>
    <cellStyle name="20% - Accent4 10 3" xfId="1028"/>
    <cellStyle name="20% - Accent4 10 4" xfId="1029"/>
    <cellStyle name="20% - Accent4 11" xfId="1030"/>
    <cellStyle name="20% - Accent4 11 2" xfId="1031"/>
    <cellStyle name="20% - Accent4 11 3" xfId="1032"/>
    <cellStyle name="20% - Accent4 12" xfId="1033"/>
    <cellStyle name="20% - Accent4 13" xfId="1034"/>
    <cellStyle name="20% - Accent4 14" xfId="1035"/>
    <cellStyle name="20% - Accent4 2" xfId="14"/>
    <cellStyle name="20% - Accent4 2 10" xfId="19854"/>
    <cellStyle name="20% - Accent4 2 10 2" xfId="19855"/>
    <cellStyle name="20% - Accent4 2 11" xfId="19856"/>
    <cellStyle name="20% - Accent4 2 2" xfId="1036"/>
    <cellStyle name="20% - Accent4 2 2 2" xfId="1037"/>
    <cellStyle name="20% - Accent4 2 2 2 2" xfId="1038"/>
    <cellStyle name="20% - Accent4 2 2 2 2 2" xfId="1039"/>
    <cellStyle name="20% - Accent4 2 2 2 2 2 2" xfId="19857"/>
    <cellStyle name="20% - Accent4 2 2 2 2 2 2 2" xfId="19858"/>
    <cellStyle name="20% - Accent4 2 2 2 2 2 2 2 2" xfId="19859"/>
    <cellStyle name="20% - Accent4 2 2 2 2 2 2 3" xfId="19860"/>
    <cellStyle name="20% - Accent4 2 2 2 2 2 3" xfId="19861"/>
    <cellStyle name="20% - Accent4 2 2 2 2 2 3 2" xfId="19862"/>
    <cellStyle name="20% - Accent4 2 2 2 2 2 4" xfId="19863"/>
    <cellStyle name="20% - Accent4 2 2 2 2 2 5" xfId="19864"/>
    <cellStyle name="20% - Accent4 2 2 2 2 3" xfId="1040"/>
    <cellStyle name="20% - Accent4 2 2 2 2 3 2" xfId="19865"/>
    <cellStyle name="20% - Accent4 2 2 2 2 3 2 2" xfId="19866"/>
    <cellStyle name="20% - Accent4 2 2 2 2 3 3" xfId="19867"/>
    <cellStyle name="20% - Accent4 2 2 2 2 4" xfId="19868"/>
    <cellStyle name="20% - Accent4 2 2 2 2 4 2" xfId="19869"/>
    <cellStyle name="20% - Accent4 2 2 2 2 5" xfId="19870"/>
    <cellStyle name="20% - Accent4 2 2 2 2 6" xfId="19871"/>
    <cellStyle name="20% - Accent4 2 2 2 3" xfId="1041"/>
    <cellStyle name="20% - Accent4 2 2 2 3 2" xfId="19872"/>
    <cellStyle name="20% - Accent4 2 2 2 3 2 2" xfId="19873"/>
    <cellStyle name="20% - Accent4 2 2 2 3 2 2 2" xfId="19874"/>
    <cellStyle name="20% - Accent4 2 2 2 3 2 3" xfId="19875"/>
    <cellStyle name="20% - Accent4 2 2 2 3 3" xfId="19876"/>
    <cellStyle name="20% - Accent4 2 2 2 3 3 2" xfId="19877"/>
    <cellStyle name="20% - Accent4 2 2 2 3 4" xfId="19878"/>
    <cellStyle name="20% - Accent4 2 2 2 3 5" xfId="19879"/>
    <cellStyle name="20% - Accent4 2 2 2 4" xfId="1042"/>
    <cellStyle name="20% - Accent4 2 2 2 4 2" xfId="19880"/>
    <cellStyle name="20% - Accent4 2 2 2 4 2 2" xfId="19881"/>
    <cellStyle name="20% - Accent4 2 2 2 4 3" xfId="19882"/>
    <cellStyle name="20% - Accent4 2 2 2 5" xfId="19883"/>
    <cellStyle name="20% - Accent4 2 2 2 5 2" xfId="19884"/>
    <cellStyle name="20% - Accent4 2 2 2 6" xfId="19885"/>
    <cellStyle name="20% - Accent4 2 2 2 7" xfId="19886"/>
    <cellStyle name="20% - Accent4 2 2 3" xfId="1043"/>
    <cellStyle name="20% - Accent4 2 2 3 2" xfId="1044"/>
    <cellStyle name="20% - Accent4 2 2 3 2 2" xfId="19887"/>
    <cellStyle name="20% - Accent4 2 2 3 2 2 2" xfId="19888"/>
    <cellStyle name="20% - Accent4 2 2 3 2 2 2 2" xfId="19889"/>
    <cellStyle name="20% - Accent4 2 2 3 2 2 3" xfId="19890"/>
    <cellStyle name="20% - Accent4 2 2 3 2 3" xfId="19891"/>
    <cellStyle name="20% - Accent4 2 2 3 2 3 2" xfId="19892"/>
    <cellStyle name="20% - Accent4 2 2 3 2 4" xfId="19893"/>
    <cellStyle name="20% - Accent4 2 2 3 2 5" xfId="19894"/>
    <cellStyle name="20% - Accent4 2 2 3 3" xfId="1045"/>
    <cellStyle name="20% - Accent4 2 2 3 3 2" xfId="19895"/>
    <cellStyle name="20% - Accent4 2 2 3 3 2 2" xfId="19896"/>
    <cellStyle name="20% - Accent4 2 2 3 3 3" xfId="19897"/>
    <cellStyle name="20% - Accent4 2 2 3 4" xfId="19898"/>
    <cellStyle name="20% - Accent4 2 2 3 4 2" xfId="19899"/>
    <cellStyle name="20% - Accent4 2 2 3 5" xfId="19900"/>
    <cellStyle name="20% - Accent4 2 2 3 6" xfId="19901"/>
    <cellStyle name="20% - Accent4 2 2 4" xfId="1046"/>
    <cellStyle name="20% - Accent4 2 2 4 2" xfId="19902"/>
    <cellStyle name="20% - Accent4 2 2 4 2 2" xfId="19903"/>
    <cellStyle name="20% - Accent4 2 2 4 2 2 2" xfId="19904"/>
    <cellStyle name="20% - Accent4 2 2 4 2 3" xfId="19905"/>
    <cellStyle name="20% - Accent4 2 2 4 3" xfId="19906"/>
    <cellStyle name="20% - Accent4 2 2 4 3 2" xfId="19907"/>
    <cellStyle name="20% - Accent4 2 2 4 4" xfId="19908"/>
    <cellStyle name="20% - Accent4 2 2 4 5" xfId="19909"/>
    <cellStyle name="20% - Accent4 2 2 5" xfId="1047"/>
    <cellStyle name="20% - Accent4 2 2 5 2" xfId="19910"/>
    <cellStyle name="20% - Accent4 2 2 5 2 2" xfId="19911"/>
    <cellStyle name="20% - Accent4 2 2 5 3" xfId="19912"/>
    <cellStyle name="20% - Accent4 2 2 6" xfId="19096"/>
    <cellStyle name="20% - Accent4 2 2 6 2" xfId="19913"/>
    <cellStyle name="20% - Accent4 2 2 7" xfId="19914"/>
    <cellStyle name="20% - Accent4 2 2 8" xfId="19915"/>
    <cellStyle name="20% - Accent4 2 2 9" xfId="19916"/>
    <cellStyle name="20% - Accent4 2 3" xfId="1048"/>
    <cellStyle name="20% - Accent4 2 3 2" xfId="1049"/>
    <cellStyle name="20% - Accent4 2 3 2 2" xfId="1050"/>
    <cellStyle name="20% - Accent4 2 3 2 2 2" xfId="19917"/>
    <cellStyle name="20% - Accent4 2 3 2 2 2 2" xfId="19918"/>
    <cellStyle name="20% - Accent4 2 3 2 2 2 2 2" xfId="19919"/>
    <cellStyle name="20% - Accent4 2 3 2 2 2 3" xfId="19920"/>
    <cellStyle name="20% - Accent4 2 3 2 2 3" xfId="19921"/>
    <cellStyle name="20% - Accent4 2 3 2 2 3 2" xfId="19922"/>
    <cellStyle name="20% - Accent4 2 3 2 2 4" xfId="19923"/>
    <cellStyle name="20% - Accent4 2 3 2 2 5" xfId="19924"/>
    <cellStyle name="20% - Accent4 2 3 2 3" xfId="1051"/>
    <cellStyle name="20% - Accent4 2 3 2 3 2" xfId="19925"/>
    <cellStyle name="20% - Accent4 2 3 2 3 2 2" xfId="19926"/>
    <cellStyle name="20% - Accent4 2 3 2 3 3" xfId="19927"/>
    <cellStyle name="20% - Accent4 2 3 2 4" xfId="19928"/>
    <cellStyle name="20% - Accent4 2 3 2 4 2" xfId="19929"/>
    <cellStyle name="20% - Accent4 2 3 2 5" xfId="19930"/>
    <cellStyle name="20% - Accent4 2 3 2 6" xfId="19931"/>
    <cellStyle name="20% - Accent4 2 3 3" xfId="1052"/>
    <cellStyle name="20% - Accent4 2 3 3 2" xfId="19932"/>
    <cellStyle name="20% - Accent4 2 3 3 2 2" xfId="19933"/>
    <cellStyle name="20% - Accent4 2 3 3 2 2 2" xfId="19934"/>
    <cellStyle name="20% - Accent4 2 3 3 2 3" xfId="19935"/>
    <cellStyle name="20% - Accent4 2 3 3 3" xfId="19936"/>
    <cellStyle name="20% - Accent4 2 3 3 3 2" xfId="19937"/>
    <cellStyle name="20% - Accent4 2 3 3 4" xfId="19938"/>
    <cellStyle name="20% - Accent4 2 3 3 5" xfId="19939"/>
    <cellStyle name="20% - Accent4 2 3 4" xfId="1053"/>
    <cellStyle name="20% - Accent4 2 3 4 2" xfId="19940"/>
    <cellStyle name="20% - Accent4 2 3 4 2 2" xfId="19941"/>
    <cellStyle name="20% - Accent4 2 3 4 3" xfId="19942"/>
    <cellStyle name="20% - Accent4 2 3 5" xfId="19943"/>
    <cellStyle name="20% - Accent4 2 3 5 2" xfId="19944"/>
    <cellStyle name="20% - Accent4 2 3 6" xfId="19945"/>
    <cellStyle name="20% - Accent4 2 3 7" xfId="19946"/>
    <cellStyle name="20% - Accent4 2 4" xfId="1054"/>
    <cellStyle name="20% - Accent4 2 4 2" xfId="1055"/>
    <cellStyle name="20% - Accent4 2 4 2 2" xfId="19947"/>
    <cellStyle name="20% - Accent4 2 4 2 2 2" xfId="19948"/>
    <cellStyle name="20% - Accent4 2 4 2 2 2 2" xfId="19949"/>
    <cellStyle name="20% - Accent4 2 4 2 2 3" xfId="19950"/>
    <cellStyle name="20% - Accent4 2 4 2 3" xfId="19951"/>
    <cellStyle name="20% - Accent4 2 4 2 3 2" xfId="19952"/>
    <cellStyle name="20% - Accent4 2 4 2 4" xfId="19953"/>
    <cellStyle name="20% - Accent4 2 4 2 5" xfId="19954"/>
    <cellStyle name="20% - Accent4 2 4 3" xfId="1056"/>
    <cellStyle name="20% - Accent4 2 4 3 2" xfId="19955"/>
    <cellStyle name="20% - Accent4 2 4 3 2 2" xfId="19956"/>
    <cellStyle name="20% - Accent4 2 4 3 3" xfId="19957"/>
    <cellStyle name="20% - Accent4 2 4 4" xfId="19958"/>
    <cellStyle name="20% - Accent4 2 4 4 2" xfId="19959"/>
    <cellStyle name="20% - Accent4 2 4 5" xfId="19960"/>
    <cellStyle name="20% - Accent4 2 4 6" xfId="19961"/>
    <cellStyle name="20% - Accent4 2 5" xfId="1057"/>
    <cellStyle name="20% - Accent4 2 5 2" xfId="16681"/>
    <cellStyle name="20% - Accent4 2 5 2 2" xfId="19962"/>
    <cellStyle name="20% - Accent4 2 5 2 2 2" xfId="19963"/>
    <cellStyle name="20% - Accent4 2 5 2 2 2 2" xfId="19964"/>
    <cellStyle name="20% - Accent4 2 5 2 2 3" xfId="19965"/>
    <cellStyle name="20% - Accent4 2 5 2 3" xfId="19966"/>
    <cellStyle name="20% - Accent4 2 5 2 3 2" xfId="19967"/>
    <cellStyle name="20% - Accent4 2 5 2 4" xfId="19968"/>
    <cellStyle name="20% - Accent4 2 5 3" xfId="19969"/>
    <cellStyle name="20% - Accent4 2 5 3 2" xfId="19970"/>
    <cellStyle name="20% - Accent4 2 5 3 2 2" xfId="19971"/>
    <cellStyle name="20% - Accent4 2 5 3 3" xfId="19972"/>
    <cellStyle name="20% - Accent4 2 5 4" xfId="19973"/>
    <cellStyle name="20% - Accent4 2 5 4 2" xfId="19974"/>
    <cellStyle name="20% - Accent4 2 5 5" xfId="19975"/>
    <cellStyle name="20% - Accent4 2 6" xfId="1058"/>
    <cellStyle name="20% - Accent4 2 6 2" xfId="19976"/>
    <cellStyle name="20% - Accent4 2 6 2 2" xfId="19977"/>
    <cellStyle name="20% - Accent4 2 6 2 2 2" xfId="19978"/>
    <cellStyle name="20% - Accent4 2 6 2 3" xfId="19979"/>
    <cellStyle name="20% - Accent4 2 6 3" xfId="19980"/>
    <cellStyle name="20% - Accent4 2 6 3 2" xfId="19981"/>
    <cellStyle name="20% - Accent4 2 6 4" xfId="19982"/>
    <cellStyle name="20% - Accent4 2 6 5" xfId="19983"/>
    <cellStyle name="20% - Accent4 2 7" xfId="1059"/>
    <cellStyle name="20% - Accent4 2 7 2" xfId="19984"/>
    <cellStyle name="20% - Accent4 2 7 2 2" xfId="19985"/>
    <cellStyle name="20% - Accent4 2 7 2 2 2" xfId="19986"/>
    <cellStyle name="20% - Accent4 2 7 2 3" xfId="19987"/>
    <cellStyle name="20% - Accent4 2 7 3" xfId="19988"/>
    <cellStyle name="20% - Accent4 2 7 3 2" xfId="19989"/>
    <cellStyle name="20% - Accent4 2 7 4" xfId="19990"/>
    <cellStyle name="20% - Accent4 2 8" xfId="19991"/>
    <cellStyle name="20% - Accent4 2 8 2" xfId="19992"/>
    <cellStyle name="20% - Accent4 2 8 2 2" xfId="19993"/>
    <cellStyle name="20% - Accent4 2 8 2 2 2" xfId="19994"/>
    <cellStyle name="20% - Accent4 2 8 2 3" xfId="19995"/>
    <cellStyle name="20% - Accent4 2 8 3" xfId="19996"/>
    <cellStyle name="20% - Accent4 2 8 3 2" xfId="19997"/>
    <cellStyle name="20% - Accent4 2 8 4" xfId="19998"/>
    <cellStyle name="20% - Accent4 2 9" xfId="19999"/>
    <cellStyle name="20% - Accent4 2 9 2" xfId="20000"/>
    <cellStyle name="20% - Accent4 2 9 2 2" xfId="20001"/>
    <cellStyle name="20% - Accent4 2 9 3" xfId="20002"/>
    <cellStyle name="20% - Accent4 3" xfId="15"/>
    <cellStyle name="20% - Accent4 3 10" xfId="1060"/>
    <cellStyle name="20% - Accent4 3 11" xfId="1061"/>
    <cellStyle name="20% - Accent4 3 12" xfId="20003"/>
    <cellStyle name="20% - Accent4 3 2" xfId="1062"/>
    <cellStyle name="20% - Accent4 3 2 2" xfId="1063"/>
    <cellStyle name="20% - Accent4 3 2 2 2" xfId="1064"/>
    <cellStyle name="20% - Accent4 3 2 2 2 2" xfId="1065"/>
    <cellStyle name="20% - Accent4 3 2 2 2 2 2" xfId="1066"/>
    <cellStyle name="20% - Accent4 3 2 2 2 2 2 2" xfId="20004"/>
    <cellStyle name="20% - Accent4 3 2 2 2 2 3" xfId="1067"/>
    <cellStyle name="20% - Accent4 3 2 2 2 2 4" xfId="1068"/>
    <cellStyle name="20% - Accent4 3 2 2 2 3" xfId="1069"/>
    <cellStyle name="20% - Accent4 3 2 2 2 3 2" xfId="1070"/>
    <cellStyle name="20% - Accent4 3 2 2 2 3 3" xfId="1071"/>
    <cellStyle name="20% - Accent4 3 2 2 2 3 4" xfId="1072"/>
    <cellStyle name="20% - Accent4 3 2 2 2 4" xfId="1073"/>
    <cellStyle name="20% - Accent4 3 2 2 2 5" xfId="1074"/>
    <cellStyle name="20% - Accent4 3 2 2 2 6" xfId="1075"/>
    <cellStyle name="20% - Accent4 3 2 2 3" xfId="1076"/>
    <cellStyle name="20% - Accent4 3 2 2 3 2" xfId="1077"/>
    <cellStyle name="20% - Accent4 3 2 2 3 2 2" xfId="20005"/>
    <cellStyle name="20% - Accent4 3 2 2 3 3" xfId="1078"/>
    <cellStyle name="20% - Accent4 3 2 2 3 4" xfId="1079"/>
    <cellStyle name="20% - Accent4 3 2 2 4" xfId="1080"/>
    <cellStyle name="20% - Accent4 3 2 2 4 2" xfId="1081"/>
    <cellStyle name="20% - Accent4 3 2 2 4 3" xfId="1082"/>
    <cellStyle name="20% - Accent4 3 2 2 4 4" xfId="1083"/>
    <cellStyle name="20% - Accent4 3 2 2 5" xfId="1084"/>
    <cellStyle name="20% - Accent4 3 2 2 6" xfId="1085"/>
    <cellStyle name="20% - Accent4 3 2 2 7" xfId="1086"/>
    <cellStyle name="20% - Accent4 3 2 3" xfId="1087"/>
    <cellStyle name="20% - Accent4 3 2 3 2" xfId="1088"/>
    <cellStyle name="20% - Accent4 3 2 3 2 2" xfId="1089"/>
    <cellStyle name="20% - Accent4 3 2 3 2 2 2" xfId="20006"/>
    <cellStyle name="20% - Accent4 3 2 3 2 3" xfId="1090"/>
    <cellStyle name="20% - Accent4 3 2 3 2 4" xfId="1091"/>
    <cellStyle name="20% - Accent4 3 2 3 3" xfId="1092"/>
    <cellStyle name="20% - Accent4 3 2 3 3 2" xfId="1093"/>
    <cellStyle name="20% - Accent4 3 2 3 3 3" xfId="1094"/>
    <cellStyle name="20% - Accent4 3 2 3 3 4" xfId="1095"/>
    <cellStyle name="20% - Accent4 3 2 3 4" xfId="1096"/>
    <cellStyle name="20% - Accent4 3 2 3 5" xfId="1097"/>
    <cellStyle name="20% - Accent4 3 2 3 6" xfId="1098"/>
    <cellStyle name="20% - Accent4 3 2 4" xfId="1099"/>
    <cellStyle name="20% - Accent4 3 2 4 2" xfId="1100"/>
    <cellStyle name="20% - Accent4 3 2 4 2 2" xfId="20007"/>
    <cellStyle name="20% - Accent4 3 2 4 3" xfId="1101"/>
    <cellStyle name="20% - Accent4 3 2 4 4" xfId="1102"/>
    <cellStyle name="20% - Accent4 3 2 5" xfId="1103"/>
    <cellStyle name="20% - Accent4 3 2 5 2" xfId="1104"/>
    <cellStyle name="20% - Accent4 3 2 5 3" xfId="1105"/>
    <cellStyle name="20% - Accent4 3 2 5 4" xfId="1106"/>
    <cellStyle name="20% - Accent4 3 2 6" xfId="1107"/>
    <cellStyle name="20% - Accent4 3 2 7" xfId="1108"/>
    <cellStyle name="20% - Accent4 3 2 8" xfId="1109"/>
    <cellStyle name="20% - Accent4 3 2 9" xfId="20008"/>
    <cellStyle name="20% - Accent4 3 3" xfId="1110"/>
    <cellStyle name="20% - Accent4 3 3 2" xfId="1111"/>
    <cellStyle name="20% - Accent4 3 3 2 2" xfId="1112"/>
    <cellStyle name="20% - Accent4 3 3 2 2 2" xfId="1113"/>
    <cellStyle name="20% - Accent4 3 3 2 2 2 2" xfId="20009"/>
    <cellStyle name="20% - Accent4 3 3 2 2 3" xfId="1114"/>
    <cellStyle name="20% - Accent4 3 3 2 2 4" xfId="1115"/>
    <cellStyle name="20% - Accent4 3 3 2 3" xfId="1116"/>
    <cellStyle name="20% - Accent4 3 3 2 3 2" xfId="1117"/>
    <cellStyle name="20% - Accent4 3 3 2 3 3" xfId="1118"/>
    <cellStyle name="20% - Accent4 3 3 2 3 4" xfId="1119"/>
    <cellStyle name="20% - Accent4 3 3 2 4" xfId="1120"/>
    <cellStyle name="20% - Accent4 3 3 2 5" xfId="1121"/>
    <cellStyle name="20% - Accent4 3 3 2 6" xfId="1122"/>
    <cellStyle name="20% - Accent4 3 3 3" xfId="1123"/>
    <cellStyle name="20% - Accent4 3 3 3 2" xfId="1124"/>
    <cellStyle name="20% - Accent4 3 3 3 2 2" xfId="20010"/>
    <cellStyle name="20% - Accent4 3 3 3 3" xfId="1125"/>
    <cellStyle name="20% - Accent4 3 3 3 4" xfId="1126"/>
    <cellStyle name="20% - Accent4 3 3 4" xfId="1127"/>
    <cellStyle name="20% - Accent4 3 3 4 2" xfId="1128"/>
    <cellStyle name="20% - Accent4 3 3 4 3" xfId="1129"/>
    <cellStyle name="20% - Accent4 3 3 4 4" xfId="1130"/>
    <cellStyle name="20% - Accent4 3 3 5" xfId="1131"/>
    <cellStyle name="20% - Accent4 3 3 6" xfId="1132"/>
    <cellStyle name="20% - Accent4 3 3 7" xfId="1133"/>
    <cellStyle name="20% - Accent4 3 4" xfId="1134"/>
    <cellStyle name="20% - Accent4 3 4 2" xfId="1135"/>
    <cellStyle name="20% - Accent4 3 4 2 2" xfId="1136"/>
    <cellStyle name="20% - Accent4 3 4 2 2 2" xfId="1137"/>
    <cellStyle name="20% - Accent4 3 4 2 2 2 2" xfId="20011"/>
    <cellStyle name="20% - Accent4 3 4 2 2 3" xfId="1138"/>
    <cellStyle name="20% - Accent4 3 4 2 2 4" xfId="1139"/>
    <cellStyle name="20% - Accent4 3 4 2 3" xfId="1140"/>
    <cellStyle name="20% - Accent4 3 4 2 3 2" xfId="1141"/>
    <cellStyle name="20% - Accent4 3 4 2 3 3" xfId="1142"/>
    <cellStyle name="20% - Accent4 3 4 2 3 4" xfId="1143"/>
    <cellStyle name="20% - Accent4 3 4 2 4" xfId="1144"/>
    <cellStyle name="20% - Accent4 3 4 2 5" xfId="1145"/>
    <cellStyle name="20% - Accent4 3 4 2 6" xfId="1146"/>
    <cellStyle name="20% - Accent4 3 4 3" xfId="1147"/>
    <cellStyle name="20% - Accent4 3 4 3 2" xfId="1148"/>
    <cellStyle name="20% - Accent4 3 4 3 2 2" xfId="20012"/>
    <cellStyle name="20% - Accent4 3 4 3 3" xfId="1149"/>
    <cellStyle name="20% - Accent4 3 4 3 4" xfId="1150"/>
    <cellStyle name="20% - Accent4 3 4 4" xfId="1151"/>
    <cellStyle name="20% - Accent4 3 4 4 2" xfId="1152"/>
    <cellStyle name="20% - Accent4 3 4 4 3" xfId="1153"/>
    <cellStyle name="20% - Accent4 3 4 4 4" xfId="1154"/>
    <cellStyle name="20% - Accent4 3 4 5" xfId="1155"/>
    <cellStyle name="20% - Accent4 3 4 6" xfId="1156"/>
    <cellStyle name="20% - Accent4 3 4 7" xfId="1157"/>
    <cellStyle name="20% - Accent4 3 5" xfId="1158"/>
    <cellStyle name="20% - Accent4 3 5 2" xfId="1159"/>
    <cellStyle name="20% - Accent4 3 5 2 2" xfId="1160"/>
    <cellStyle name="20% - Accent4 3 5 2 2 2" xfId="1161"/>
    <cellStyle name="20% - Accent4 3 5 2 2 3" xfId="1162"/>
    <cellStyle name="20% - Accent4 3 5 2 2 4" xfId="1163"/>
    <cellStyle name="20% - Accent4 3 5 2 3" xfId="1164"/>
    <cellStyle name="20% - Accent4 3 5 2 3 2" xfId="1165"/>
    <cellStyle name="20% - Accent4 3 5 2 3 3" xfId="1166"/>
    <cellStyle name="20% - Accent4 3 5 2 3 4" xfId="1167"/>
    <cellStyle name="20% - Accent4 3 5 2 4" xfId="1168"/>
    <cellStyle name="20% - Accent4 3 5 2 5" xfId="1169"/>
    <cellStyle name="20% - Accent4 3 5 2 6" xfId="1170"/>
    <cellStyle name="20% - Accent4 3 5 3" xfId="1171"/>
    <cellStyle name="20% - Accent4 3 5 3 2" xfId="1172"/>
    <cellStyle name="20% - Accent4 3 5 3 3" xfId="1173"/>
    <cellStyle name="20% - Accent4 3 5 3 4" xfId="1174"/>
    <cellStyle name="20% - Accent4 3 5 4" xfId="1175"/>
    <cellStyle name="20% - Accent4 3 5 4 2" xfId="1176"/>
    <cellStyle name="20% - Accent4 3 5 4 3" xfId="1177"/>
    <cellStyle name="20% - Accent4 3 5 4 4" xfId="1178"/>
    <cellStyle name="20% - Accent4 3 5 5" xfId="1179"/>
    <cellStyle name="20% - Accent4 3 5 6" xfId="1180"/>
    <cellStyle name="20% - Accent4 3 5 7" xfId="1181"/>
    <cellStyle name="20% - Accent4 3 6" xfId="1182"/>
    <cellStyle name="20% - Accent4 3 6 2" xfId="1183"/>
    <cellStyle name="20% - Accent4 3 6 2 2" xfId="1184"/>
    <cellStyle name="20% - Accent4 3 6 2 2 2" xfId="20013"/>
    <cellStyle name="20% - Accent4 3 6 2 3" xfId="1185"/>
    <cellStyle name="20% - Accent4 3 6 2 4" xfId="1186"/>
    <cellStyle name="20% - Accent4 3 6 3" xfId="1187"/>
    <cellStyle name="20% - Accent4 3 6 3 2" xfId="1188"/>
    <cellStyle name="20% - Accent4 3 6 3 3" xfId="1189"/>
    <cellStyle name="20% - Accent4 3 6 3 4" xfId="1190"/>
    <cellStyle name="20% - Accent4 3 6 4" xfId="1191"/>
    <cellStyle name="20% - Accent4 3 6 5" xfId="1192"/>
    <cellStyle name="20% - Accent4 3 6 6" xfId="1193"/>
    <cellStyle name="20% - Accent4 3 7" xfId="1194"/>
    <cellStyle name="20% - Accent4 3 7 2" xfId="1195"/>
    <cellStyle name="20% - Accent4 3 7 2 2" xfId="20014"/>
    <cellStyle name="20% - Accent4 3 7 2 2 2" xfId="20015"/>
    <cellStyle name="20% - Accent4 3 7 2 3" xfId="20016"/>
    <cellStyle name="20% - Accent4 3 7 3" xfId="1196"/>
    <cellStyle name="20% - Accent4 3 7 3 2" xfId="20017"/>
    <cellStyle name="20% - Accent4 3 7 4" xfId="1197"/>
    <cellStyle name="20% - Accent4 3 8" xfId="1198"/>
    <cellStyle name="20% - Accent4 3 8 2" xfId="1199"/>
    <cellStyle name="20% - Accent4 3 8 2 2" xfId="20018"/>
    <cellStyle name="20% - Accent4 3 8 3" xfId="1200"/>
    <cellStyle name="20% - Accent4 3 8 4" xfId="1201"/>
    <cellStyle name="20% - Accent4 3 9" xfId="1202"/>
    <cellStyle name="20% - Accent4 3 9 2" xfId="20019"/>
    <cellStyle name="20% - Accent4 4" xfId="16"/>
    <cellStyle name="20% - Accent4 4 2" xfId="1203"/>
    <cellStyle name="20% - Accent4 4 2 2" xfId="1204"/>
    <cellStyle name="20% - Accent4 4 2 2 2" xfId="1205"/>
    <cellStyle name="20% - Accent4 4 2 2 2 2" xfId="1206"/>
    <cellStyle name="20% - Accent4 4 2 2 2 2 2" xfId="20020"/>
    <cellStyle name="20% - Accent4 4 2 2 2 3" xfId="1207"/>
    <cellStyle name="20% - Accent4 4 2 2 2 4" xfId="1208"/>
    <cellStyle name="20% - Accent4 4 2 2 3" xfId="1209"/>
    <cellStyle name="20% - Accent4 4 2 2 3 2" xfId="1210"/>
    <cellStyle name="20% - Accent4 4 2 2 3 3" xfId="1211"/>
    <cellStyle name="20% - Accent4 4 2 2 3 4" xfId="1212"/>
    <cellStyle name="20% - Accent4 4 2 2 4" xfId="1213"/>
    <cellStyle name="20% - Accent4 4 2 2 5" xfId="1214"/>
    <cellStyle name="20% - Accent4 4 2 2 6" xfId="1215"/>
    <cellStyle name="20% - Accent4 4 2 3" xfId="1216"/>
    <cellStyle name="20% - Accent4 4 2 3 2" xfId="1217"/>
    <cellStyle name="20% - Accent4 4 2 3 2 2" xfId="20021"/>
    <cellStyle name="20% - Accent4 4 2 3 3" xfId="1218"/>
    <cellStyle name="20% - Accent4 4 2 3 4" xfId="1219"/>
    <cellStyle name="20% - Accent4 4 2 4" xfId="1220"/>
    <cellStyle name="20% - Accent4 4 2 4 2" xfId="1221"/>
    <cellStyle name="20% - Accent4 4 2 4 3" xfId="1222"/>
    <cellStyle name="20% - Accent4 4 2 4 4" xfId="1223"/>
    <cellStyle name="20% - Accent4 4 2 5" xfId="1224"/>
    <cellStyle name="20% - Accent4 4 2 6" xfId="1225"/>
    <cellStyle name="20% - Accent4 4 2 7" xfId="1226"/>
    <cellStyle name="20% - Accent4 4 2 8" xfId="20022"/>
    <cellStyle name="20% - Accent4 4 3" xfId="1227"/>
    <cellStyle name="20% - Accent4 4 3 2" xfId="1228"/>
    <cellStyle name="20% - Accent4 4 3 2 2" xfId="1229"/>
    <cellStyle name="20% - Accent4 4 3 2 2 2" xfId="20023"/>
    <cellStyle name="20% - Accent4 4 3 2 3" xfId="1230"/>
    <cellStyle name="20% - Accent4 4 3 2 4" xfId="1231"/>
    <cellStyle name="20% - Accent4 4 3 3" xfId="1232"/>
    <cellStyle name="20% - Accent4 4 3 3 2" xfId="1233"/>
    <cellStyle name="20% - Accent4 4 3 3 3" xfId="1234"/>
    <cellStyle name="20% - Accent4 4 3 3 4" xfId="1235"/>
    <cellStyle name="20% - Accent4 4 3 4" xfId="1236"/>
    <cellStyle name="20% - Accent4 4 3 5" xfId="1237"/>
    <cellStyle name="20% - Accent4 4 3 6" xfId="1238"/>
    <cellStyle name="20% - Accent4 4 4" xfId="1239"/>
    <cellStyle name="20% - Accent4 4 4 2" xfId="1240"/>
    <cellStyle name="20% - Accent4 4 4 2 2" xfId="20024"/>
    <cellStyle name="20% - Accent4 4 4 3" xfId="1241"/>
    <cellStyle name="20% - Accent4 4 4 4" xfId="1242"/>
    <cellStyle name="20% - Accent4 4 5" xfId="1243"/>
    <cellStyle name="20% - Accent4 4 5 2" xfId="1244"/>
    <cellStyle name="20% - Accent4 4 5 3" xfId="1245"/>
    <cellStyle name="20% - Accent4 4 5 4" xfId="1246"/>
    <cellStyle name="20% - Accent4 4 6" xfId="1247"/>
    <cellStyle name="20% - Accent4 4 7" xfId="1248"/>
    <cellStyle name="20% - Accent4 4 8" xfId="1249"/>
    <cellStyle name="20% - Accent4 4 9" xfId="20025"/>
    <cellStyle name="20% - Accent4 5" xfId="1250"/>
    <cellStyle name="20% - Accent4 5 10" xfId="20026"/>
    <cellStyle name="20% - Accent4 5 2" xfId="1251"/>
    <cellStyle name="20% - Accent4 5 2 2" xfId="1252"/>
    <cellStyle name="20% - Accent4 5 2 2 2" xfId="1253"/>
    <cellStyle name="20% - Accent4 5 2 2 2 2" xfId="20027"/>
    <cellStyle name="20% - Accent4 5 2 2 3" xfId="1254"/>
    <cellStyle name="20% - Accent4 5 2 2 4" xfId="1255"/>
    <cellStyle name="20% - Accent4 5 2 3" xfId="1256"/>
    <cellStyle name="20% - Accent4 5 2 3 2" xfId="1257"/>
    <cellStyle name="20% - Accent4 5 2 3 3" xfId="1258"/>
    <cellStyle name="20% - Accent4 5 2 3 4" xfId="1259"/>
    <cellStyle name="20% - Accent4 5 2 4" xfId="1260"/>
    <cellStyle name="20% - Accent4 5 2 5" xfId="1261"/>
    <cellStyle name="20% - Accent4 5 2 6" xfId="1262"/>
    <cellStyle name="20% - Accent4 5 2 7" xfId="20028"/>
    <cellStyle name="20% - Accent4 5 2 8" xfId="20029"/>
    <cellStyle name="20% - Accent4 5 3" xfId="1263"/>
    <cellStyle name="20% - Accent4 5 3 2" xfId="1264"/>
    <cellStyle name="20% - Accent4 5 3 2 2" xfId="20030"/>
    <cellStyle name="20% - Accent4 5 3 3" xfId="1265"/>
    <cellStyle name="20% - Accent4 5 3 4" xfId="1266"/>
    <cellStyle name="20% - Accent4 5 4" xfId="1267"/>
    <cellStyle name="20% - Accent4 5 4 2" xfId="1268"/>
    <cellStyle name="20% - Accent4 5 4 3" xfId="1269"/>
    <cellStyle name="20% - Accent4 5 4 4" xfId="1270"/>
    <cellStyle name="20% - Accent4 5 5" xfId="1271"/>
    <cellStyle name="20% - Accent4 5 6" xfId="1272"/>
    <cellStyle name="20% - Accent4 5 7" xfId="1273"/>
    <cellStyle name="20% - Accent4 5 8" xfId="20031"/>
    <cellStyle name="20% - Accent4 5 9" xfId="20032"/>
    <cellStyle name="20% - Accent4 6" xfId="1274"/>
    <cellStyle name="20% - Accent4 6 2" xfId="1275"/>
    <cellStyle name="20% - Accent4 6 2 2" xfId="1276"/>
    <cellStyle name="20% - Accent4 6 2 2 2" xfId="1277"/>
    <cellStyle name="20% - Accent4 6 2 2 3" xfId="1278"/>
    <cellStyle name="20% - Accent4 6 2 2 4" xfId="1279"/>
    <cellStyle name="20% - Accent4 6 2 3" xfId="1280"/>
    <cellStyle name="20% - Accent4 6 2 3 2" xfId="1281"/>
    <cellStyle name="20% - Accent4 6 2 3 3" xfId="1282"/>
    <cellStyle name="20% - Accent4 6 2 3 4" xfId="1283"/>
    <cellStyle name="20% - Accent4 6 2 4" xfId="1284"/>
    <cellStyle name="20% - Accent4 6 2 5" xfId="1285"/>
    <cellStyle name="20% - Accent4 6 2 6" xfId="1286"/>
    <cellStyle name="20% - Accent4 6 3" xfId="1287"/>
    <cellStyle name="20% - Accent4 6 3 2" xfId="1288"/>
    <cellStyle name="20% - Accent4 6 3 3" xfId="1289"/>
    <cellStyle name="20% - Accent4 6 3 4" xfId="1290"/>
    <cellStyle name="20% - Accent4 6 4" xfId="1291"/>
    <cellStyle name="20% - Accent4 6 4 2" xfId="1292"/>
    <cellStyle name="20% - Accent4 6 4 3" xfId="1293"/>
    <cellStyle name="20% - Accent4 6 4 4" xfId="1294"/>
    <cellStyle name="20% - Accent4 6 5" xfId="1295"/>
    <cellStyle name="20% - Accent4 6 6" xfId="1296"/>
    <cellStyle name="20% - Accent4 6 7" xfId="1297"/>
    <cellStyle name="20% - Accent4 7" xfId="1298"/>
    <cellStyle name="20% - Accent4 7 2" xfId="1299"/>
    <cellStyle name="20% - Accent4 7 2 2" xfId="1300"/>
    <cellStyle name="20% - Accent4 7 2 2 2" xfId="1301"/>
    <cellStyle name="20% - Accent4 7 2 2 3" xfId="1302"/>
    <cellStyle name="20% - Accent4 7 2 2 4" xfId="1303"/>
    <cellStyle name="20% - Accent4 7 2 3" xfId="1304"/>
    <cellStyle name="20% - Accent4 7 2 3 2" xfId="1305"/>
    <cellStyle name="20% - Accent4 7 2 3 3" xfId="1306"/>
    <cellStyle name="20% - Accent4 7 2 3 4" xfId="1307"/>
    <cellStyle name="20% - Accent4 7 2 4" xfId="1308"/>
    <cellStyle name="20% - Accent4 7 2 5" xfId="1309"/>
    <cellStyle name="20% - Accent4 7 2 6" xfId="1310"/>
    <cellStyle name="20% - Accent4 7 3" xfId="1311"/>
    <cellStyle name="20% - Accent4 7 3 2" xfId="1312"/>
    <cellStyle name="20% - Accent4 7 3 3" xfId="1313"/>
    <cellStyle name="20% - Accent4 7 3 4" xfId="1314"/>
    <cellStyle name="20% - Accent4 7 4" xfId="1315"/>
    <cellStyle name="20% - Accent4 7 4 2" xfId="1316"/>
    <cellStyle name="20% - Accent4 7 4 3" xfId="1317"/>
    <cellStyle name="20% - Accent4 7 4 4" xfId="1318"/>
    <cellStyle name="20% - Accent4 7 5" xfId="1319"/>
    <cellStyle name="20% - Accent4 7 6" xfId="1320"/>
    <cellStyle name="20% - Accent4 7 7" xfId="1321"/>
    <cellStyle name="20% - Accent4 8" xfId="1322"/>
    <cellStyle name="20% - Accent4 8 2" xfId="1323"/>
    <cellStyle name="20% - Accent4 8 2 2" xfId="1324"/>
    <cellStyle name="20% - Accent4 8 2 3" xfId="1325"/>
    <cellStyle name="20% - Accent4 8 2 4" xfId="1326"/>
    <cellStyle name="20% - Accent4 8 3" xfId="1327"/>
    <cellStyle name="20% - Accent4 8 3 2" xfId="1328"/>
    <cellStyle name="20% - Accent4 8 3 3" xfId="1329"/>
    <cellStyle name="20% - Accent4 8 3 4" xfId="1330"/>
    <cellStyle name="20% - Accent4 8 4" xfId="1331"/>
    <cellStyle name="20% - Accent4 8 5" xfId="1332"/>
    <cellStyle name="20% - Accent4 8 6" xfId="1333"/>
    <cellStyle name="20% - Accent4 9" xfId="1334"/>
    <cellStyle name="20% - Accent4 9 2" xfId="1335"/>
    <cellStyle name="20% - Accent4 9 3" xfId="1336"/>
    <cellStyle name="20% - Accent4 9 4" xfId="1337"/>
    <cellStyle name="20% - Accent5 10" xfId="1338"/>
    <cellStyle name="20% - Accent5 10 2" xfId="1339"/>
    <cellStyle name="20% - Accent5 10 3" xfId="1340"/>
    <cellStyle name="20% - Accent5 10 4" xfId="1341"/>
    <cellStyle name="20% - Accent5 11" xfId="1342"/>
    <cellStyle name="20% - Accent5 11 2" xfId="1343"/>
    <cellStyle name="20% - Accent5 11 3" xfId="1344"/>
    <cellStyle name="20% - Accent5 12" xfId="1345"/>
    <cellStyle name="20% - Accent5 13" xfId="1346"/>
    <cellStyle name="20% - Accent5 14" xfId="1347"/>
    <cellStyle name="20% - Accent5 2" xfId="17"/>
    <cellStyle name="20% - Accent5 2 2" xfId="1348"/>
    <cellStyle name="20% - Accent5 2 2 2" xfId="1349"/>
    <cellStyle name="20% - Accent5 2 2 2 2" xfId="1350"/>
    <cellStyle name="20% - Accent5 2 2 2 2 2" xfId="1351"/>
    <cellStyle name="20% - Accent5 2 2 2 2 2 2" xfId="20033"/>
    <cellStyle name="20% - Accent5 2 2 2 2 2 2 2" xfId="20034"/>
    <cellStyle name="20% - Accent5 2 2 2 2 2 2 2 2" xfId="20035"/>
    <cellStyle name="20% - Accent5 2 2 2 2 2 2 3" xfId="20036"/>
    <cellStyle name="20% - Accent5 2 2 2 2 2 3" xfId="20037"/>
    <cellStyle name="20% - Accent5 2 2 2 2 2 3 2" xfId="20038"/>
    <cellStyle name="20% - Accent5 2 2 2 2 2 4" xfId="20039"/>
    <cellStyle name="20% - Accent5 2 2 2 2 2 5" xfId="20040"/>
    <cellStyle name="20% - Accent5 2 2 2 2 3" xfId="1352"/>
    <cellStyle name="20% - Accent5 2 2 2 2 3 2" xfId="20041"/>
    <cellStyle name="20% - Accent5 2 2 2 2 3 2 2" xfId="20042"/>
    <cellStyle name="20% - Accent5 2 2 2 2 3 3" xfId="20043"/>
    <cellStyle name="20% - Accent5 2 2 2 2 4" xfId="20044"/>
    <cellStyle name="20% - Accent5 2 2 2 2 4 2" xfId="20045"/>
    <cellStyle name="20% - Accent5 2 2 2 2 5" xfId="20046"/>
    <cellStyle name="20% - Accent5 2 2 2 2 6" xfId="20047"/>
    <cellStyle name="20% - Accent5 2 2 2 3" xfId="1353"/>
    <cellStyle name="20% - Accent5 2 2 2 3 2" xfId="20048"/>
    <cellStyle name="20% - Accent5 2 2 2 3 2 2" xfId="20049"/>
    <cellStyle name="20% - Accent5 2 2 2 3 2 2 2" xfId="20050"/>
    <cellStyle name="20% - Accent5 2 2 2 3 2 3" xfId="20051"/>
    <cellStyle name="20% - Accent5 2 2 2 3 3" xfId="20052"/>
    <cellStyle name="20% - Accent5 2 2 2 3 3 2" xfId="20053"/>
    <cellStyle name="20% - Accent5 2 2 2 3 4" xfId="20054"/>
    <cellStyle name="20% - Accent5 2 2 2 3 5" xfId="20055"/>
    <cellStyle name="20% - Accent5 2 2 2 4" xfId="1354"/>
    <cellStyle name="20% - Accent5 2 2 2 4 2" xfId="20056"/>
    <cellStyle name="20% - Accent5 2 2 2 4 2 2" xfId="20057"/>
    <cellStyle name="20% - Accent5 2 2 2 4 3" xfId="20058"/>
    <cellStyle name="20% - Accent5 2 2 2 5" xfId="20059"/>
    <cellStyle name="20% - Accent5 2 2 2 5 2" xfId="20060"/>
    <cellStyle name="20% - Accent5 2 2 2 6" xfId="20061"/>
    <cellStyle name="20% - Accent5 2 2 2 7" xfId="20062"/>
    <cellStyle name="20% - Accent5 2 2 3" xfId="1355"/>
    <cellStyle name="20% - Accent5 2 2 3 2" xfId="1356"/>
    <cellStyle name="20% - Accent5 2 2 3 2 2" xfId="20063"/>
    <cellStyle name="20% - Accent5 2 2 3 2 2 2" xfId="20064"/>
    <cellStyle name="20% - Accent5 2 2 3 2 2 2 2" xfId="20065"/>
    <cellStyle name="20% - Accent5 2 2 3 2 2 3" xfId="20066"/>
    <cellStyle name="20% - Accent5 2 2 3 2 3" xfId="20067"/>
    <cellStyle name="20% - Accent5 2 2 3 2 3 2" xfId="20068"/>
    <cellStyle name="20% - Accent5 2 2 3 2 4" xfId="20069"/>
    <cellStyle name="20% - Accent5 2 2 3 2 5" xfId="20070"/>
    <cellStyle name="20% - Accent5 2 2 3 3" xfId="1357"/>
    <cellStyle name="20% - Accent5 2 2 3 3 2" xfId="20071"/>
    <cellStyle name="20% - Accent5 2 2 3 3 2 2" xfId="20072"/>
    <cellStyle name="20% - Accent5 2 2 3 3 3" xfId="20073"/>
    <cellStyle name="20% - Accent5 2 2 3 4" xfId="20074"/>
    <cellStyle name="20% - Accent5 2 2 3 4 2" xfId="20075"/>
    <cellStyle name="20% - Accent5 2 2 3 5" xfId="20076"/>
    <cellStyle name="20% - Accent5 2 2 3 6" xfId="20077"/>
    <cellStyle name="20% - Accent5 2 2 4" xfId="1358"/>
    <cellStyle name="20% - Accent5 2 2 4 2" xfId="20078"/>
    <cellStyle name="20% - Accent5 2 2 4 2 2" xfId="20079"/>
    <cellStyle name="20% - Accent5 2 2 4 2 2 2" xfId="20080"/>
    <cellStyle name="20% - Accent5 2 2 4 2 3" xfId="20081"/>
    <cellStyle name="20% - Accent5 2 2 4 3" xfId="20082"/>
    <cellStyle name="20% - Accent5 2 2 4 3 2" xfId="20083"/>
    <cellStyle name="20% - Accent5 2 2 4 4" xfId="20084"/>
    <cellStyle name="20% - Accent5 2 2 4 5" xfId="20085"/>
    <cellStyle name="20% - Accent5 2 2 5" xfId="1359"/>
    <cellStyle name="20% - Accent5 2 2 5 2" xfId="20086"/>
    <cellStyle name="20% - Accent5 2 2 5 2 2" xfId="20087"/>
    <cellStyle name="20% - Accent5 2 2 5 3" xfId="20088"/>
    <cellStyle name="20% - Accent5 2 2 6" xfId="19097"/>
    <cellStyle name="20% - Accent5 2 2 6 2" xfId="20089"/>
    <cellStyle name="20% - Accent5 2 2 7" xfId="20090"/>
    <cellStyle name="20% - Accent5 2 2 8" xfId="20091"/>
    <cellStyle name="20% - Accent5 2 3" xfId="1360"/>
    <cellStyle name="20% - Accent5 2 3 2" xfId="1361"/>
    <cellStyle name="20% - Accent5 2 3 2 2" xfId="1362"/>
    <cellStyle name="20% - Accent5 2 3 2 2 2" xfId="20092"/>
    <cellStyle name="20% - Accent5 2 3 2 2 2 2" xfId="20093"/>
    <cellStyle name="20% - Accent5 2 3 2 2 2 2 2" xfId="20094"/>
    <cellStyle name="20% - Accent5 2 3 2 2 2 3" xfId="20095"/>
    <cellStyle name="20% - Accent5 2 3 2 2 3" xfId="20096"/>
    <cellStyle name="20% - Accent5 2 3 2 2 3 2" xfId="20097"/>
    <cellStyle name="20% - Accent5 2 3 2 2 4" xfId="20098"/>
    <cellStyle name="20% - Accent5 2 3 2 2 5" xfId="20099"/>
    <cellStyle name="20% - Accent5 2 3 2 3" xfId="1363"/>
    <cellStyle name="20% - Accent5 2 3 2 3 2" xfId="20100"/>
    <cellStyle name="20% - Accent5 2 3 2 3 2 2" xfId="20101"/>
    <cellStyle name="20% - Accent5 2 3 2 3 3" xfId="20102"/>
    <cellStyle name="20% - Accent5 2 3 2 4" xfId="20103"/>
    <cellStyle name="20% - Accent5 2 3 2 4 2" xfId="20104"/>
    <cellStyle name="20% - Accent5 2 3 2 5" xfId="20105"/>
    <cellStyle name="20% - Accent5 2 3 2 6" xfId="20106"/>
    <cellStyle name="20% - Accent5 2 3 3" xfId="1364"/>
    <cellStyle name="20% - Accent5 2 3 3 2" xfId="20107"/>
    <cellStyle name="20% - Accent5 2 3 3 2 2" xfId="20108"/>
    <cellStyle name="20% - Accent5 2 3 3 2 2 2" xfId="20109"/>
    <cellStyle name="20% - Accent5 2 3 3 2 3" xfId="20110"/>
    <cellStyle name="20% - Accent5 2 3 3 3" xfId="20111"/>
    <cellStyle name="20% - Accent5 2 3 3 3 2" xfId="20112"/>
    <cellStyle name="20% - Accent5 2 3 3 4" xfId="20113"/>
    <cellStyle name="20% - Accent5 2 3 3 5" xfId="20114"/>
    <cellStyle name="20% - Accent5 2 3 4" xfId="1365"/>
    <cellStyle name="20% - Accent5 2 3 4 2" xfId="20115"/>
    <cellStyle name="20% - Accent5 2 3 4 2 2" xfId="20116"/>
    <cellStyle name="20% - Accent5 2 3 4 3" xfId="20117"/>
    <cellStyle name="20% - Accent5 2 3 5" xfId="20118"/>
    <cellStyle name="20% - Accent5 2 3 5 2" xfId="20119"/>
    <cellStyle name="20% - Accent5 2 3 6" xfId="20120"/>
    <cellStyle name="20% - Accent5 2 3 7" xfId="20121"/>
    <cellStyle name="20% - Accent5 2 4" xfId="1366"/>
    <cellStyle name="20% - Accent5 2 4 2" xfId="1367"/>
    <cellStyle name="20% - Accent5 2 4 2 2" xfId="20122"/>
    <cellStyle name="20% - Accent5 2 4 2 2 2" xfId="20123"/>
    <cellStyle name="20% - Accent5 2 4 2 2 2 2" xfId="20124"/>
    <cellStyle name="20% - Accent5 2 4 2 2 3" xfId="20125"/>
    <cellStyle name="20% - Accent5 2 4 2 3" xfId="20126"/>
    <cellStyle name="20% - Accent5 2 4 2 3 2" xfId="20127"/>
    <cellStyle name="20% - Accent5 2 4 2 4" xfId="20128"/>
    <cellStyle name="20% - Accent5 2 4 2 5" xfId="20129"/>
    <cellStyle name="20% - Accent5 2 4 3" xfId="1368"/>
    <cellStyle name="20% - Accent5 2 4 3 2" xfId="20130"/>
    <cellStyle name="20% - Accent5 2 4 3 2 2" xfId="20131"/>
    <cellStyle name="20% - Accent5 2 4 3 3" xfId="20132"/>
    <cellStyle name="20% - Accent5 2 4 4" xfId="20133"/>
    <cellStyle name="20% - Accent5 2 4 4 2" xfId="20134"/>
    <cellStyle name="20% - Accent5 2 4 5" xfId="20135"/>
    <cellStyle name="20% - Accent5 2 4 6" xfId="20136"/>
    <cellStyle name="20% - Accent5 2 5" xfId="1369"/>
    <cellStyle name="20% - Accent5 2 5 2" xfId="20137"/>
    <cellStyle name="20% - Accent5 2 5 2 2" xfId="20138"/>
    <cellStyle name="20% - Accent5 2 5 2 2 2" xfId="20139"/>
    <cellStyle name="20% - Accent5 2 5 2 3" xfId="20140"/>
    <cellStyle name="20% - Accent5 2 5 3" xfId="20141"/>
    <cellStyle name="20% - Accent5 2 5 3 2" xfId="20142"/>
    <cellStyle name="20% - Accent5 2 5 4" xfId="20143"/>
    <cellStyle name="20% - Accent5 2 5 5" xfId="20144"/>
    <cellStyle name="20% - Accent5 2 6" xfId="1370"/>
    <cellStyle name="20% - Accent5 2 6 2" xfId="20145"/>
    <cellStyle name="20% - Accent5 2 6 2 2" xfId="20146"/>
    <cellStyle name="20% - Accent5 2 6 3" xfId="20147"/>
    <cellStyle name="20% - Accent5 2 7" xfId="1371"/>
    <cellStyle name="20% - Accent5 2 7 2" xfId="20148"/>
    <cellStyle name="20% - Accent5 2 8" xfId="20149"/>
    <cellStyle name="20% - Accent5 3" xfId="18"/>
    <cellStyle name="20% - Accent5 3 10" xfId="1372"/>
    <cellStyle name="20% - Accent5 3 11" xfId="1373"/>
    <cellStyle name="20% - Accent5 3 2" xfId="1374"/>
    <cellStyle name="20% - Accent5 3 2 2" xfId="1375"/>
    <cellStyle name="20% - Accent5 3 2 2 2" xfId="1376"/>
    <cellStyle name="20% - Accent5 3 2 2 2 2" xfId="1377"/>
    <cellStyle name="20% - Accent5 3 2 2 2 2 2" xfId="1378"/>
    <cellStyle name="20% - Accent5 3 2 2 2 2 2 2" xfId="20150"/>
    <cellStyle name="20% - Accent5 3 2 2 2 2 3" xfId="1379"/>
    <cellStyle name="20% - Accent5 3 2 2 2 2 4" xfId="1380"/>
    <cellStyle name="20% - Accent5 3 2 2 2 3" xfId="1381"/>
    <cellStyle name="20% - Accent5 3 2 2 2 3 2" xfId="1382"/>
    <cellStyle name="20% - Accent5 3 2 2 2 3 3" xfId="1383"/>
    <cellStyle name="20% - Accent5 3 2 2 2 3 4" xfId="1384"/>
    <cellStyle name="20% - Accent5 3 2 2 2 4" xfId="1385"/>
    <cellStyle name="20% - Accent5 3 2 2 2 5" xfId="1386"/>
    <cellStyle name="20% - Accent5 3 2 2 2 6" xfId="1387"/>
    <cellStyle name="20% - Accent5 3 2 2 3" xfId="1388"/>
    <cellStyle name="20% - Accent5 3 2 2 3 2" xfId="1389"/>
    <cellStyle name="20% - Accent5 3 2 2 3 2 2" xfId="20151"/>
    <cellStyle name="20% - Accent5 3 2 2 3 3" xfId="1390"/>
    <cellStyle name="20% - Accent5 3 2 2 3 4" xfId="1391"/>
    <cellStyle name="20% - Accent5 3 2 2 4" xfId="1392"/>
    <cellStyle name="20% - Accent5 3 2 2 4 2" xfId="1393"/>
    <cellStyle name="20% - Accent5 3 2 2 4 3" xfId="1394"/>
    <cellStyle name="20% - Accent5 3 2 2 4 4" xfId="1395"/>
    <cellStyle name="20% - Accent5 3 2 2 5" xfId="1396"/>
    <cellStyle name="20% - Accent5 3 2 2 6" xfId="1397"/>
    <cellStyle name="20% - Accent5 3 2 2 7" xfId="1398"/>
    <cellStyle name="20% - Accent5 3 2 3" xfId="1399"/>
    <cellStyle name="20% - Accent5 3 2 3 2" xfId="1400"/>
    <cellStyle name="20% - Accent5 3 2 3 2 2" xfId="1401"/>
    <cellStyle name="20% - Accent5 3 2 3 2 2 2" xfId="20152"/>
    <cellStyle name="20% - Accent5 3 2 3 2 3" xfId="1402"/>
    <cellStyle name="20% - Accent5 3 2 3 2 4" xfId="1403"/>
    <cellStyle name="20% - Accent5 3 2 3 3" xfId="1404"/>
    <cellStyle name="20% - Accent5 3 2 3 3 2" xfId="1405"/>
    <cellStyle name="20% - Accent5 3 2 3 3 3" xfId="1406"/>
    <cellStyle name="20% - Accent5 3 2 3 3 4" xfId="1407"/>
    <cellStyle name="20% - Accent5 3 2 3 4" xfId="1408"/>
    <cellStyle name="20% - Accent5 3 2 3 5" xfId="1409"/>
    <cellStyle name="20% - Accent5 3 2 3 6" xfId="1410"/>
    <cellStyle name="20% - Accent5 3 2 4" xfId="1411"/>
    <cellStyle name="20% - Accent5 3 2 4 2" xfId="1412"/>
    <cellStyle name="20% - Accent5 3 2 4 2 2" xfId="20153"/>
    <cellStyle name="20% - Accent5 3 2 4 3" xfId="1413"/>
    <cellStyle name="20% - Accent5 3 2 4 4" xfId="1414"/>
    <cellStyle name="20% - Accent5 3 2 5" xfId="1415"/>
    <cellStyle name="20% - Accent5 3 2 5 2" xfId="1416"/>
    <cellStyle name="20% - Accent5 3 2 5 3" xfId="1417"/>
    <cellStyle name="20% - Accent5 3 2 5 4" xfId="1418"/>
    <cellStyle name="20% - Accent5 3 2 6" xfId="1419"/>
    <cellStyle name="20% - Accent5 3 2 7" xfId="1420"/>
    <cellStyle name="20% - Accent5 3 2 8" xfId="1421"/>
    <cellStyle name="20% - Accent5 3 3" xfId="1422"/>
    <cellStyle name="20% - Accent5 3 3 2" xfId="1423"/>
    <cellStyle name="20% - Accent5 3 3 2 2" xfId="1424"/>
    <cellStyle name="20% - Accent5 3 3 2 2 2" xfId="1425"/>
    <cellStyle name="20% - Accent5 3 3 2 2 2 2" xfId="20154"/>
    <cellStyle name="20% - Accent5 3 3 2 2 3" xfId="1426"/>
    <cellStyle name="20% - Accent5 3 3 2 2 4" xfId="1427"/>
    <cellStyle name="20% - Accent5 3 3 2 3" xfId="1428"/>
    <cellStyle name="20% - Accent5 3 3 2 3 2" xfId="1429"/>
    <cellStyle name="20% - Accent5 3 3 2 3 3" xfId="1430"/>
    <cellStyle name="20% - Accent5 3 3 2 3 4" xfId="1431"/>
    <cellStyle name="20% - Accent5 3 3 2 4" xfId="1432"/>
    <cellStyle name="20% - Accent5 3 3 2 5" xfId="1433"/>
    <cellStyle name="20% - Accent5 3 3 2 6" xfId="1434"/>
    <cellStyle name="20% - Accent5 3 3 3" xfId="1435"/>
    <cellStyle name="20% - Accent5 3 3 3 2" xfId="1436"/>
    <cellStyle name="20% - Accent5 3 3 3 2 2" xfId="20155"/>
    <cellStyle name="20% - Accent5 3 3 3 3" xfId="1437"/>
    <cellStyle name="20% - Accent5 3 3 3 4" xfId="1438"/>
    <cellStyle name="20% - Accent5 3 3 4" xfId="1439"/>
    <cellStyle name="20% - Accent5 3 3 4 2" xfId="1440"/>
    <cellStyle name="20% - Accent5 3 3 4 3" xfId="1441"/>
    <cellStyle name="20% - Accent5 3 3 4 4" xfId="1442"/>
    <cellStyle name="20% - Accent5 3 3 5" xfId="1443"/>
    <cellStyle name="20% - Accent5 3 3 6" xfId="1444"/>
    <cellStyle name="20% - Accent5 3 3 7" xfId="1445"/>
    <cellStyle name="20% - Accent5 3 4" xfId="1446"/>
    <cellStyle name="20% - Accent5 3 4 2" xfId="1447"/>
    <cellStyle name="20% - Accent5 3 4 2 2" xfId="1448"/>
    <cellStyle name="20% - Accent5 3 4 2 2 2" xfId="1449"/>
    <cellStyle name="20% - Accent5 3 4 2 2 3" xfId="1450"/>
    <cellStyle name="20% - Accent5 3 4 2 2 4" xfId="1451"/>
    <cellStyle name="20% - Accent5 3 4 2 3" xfId="1452"/>
    <cellStyle name="20% - Accent5 3 4 2 3 2" xfId="1453"/>
    <cellStyle name="20% - Accent5 3 4 2 3 3" xfId="1454"/>
    <cellStyle name="20% - Accent5 3 4 2 3 4" xfId="1455"/>
    <cellStyle name="20% - Accent5 3 4 2 4" xfId="1456"/>
    <cellStyle name="20% - Accent5 3 4 2 5" xfId="1457"/>
    <cellStyle name="20% - Accent5 3 4 2 6" xfId="1458"/>
    <cellStyle name="20% - Accent5 3 4 3" xfId="1459"/>
    <cellStyle name="20% - Accent5 3 4 3 2" xfId="1460"/>
    <cellStyle name="20% - Accent5 3 4 3 3" xfId="1461"/>
    <cellStyle name="20% - Accent5 3 4 3 4" xfId="1462"/>
    <cellStyle name="20% - Accent5 3 4 4" xfId="1463"/>
    <cellStyle name="20% - Accent5 3 4 4 2" xfId="1464"/>
    <cellStyle name="20% - Accent5 3 4 4 3" xfId="1465"/>
    <cellStyle name="20% - Accent5 3 4 4 4" xfId="1466"/>
    <cellStyle name="20% - Accent5 3 4 5" xfId="1467"/>
    <cellStyle name="20% - Accent5 3 4 6" xfId="1468"/>
    <cellStyle name="20% - Accent5 3 4 7" xfId="1469"/>
    <cellStyle name="20% - Accent5 3 5" xfId="1470"/>
    <cellStyle name="20% - Accent5 3 5 2" xfId="1471"/>
    <cellStyle name="20% - Accent5 3 5 2 2" xfId="1472"/>
    <cellStyle name="20% - Accent5 3 5 2 2 2" xfId="1473"/>
    <cellStyle name="20% - Accent5 3 5 2 2 3" xfId="1474"/>
    <cellStyle name="20% - Accent5 3 5 2 2 4" xfId="1475"/>
    <cellStyle name="20% - Accent5 3 5 2 3" xfId="1476"/>
    <cellStyle name="20% - Accent5 3 5 2 3 2" xfId="1477"/>
    <cellStyle name="20% - Accent5 3 5 2 3 3" xfId="1478"/>
    <cellStyle name="20% - Accent5 3 5 2 3 4" xfId="1479"/>
    <cellStyle name="20% - Accent5 3 5 2 4" xfId="1480"/>
    <cellStyle name="20% - Accent5 3 5 2 5" xfId="1481"/>
    <cellStyle name="20% - Accent5 3 5 2 6" xfId="1482"/>
    <cellStyle name="20% - Accent5 3 5 3" xfId="1483"/>
    <cellStyle name="20% - Accent5 3 5 3 2" xfId="1484"/>
    <cellStyle name="20% - Accent5 3 5 3 3" xfId="1485"/>
    <cellStyle name="20% - Accent5 3 5 3 4" xfId="1486"/>
    <cellStyle name="20% - Accent5 3 5 4" xfId="1487"/>
    <cellStyle name="20% - Accent5 3 5 4 2" xfId="1488"/>
    <cellStyle name="20% - Accent5 3 5 4 3" xfId="1489"/>
    <cellStyle name="20% - Accent5 3 5 4 4" xfId="1490"/>
    <cellStyle name="20% - Accent5 3 5 5" xfId="1491"/>
    <cellStyle name="20% - Accent5 3 5 6" xfId="1492"/>
    <cellStyle name="20% - Accent5 3 5 7" xfId="1493"/>
    <cellStyle name="20% - Accent5 3 6" xfId="1494"/>
    <cellStyle name="20% - Accent5 3 6 2" xfId="1495"/>
    <cellStyle name="20% - Accent5 3 6 2 2" xfId="1496"/>
    <cellStyle name="20% - Accent5 3 6 2 3" xfId="1497"/>
    <cellStyle name="20% - Accent5 3 6 2 4" xfId="1498"/>
    <cellStyle name="20% - Accent5 3 6 3" xfId="1499"/>
    <cellStyle name="20% - Accent5 3 6 3 2" xfId="1500"/>
    <cellStyle name="20% - Accent5 3 6 3 3" xfId="1501"/>
    <cellStyle name="20% - Accent5 3 6 3 4" xfId="1502"/>
    <cellStyle name="20% - Accent5 3 6 4" xfId="1503"/>
    <cellStyle name="20% - Accent5 3 6 5" xfId="1504"/>
    <cellStyle name="20% - Accent5 3 6 6" xfId="1505"/>
    <cellStyle name="20% - Accent5 3 7" xfId="1506"/>
    <cellStyle name="20% - Accent5 3 7 2" xfId="1507"/>
    <cellStyle name="20% - Accent5 3 7 3" xfId="1508"/>
    <cellStyle name="20% - Accent5 3 7 4" xfId="1509"/>
    <cellStyle name="20% - Accent5 3 8" xfId="1510"/>
    <cellStyle name="20% - Accent5 3 8 2" xfId="1511"/>
    <cellStyle name="20% - Accent5 3 8 3" xfId="1512"/>
    <cellStyle name="20% - Accent5 3 8 4" xfId="1513"/>
    <cellStyle name="20% - Accent5 3 9" xfId="1514"/>
    <cellStyle name="20% - Accent5 4" xfId="19"/>
    <cellStyle name="20% - Accent5 4 2" xfId="1515"/>
    <cellStyle name="20% - Accent5 4 2 2" xfId="1516"/>
    <cellStyle name="20% - Accent5 4 2 2 2" xfId="1517"/>
    <cellStyle name="20% - Accent5 4 2 2 2 2" xfId="1518"/>
    <cellStyle name="20% - Accent5 4 2 2 2 2 2" xfId="20156"/>
    <cellStyle name="20% - Accent5 4 2 2 2 3" xfId="1519"/>
    <cellStyle name="20% - Accent5 4 2 2 2 4" xfId="1520"/>
    <cellStyle name="20% - Accent5 4 2 2 3" xfId="1521"/>
    <cellStyle name="20% - Accent5 4 2 2 3 2" xfId="1522"/>
    <cellStyle name="20% - Accent5 4 2 2 3 3" xfId="1523"/>
    <cellStyle name="20% - Accent5 4 2 2 3 4" xfId="1524"/>
    <cellStyle name="20% - Accent5 4 2 2 4" xfId="1525"/>
    <cellStyle name="20% - Accent5 4 2 2 5" xfId="1526"/>
    <cellStyle name="20% - Accent5 4 2 2 6" xfId="1527"/>
    <cellStyle name="20% - Accent5 4 2 3" xfId="1528"/>
    <cellStyle name="20% - Accent5 4 2 3 2" xfId="1529"/>
    <cellStyle name="20% - Accent5 4 2 3 2 2" xfId="20157"/>
    <cellStyle name="20% - Accent5 4 2 3 3" xfId="1530"/>
    <cellStyle name="20% - Accent5 4 2 3 4" xfId="1531"/>
    <cellStyle name="20% - Accent5 4 2 4" xfId="1532"/>
    <cellStyle name="20% - Accent5 4 2 4 2" xfId="1533"/>
    <cellStyle name="20% - Accent5 4 2 4 3" xfId="1534"/>
    <cellStyle name="20% - Accent5 4 2 4 4" xfId="1535"/>
    <cellStyle name="20% - Accent5 4 2 5" xfId="1536"/>
    <cellStyle name="20% - Accent5 4 2 6" xfId="1537"/>
    <cellStyle name="20% - Accent5 4 2 7" xfId="1538"/>
    <cellStyle name="20% - Accent5 4 3" xfId="1539"/>
    <cellStyle name="20% - Accent5 4 3 2" xfId="1540"/>
    <cellStyle name="20% - Accent5 4 3 2 2" xfId="1541"/>
    <cellStyle name="20% - Accent5 4 3 2 2 2" xfId="20158"/>
    <cellStyle name="20% - Accent5 4 3 2 3" xfId="1542"/>
    <cellStyle name="20% - Accent5 4 3 2 4" xfId="1543"/>
    <cellStyle name="20% - Accent5 4 3 3" xfId="1544"/>
    <cellStyle name="20% - Accent5 4 3 3 2" xfId="1545"/>
    <cellStyle name="20% - Accent5 4 3 3 3" xfId="1546"/>
    <cellStyle name="20% - Accent5 4 3 3 4" xfId="1547"/>
    <cellStyle name="20% - Accent5 4 3 4" xfId="1548"/>
    <cellStyle name="20% - Accent5 4 3 5" xfId="1549"/>
    <cellStyle name="20% - Accent5 4 3 6" xfId="1550"/>
    <cellStyle name="20% - Accent5 4 4" xfId="1551"/>
    <cellStyle name="20% - Accent5 4 4 2" xfId="1552"/>
    <cellStyle name="20% - Accent5 4 4 2 2" xfId="20159"/>
    <cellStyle name="20% - Accent5 4 4 3" xfId="1553"/>
    <cellStyle name="20% - Accent5 4 4 4" xfId="1554"/>
    <cellStyle name="20% - Accent5 4 5" xfId="1555"/>
    <cellStyle name="20% - Accent5 4 5 2" xfId="1556"/>
    <cellStyle name="20% - Accent5 4 5 3" xfId="1557"/>
    <cellStyle name="20% - Accent5 4 5 4" xfId="1558"/>
    <cellStyle name="20% - Accent5 4 6" xfId="1559"/>
    <cellStyle name="20% - Accent5 4 7" xfId="1560"/>
    <cellStyle name="20% - Accent5 4 8" xfId="1561"/>
    <cellStyle name="20% - Accent5 5" xfId="1562"/>
    <cellStyle name="20% - Accent5 5 2" xfId="1563"/>
    <cellStyle name="20% - Accent5 5 2 2" xfId="1564"/>
    <cellStyle name="20% - Accent5 5 2 2 2" xfId="1565"/>
    <cellStyle name="20% - Accent5 5 2 2 2 2" xfId="20160"/>
    <cellStyle name="20% - Accent5 5 2 2 3" xfId="1566"/>
    <cellStyle name="20% - Accent5 5 2 2 4" xfId="1567"/>
    <cellStyle name="20% - Accent5 5 2 3" xfId="1568"/>
    <cellStyle name="20% - Accent5 5 2 3 2" xfId="1569"/>
    <cellStyle name="20% - Accent5 5 2 3 3" xfId="1570"/>
    <cellStyle name="20% - Accent5 5 2 3 4" xfId="1571"/>
    <cellStyle name="20% - Accent5 5 2 4" xfId="1572"/>
    <cellStyle name="20% - Accent5 5 2 5" xfId="1573"/>
    <cellStyle name="20% - Accent5 5 2 6" xfId="1574"/>
    <cellStyle name="20% - Accent5 5 2 7" xfId="20161"/>
    <cellStyle name="20% - Accent5 5 2 8" xfId="20162"/>
    <cellStyle name="20% - Accent5 5 3" xfId="1575"/>
    <cellStyle name="20% - Accent5 5 3 2" xfId="1576"/>
    <cellStyle name="20% - Accent5 5 3 2 2" xfId="20163"/>
    <cellStyle name="20% - Accent5 5 3 3" xfId="1577"/>
    <cellStyle name="20% - Accent5 5 3 4" xfId="1578"/>
    <cellStyle name="20% - Accent5 5 4" xfId="1579"/>
    <cellStyle name="20% - Accent5 5 4 2" xfId="1580"/>
    <cellStyle name="20% - Accent5 5 4 3" xfId="1581"/>
    <cellStyle name="20% - Accent5 5 4 4" xfId="1582"/>
    <cellStyle name="20% - Accent5 5 5" xfId="1583"/>
    <cellStyle name="20% - Accent5 5 6" xfId="1584"/>
    <cellStyle name="20% - Accent5 5 7" xfId="1585"/>
    <cellStyle name="20% - Accent5 5 8" xfId="20164"/>
    <cellStyle name="20% - Accent5 5 9" xfId="20165"/>
    <cellStyle name="20% - Accent5 6" xfId="1586"/>
    <cellStyle name="20% - Accent5 6 2" xfId="1587"/>
    <cellStyle name="20% - Accent5 6 2 2" xfId="1588"/>
    <cellStyle name="20% - Accent5 6 2 2 2" xfId="1589"/>
    <cellStyle name="20% - Accent5 6 2 2 3" xfId="1590"/>
    <cellStyle name="20% - Accent5 6 2 2 4" xfId="1591"/>
    <cellStyle name="20% - Accent5 6 2 3" xfId="1592"/>
    <cellStyle name="20% - Accent5 6 2 3 2" xfId="1593"/>
    <cellStyle name="20% - Accent5 6 2 3 3" xfId="1594"/>
    <cellStyle name="20% - Accent5 6 2 3 4" xfId="1595"/>
    <cellStyle name="20% - Accent5 6 2 4" xfId="1596"/>
    <cellStyle name="20% - Accent5 6 2 5" xfId="1597"/>
    <cellStyle name="20% - Accent5 6 2 6" xfId="1598"/>
    <cellStyle name="20% - Accent5 6 3" xfId="1599"/>
    <cellStyle name="20% - Accent5 6 3 2" xfId="1600"/>
    <cellStyle name="20% - Accent5 6 3 3" xfId="1601"/>
    <cellStyle name="20% - Accent5 6 3 4" xfId="1602"/>
    <cellStyle name="20% - Accent5 6 4" xfId="1603"/>
    <cellStyle name="20% - Accent5 6 4 2" xfId="1604"/>
    <cellStyle name="20% - Accent5 6 4 3" xfId="1605"/>
    <cellStyle name="20% - Accent5 6 4 4" xfId="1606"/>
    <cellStyle name="20% - Accent5 6 5" xfId="1607"/>
    <cellStyle name="20% - Accent5 6 6" xfId="1608"/>
    <cellStyle name="20% - Accent5 6 7" xfId="1609"/>
    <cellStyle name="20% - Accent5 7" xfId="1610"/>
    <cellStyle name="20% - Accent5 7 2" xfId="1611"/>
    <cellStyle name="20% - Accent5 7 2 2" xfId="1612"/>
    <cellStyle name="20% - Accent5 7 2 2 2" xfId="1613"/>
    <cellStyle name="20% - Accent5 7 2 2 3" xfId="1614"/>
    <cellStyle name="20% - Accent5 7 2 2 4" xfId="1615"/>
    <cellStyle name="20% - Accent5 7 2 3" xfId="1616"/>
    <cellStyle name="20% - Accent5 7 2 3 2" xfId="1617"/>
    <cellStyle name="20% - Accent5 7 2 3 3" xfId="1618"/>
    <cellStyle name="20% - Accent5 7 2 3 4" xfId="1619"/>
    <cellStyle name="20% - Accent5 7 2 4" xfId="1620"/>
    <cellStyle name="20% - Accent5 7 2 5" xfId="1621"/>
    <cellStyle name="20% - Accent5 7 2 6" xfId="1622"/>
    <cellStyle name="20% - Accent5 7 3" xfId="1623"/>
    <cellStyle name="20% - Accent5 7 3 2" xfId="1624"/>
    <cellStyle name="20% - Accent5 7 3 3" xfId="1625"/>
    <cellStyle name="20% - Accent5 7 3 4" xfId="1626"/>
    <cellStyle name="20% - Accent5 7 4" xfId="1627"/>
    <cellStyle name="20% - Accent5 7 4 2" xfId="1628"/>
    <cellStyle name="20% - Accent5 7 4 3" xfId="1629"/>
    <cellStyle name="20% - Accent5 7 4 4" xfId="1630"/>
    <cellStyle name="20% - Accent5 7 5" xfId="1631"/>
    <cellStyle name="20% - Accent5 7 6" xfId="1632"/>
    <cellStyle name="20% - Accent5 7 7" xfId="1633"/>
    <cellStyle name="20% - Accent5 8" xfId="1634"/>
    <cellStyle name="20% - Accent5 8 2" xfId="1635"/>
    <cellStyle name="20% - Accent5 8 2 2" xfId="1636"/>
    <cellStyle name="20% - Accent5 8 2 3" xfId="1637"/>
    <cellStyle name="20% - Accent5 8 2 4" xfId="1638"/>
    <cellStyle name="20% - Accent5 8 3" xfId="1639"/>
    <cellStyle name="20% - Accent5 8 3 2" xfId="1640"/>
    <cellStyle name="20% - Accent5 8 3 3" xfId="1641"/>
    <cellStyle name="20% - Accent5 8 3 4" xfId="1642"/>
    <cellStyle name="20% - Accent5 8 4" xfId="1643"/>
    <cellStyle name="20% - Accent5 8 5" xfId="1644"/>
    <cellStyle name="20% - Accent5 8 6" xfId="1645"/>
    <cellStyle name="20% - Accent5 9" xfId="1646"/>
    <cellStyle name="20% - Accent5 9 2" xfId="1647"/>
    <cellStyle name="20% - Accent5 9 3" xfId="1648"/>
    <cellStyle name="20% - Accent5 9 4" xfId="1649"/>
    <cellStyle name="20% - Accent6 10" xfId="1650"/>
    <cellStyle name="20% - Accent6 10 2" xfId="1651"/>
    <cellStyle name="20% - Accent6 10 3" xfId="1652"/>
    <cellStyle name="20% - Accent6 10 4" xfId="1653"/>
    <cellStyle name="20% - Accent6 11" xfId="1654"/>
    <cellStyle name="20% - Accent6 11 2" xfId="1655"/>
    <cellStyle name="20% - Accent6 11 3" xfId="1656"/>
    <cellStyle name="20% - Accent6 12" xfId="1657"/>
    <cellStyle name="20% - Accent6 13" xfId="1658"/>
    <cellStyle name="20% - Accent6 14" xfId="1659"/>
    <cellStyle name="20% - Accent6 2" xfId="20"/>
    <cellStyle name="20% - Accent6 2 10" xfId="20166"/>
    <cellStyle name="20% - Accent6 2 10 2" xfId="20167"/>
    <cellStyle name="20% - Accent6 2 11" xfId="20168"/>
    <cellStyle name="20% - Accent6 2 2" xfId="1660"/>
    <cellStyle name="20% - Accent6 2 2 2" xfId="1661"/>
    <cellStyle name="20% - Accent6 2 2 2 2" xfId="1662"/>
    <cellStyle name="20% - Accent6 2 2 2 2 2" xfId="1663"/>
    <cellStyle name="20% - Accent6 2 2 2 2 2 2" xfId="20169"/>
    <cellStyle name="20% - Accent6 2 2 2 2 2 2 2" xfId="20170"/>
    <cellStyle name="20% - Accent6 2 2 2 2 2 2 2 2" xfId="20171"/>
    <cellStyle name="20% - Accent6 2 2 2 2 2 2 3" xfId="20172"/>
    <cellStyle name="20% - Accent6 2 2 2 2 2 3" xfId="20173"/>
    <cellStyle name="20% - Accent6 2 2 2 2 2 3 2" xfId="20174"/>
    <cellStyle name="20% - Accent6 2 2 2 2 2 4" xfId="20175"/>
    <cellStyle name="20% - Accent6 2 2 2 2 2 5" xfId="20176"/>
    <cellStyle name="20% - Accent6 2 2 2 2 3" xfId="1664"/>
    <cellStyle name="20% - Accent6 2 2 2 2 3 2" xfId="20177"/>
    <cellStyle name="20% - Accent6 2 2 2 2 3 2 2" xfId="20178"/>
    <cellStyle name="20% - Accent6 2 2 2 2 3 3" xfId="20179"/>
    <cellStyle name="20% - Accent6 2 2 2 2 4" xfId="20180"/>
    <cellStyle name="20% - Accent6 2 2 2 2 4 2" xfId="20181"/>
    <cellStyle name="20% - Accent6 2 2 2 2 5" xfId="20182"/>
    <cellStyle name="20% - Accent6 2 2 2 2 6" xfId="20183"/>
    <cellStyle name="20% - Accent6 2 2 2 3" xfId="1665"/>
    <cellStyle name="20% - Accent6 2 2 2 3 2" xfId="20184"/>
    <cellStyle name="20% - Accent6 2 2 2 3 2 2" xfId="20185"/>
    <cellStyle name="20% - Accent6 2 2 2 3 2 2 2" xfId="20186"/>
    <cellStyle name="20% - Accent6 2 2 2 3 2 3" xfId="20187"/>
    <cellStyle name="20% - Accent6 2 2 2 3 3" xfId="20188"/>
    <cellStyle name="20% - Accent6 2 2 2 3 3 2" xfId="20189"/>
    <cellStyle name="20% - Accent6 2 2 2 3 4" xfId="20190"/>
    <cellStyle name="20% - Accent6 2 2 2 3 5" xfId="20191"/>
    <cellStyle name="20% - Accent6 2 2 2 4" xfId="1666"/>
    <cellStyle name="20% - Accent6 2 2 2 4 2" xfId="20192"/>
    <cellStyle name="20% - Accent6 2 2 2 4 2 2" xfId="20193"/>
    <cellStyle name="20% - Accent6 2 2 2 4 3" xfId="20194"/>
    <cellStyle name="20% - Accent6 2 2 2 5" xfId="20195"/>
    <cellStyle name="20% - Accent6 2 2 2 5 2" xfId="20196"/>
    <cellStyle name="20% - Accent6 2 2 2 6" xfId="20197"/>
    <cellStyle name="20% - Accent6 2 2 2 7" xfId="20198"/>
    <cellStyle name="20% - Accent6 2 2 3" xfId="1667"/>
    <cellStyle name="20% - Accent6 2 2 3 2" xfId="1668"/>
    <cellStyle name="20% - Accent6 2 2 3 2 2" xfId="20199"/>
    <cellStyle name="20% - Accent6 2 2 3 2 2 2" xfId="20200"/>
    <cellStyle name="20% - Accent6 2 2 3 2 2 2 2" xfId="20201"/>
    <cellStyle name="20% - Accent6 2 2 3 2 2 3" xfId="20202"/>
    <cellStyle name="20% - Accent6 2 2 3 2 3" xfId="20203"/>
    <cellStyle name="20% - Accent6 2 2 3 2 3 2" xfId="20204"/>
    <cellStyle name="20% - Accent6 2 2 3 2 4" xfId="20205"/>
    <cellStyle name="20% - Accent6 2 2 3 2 5" xfId="20206"/>
    <cellStyle name="20% - Accent6 2 2 3 3" xfId="1669"/>
    <cellStyle name="20% - Accent6 2 2 3 3 2" xfId="20207"/>
    <cellStyle name="20% - Accent6 2 2 3 3 2 2" xfId="20208"/>
    <cellStyle name="20% - Accent6 2 2 3 3 3" xfId="20209"/>
    <cellStyle name="20% - Accent6 2 2 3 4" xfId="20210"/>
    <cellStyle name="20% - Accent6 2 2 3 4 2" xfId="20211"/>
    <cellStyle name="20% - Accent6 2 2 3 5" xfId="20212"/>
    <cellStyle name="20% - Accent6 2 2 3 6" xfId="20213"/>
    <cellStyle name="20% - Accent6 2 2 4" xfId="1670"/>
    <cellStyle name="20% - Accent6 2 2 4 2" xfId="20214"/>
    <cellStyle name="20% - Accent6 2 2 4 2 2" xfId="20215"/>
    <cellStyle name="20% - Accent6 2 2 4 2 2 2" xfId="20216"/>
    <cellStyle name="20% - Accent6 2 2 4 2 3" xfId="20217"/>
    <cellStyle name="20% - Accent6 2 2 4 3" xfId="20218"/>
    <cellStyle name="20% - Accent6 2 2 4 3 2" xfId="20219"/>
    <cellStyle name="20% - Accent6 2 2 4 4" xfId="20220"/>
    <cellStyle name="20% - Accent6 2 2 4 5" xfId="20221"/>
    <cellStyle name="20% - Accent6 2 2 5" xfId="1671"/>
    <cellStyle name="20% - Accent6 2 2 5 2" xfId="20222"/>
    <cellStyle name="20% - Accent6 2 2 5 2 2" xfId="20223"/>
    <cellStyle name="20% - Accent6 2 2 5 3" xfId="20224"/>
    <cellStyle name="20% - Accent6 2 2 6" xfId="19098"/>
    <cellStyle name="20% - Accent6 2 2 6 2" xfId="20225"/>
    <cellStyle name="20% - Accent6 2 2 7" xfId="20226"/>
    <cellStyle name="20% - Accent6 2 2 8" xfId="20227"/>
    <cellStyle name="20% - Accent6 2 3" xfId="1672"/>
    <cellStyle name="20% - Accent6 2 3 2" xfId="1673"/>
    <cellStyle name="20% - Accent6 2 3 2 2" xfId="1674"/>
    <cellStyle name="20% - Accent6 2 3 2 2 2" xfId="20228"/>
    <cellStyle name="20% - Accent6 2 3 2 2 2 2" xfId="20229"/>
    <cellStyle name="20% - Accent6 2 3 2 2 2 2 2" xfId="20230"/>
    <cellStyle name="20% - Accent6 2 3 2 2 2 3" xfId="20231"/>
    <cellStyle name="20% - Accent6 2 3 2 2 3" xfId="20232"/>
    <cellStyle name="20% - Accent6 2 3 2 2 3 2" xfId="20233"/>
    <cellStyle name="20% - Accent6 2 3 2 2 4" xfId="20234"/>
    <cellStyle name="20% - Accent6 2 3 2 2 5" xfId="20235"/>
    <cellStyle name="20% - Accent6 2 3 2 3" xfId="1675"/>
    <cellStyle name="20% - Accent6 2 3 2 3 2" xfId="20236"/>
    <cellStyle name="20% - Accent6 2 3 2 3 2 2" xfId="20237"/>
    <cellStyle name="20% - Accent6 2 3 2 3 3" xfId="20238"/>
    <cellStyle name="20% - Accent6 2 3 2 4" xfId="20239"/>
    <cellStyle name="20% - Accent6 2 3 2 4 2" xfId="20240"/>
    <cellStyle name="20% - Accent6 2 3 2 5" xfId="20241"/>
    <cellStyle name="20% - Accent6 2 3 2 6" xfId="20242"/>
    <cellStyle name="20% - Accent6 2 3 3" xfId="1676"/>
    <cellStyle name="20% - Accent6 2 3 3 2" xfId="20243"/>
    <cellStyle name="20% - Accent6 2 3 3 2 2" xfId="20244"/>
    <cellStyle name="20% - Accent6 2 3 3 2 2 2" xfId="20245"/>
    <cellStyle name="20% - Accent6 2 3 3 2 3" xfId="20246"/>
    <cellStyle name="20% - Accent6 2 3 3 3" xfId="20247"/>
    <cellStyle name="20% - Accent6 2 3 3 3 2" xfId="20248"/>
    <cellStyle name="20% - Accent6 2 3 3 4" xfId="20249"/>
    <cellStyle name="20% - Accent6 2 3 3 5" xfId="20250"/>
    <cellStyle name="20% - Accent6 2 3 4" xfId="1677"/>
    <cellStyle name="20% - Accent6 2 3 4 2" xfId="20251"/>
    <cellStyle name="20% - Accent6 2 3 4 2 2" xfId="20252"/>
    <cellStyle name="20% - Accent6 2 3 4 3" xfId="20253"/>
    <cellStyle name="20% - Accent6 2 3 5" xfId="20254"/>
    <cellStyle name="20% - Accent6 2 3 5 2" xfId="20255"/>
    <cellStyle name="20% - Accent6 2 3 6" xfId="20256"/>
    <cellStyle name="20% - Accent6 2 3 7" xfId="20257"/>
    <cellStyle name="20% - Accent6 2 4" xfId="1678"/>
    <cellStyle name="20% - Accent6 2 4 2" xfId="1679"/>
    <cellStyle name="20% - Accent6 2 4 2 2" xfId="20258"/>
    <cellStyle name="20% - Accent6 2 4 2 2 2" xfId="20259"/>
    <cellStyle name="20% - Accent6 2 4 2 2 2 2" xfId="20260"/>
    <cellStyle name="20% - Accent6 2 4 2 2 3" xfId="20261"/>
    <cellStyle name="20% - Accent6 2 4 2 3" xfId="20262"/>
    <cellStyle name="20% - Accent6 2 4 2 3 2" xfId="20263"/>
    <cellStyle name="20% - Accent6 2 4 2 4" xfId="20264"/>
    <cellStyle name="20% - Accent6 2 4 2 5" xfId="20265"/>
    <cellStyle name="20% - Accent6 2 4 3" xfId="1680"/>
    <cellStyle name="20% - Accent6 2 4 3 2" xfId="20266"/>
    <cellStyle name="20% - Accent6 2 4 3 2 2" xfId="20267"/>
    <cellStyle name="20% - Accent6 2 4 3 3" xfId="20268"/>
    <cellStyle name="20% - Accent6 2 4 4" xfId="20269"/>
    <cellStyle name="20% - Accent6 2 4 4 2" xfId="20270"/>
    <cellStyle name="20% - Accent6 2 4 5" xfId="20271"/>
    <cellStyle name="20% - Accent6 2 4 6" xfId="20272"/>
    <cellStyle name="20% - Accent6 2 5" xfId="1681"/>
    <cellStyle name="20% - Accent6 2 5 2" xfId="16682"/>
    <cellStyle name="20% - Accent6 2 5 2 2" xfId="20273"/>
    <cellStyle name="20% - Accent6 2 5 2 2 2" xfId="20274"/>
    <cellStyle name="20% - Accent6 2 5 2 2 2 2" xfId="20275"/>
    <cellStyle name="20% - Accent6 2 5 2 2 3" xfId="20276"/>
    <cellStyle name="20% - Accent6 2 5 2 3" xfId="20277"/>
    <cellStyle name="20% - Accent6 2 5 2 3 2" xfId="20278"/>
    <cellStyle name="20% - Accent6 2 5 2 4" xfId="20279"/>
    <cellStyle name="20% - Accent6 2 5 3" xfId="20280"/>
    <cellStyle name="20% - Accent6 2 5 3 2" xfId="20281"/>
    <cellStyle name="20% - Accent6 2 5 3 2 2" xfId="20282"/>
    <cellStyle name="20% - Accent6 2 5 3 3" xfId="20283"/>
    <cellStyle name="20% - Accent6 2 5 4" xfId="20284"/>
    <cellStyle name="20% - Accent6 2 5 4 2" xfId="20285"/>
    <cellStyle name="20% - Accent6 2 5 5" xfId="20286"/>
    <cellStyle name="20% - Accent6 2 6" xfId="1682"/>
    <cellStyle name="20% - Accent6 2 6 2" xfId="20287"/>
    <cellStyle name="20% - Accent6 2 6 2 2" xfId="20288"/>
    <cellStyle name="20% - Accent6 2 6 2 2 2" xfId="20289"/>
    <cellStyle name="20% - Accent6 2 6 2 3" xfId="20290"/>
    <cellStyle name="20% - Accent6 2 6 3" xfId="20291"/>
    <cellStyle name="20% - Accent6 2 6 3 2" xfId="20292"/>
    <cellStyle name="20% - Accent6 2 6 4" xfId="20293"/>
    <cellStyle name="20% - Accent6 2 6 5" xfId="20294"/>
    <cellStyle name="20% - Accent6 2 7" xfId="1683"/>
    <cellStyle name="20% - Accent6 2 7 2" xfId="20295"/>
    <cellStyle name="20% - Accent6 2 7 2 2" xfId="20296"/>
    <cellStyle name="20% - Accent6 2 7 2 2 2" xfId="20297"/>
    <cellStyle name="20% - Accent6 2 7 2 3" xfId="20298"/>
    <cellStyle name="20% - Accent6 2 7 3" xfId="20299"/>
    <cellStyle name="20% - Accent6 2 7 3 2" xfId="20300"/>
    <cellStyle name="20% - Accent6 2 7 4" xfId="20301"/>
    <cellStyle name="20% - Accent6 2 8" xfId="20302"/>
    <cellStyle name="20% - Accent6 2 8 2" xfId="20303"/>
    <cellStyle name="20% - Accent6 2 8 2 2" xfId="20304"/>
    <cellStyle name="20% - Accent6 2 8 2 2 2" xfId="20305"/>
    <cellStyle name="20% - Accent6 2 8 2 3" xfId="20306"/>
    <cellStyle name="20% - Accent6 2 8 3" xfId="20307"/>
    <cellStyle name="20% - Accent6 2 8 3 2" xfId="20308"/>
    <cellStyle name="20% - Accent6 2 8 4" xfId="20309"/>
    <cellStyle name="20% - Accent6 2 9" xfId="20310"/>
    <cellStyle name="20% - Accent6 2 9 2" xfId="20311"/>
    <cellStyle name="20% - Accent6 2 9 2 2" xfId="20312"/>
    <cellStyle name="20% - Accent6 2 9 3" xfId="20313"/>
    <cellStyle name="20% - Accent6 3" xfId="21"/>
    <cellStyle name="20% - Accent6 3 10" xfId="1684"/>
    <cellStyle name="20% - Accent6 3 11" xfId="1685"/>
    <cellStyle name="20% - Accent6 3 2" xfId="1686"/>
    <cellStyle name="20% - Accent6 3 2 2" xfId="1687"/>
    <cellStyle name="20% - Accent6 3 2 2 2" xfId="1688"/>
    <cellStyle name="20% - Accent6 3 2 2 2 2" xfId="1689"/>
    <cellStyle name="20% - Accent6 3 2 2 2 2 2" xfId="1690"/>
    <cellStyle name="20% - Accent6 3 2 2 2 2 2 2" xfId="20314"/>
    <cellStyle name="20% - Accent6 3 2 2 2 2 3" xfId="1691"/>
    <cellStyle name="20% - Accent6 3 2 2 2 2 4" xfId="1692"/>
    <cellStyle name="20% - Accent6 3 2 2 2 3" xfId="1693"/>
    <cellStyle name="20% - Accent6 3 2 2 2 3 2" xfId="1694"/>
    <cellStyle name="20% - Accent6 3 2 2 2 3 3" xfId="1695"/>
    <cellStyle name="20% - Accent6 3 2 2 2 3 4" xfId="1696"/>
    <cellStyle name="20% - Accent6 3 2 2 2 4" xfId="1697"/>
    <cellStyle name="20% - Accent6 3 2 2 2 5" xfId="1698"/>
    <cellStyle name="20% - Accent6 3 2 2 2 6" xfId="1699"/>
    <cellStyle name="20% - Accent6 3 2 2 3" xfId="1700"/>
    <cellStyle name="20% - Accent6 3 2 2 3 2" xfId="1701"/>
    <cellStyle name="20% - Accent6 3 2 2 3 2 2" xfId="20315"/>
    <cellStyle name="20% - Accent6 3 2 2 3 3" xfId="1702"/>
    <cellStyle name="20% - Accent6 3 2 2 3 4" xfId="1703"/>
    <cellStyle name="20% - Accent6 3 2 2 4" xfId="1704"/>
    <cellStyle name="20% - Accent6 3 2 2 4 2" xfId="1705"/>
    <cellStyle name="20% - Accent6 3 2 2 4 3" xfId="1706"/>
    <cellStyle name="20% - Accent6 3 2 2 4 4" xfId="1707"/>
    <cellStyle name="20% - Accent6 3 2 2 5" xfId="1708"/>
    <cellStyle name="20% - Accent6 3 2 2 6" xfId="1709"/>
    <cellStyle name="20% - Accent6 3 2 2 7" xfId="1710"/>
    <cellStyle name="20% - Accent6 3 2 3" xfId="1711"/>
    <cellStyle name="20% - Accent6 3 2 3 2" xfId="1712"/>
    <cellStyle name="20% - Accent6 3 2 3 2 2" xfId="1713"/>
    <cellStyle name="20% - Accent6 3 2 3 2 2 2" xfId="20316"/>
    <cellStyle name="20% - Accent6 3 2 3 2 3" xfId="1714"/>
    <cellStyle name="20% - Accent6 3 2 3 2 4" xfId="1715"/>
    <cellStyle name="20% - Accent6 3 2 3 3" xfId="1716"/>
    <cellStyle name="20% - Accent6 3 2 3 3 2" xfId="1717"/>
    <cellStyle name="20% - Accent6 3 2 3 3 3" xfId="1718"/>
    <cellStyle name="20% - Accent6 3 2 3 3 4" xfId="1719"/>
    <cellStyle name="20% - Accent6 3 2 3 4" xfId="1720"/>
    <cellStyle name="20% - Accent6 3 2 3 5" xfId="1721"/>
    <cellStyle name="20% - Accent6 3 2 3 6" xfId="1722"/>
    <cellStyle name="20% - Accent6 3 2 4" xfId="1723"/>
    <cellStyle name="20% - Accent6 3 2 4 2" xfId="1724"/>
    <cellStyle name="20% - Accent6 3 2 4 2 2" xfId="20317"/>
    <cellStyle name="20% - Accent6 3 2 4 3" xfId="1725"/>
    <cellStyle name="20% - Accent6 3 2 4 4" xfId="1726"/>
    <cellStyle name="20% - Accent6 3 2 5" xfId="1727"/>
    <cellStyle name="20% - Accent6 3 2 5 2" xfId="1728"/>
    <cellStyle name="20% - Accent6 3 2 5 3" xfId="1729"/>
    <cellStyle name="20% - Accent6 3 2 5 4" xfId="1730"/>
    <cellStyle name="20% - Accent6 3 2 6" xfId="1731"/>
    <cellStyle name="20% - Accent6 3 2 7" xfId="1732"/>
    <cellStyle name="20% - Accent6 3 2 8" xfId="1733"/>
    <cellStyle name="20% - Accent6 3 3" xfId="1734"/>
    <cellStyle name="20% - Accent6 3 3 2" xfId="1735"/>
    <cellStyle name="20% - Accent6 3 3 2 2" xfId="1736"/>
    <cellStyle name="20% - Accent6 3 3 2 2 2" xfId="1737"/>
    <cellStyle name="20% - Accent6 3 3 2 2 2 2" xfId="20318"/>
    <cellStyle name="20% - Accent6 3 3 2 2 3" xfId="1738"/>
    <cellStyle name="20% - Accent6 3 3 2 2 4" xfId="1739"/>
    <cellStyle name="20% - Accent6 3 3 2 3" xfId="1740"/>
    <cellStyle name="20% - Accent6 3 3 2 3 2" xfId="1741"/>
    <cellStyle name="20% - Accent6 3 3 2 3 3" xfId="1742"/>
    <cellStyle name="20% - Accent6 3 3 2 3 4" xfId="1743"/>
    <cellStyle name="20% - Accent6 3 3 2 4" xfId="1744"/>
    <cellStyle name="20% - Accent6 3 3 2 5" xfId="1745"/>
    <cellStyle name="20% - Accent6 3 3 2 6" xfId="1746"/>
    <cellStyle name="20% - Accent6 3 3 3" xfId="1747"/>
    <cellStyle name="20% - Accent6 3 3 3 2" xfId="1748"/>
    <cellStyle name="20% - Accent6 3 3 3 2 2" xfId="20319"/>
    <cellStyle name="20% - Accent6 3 3 3 3" xfId="1749"/>
    <cellStyle name="20% - Accent6 3 3 3 4" xfId="1750"/>
    <cellStyle name="20% - Accent6 3 3 4" xfId="1751"/>
    <cellStyle name="20% - Accent6 3 3 4 2" xfId="1752"/>
    <cellStyle name="20% - Accent6 3 3 4 3" xfId="1753"/>
    <cellStyle name="20% - Accent6 3 3 4 4" xfId="1754"/>
    <cellStyle name="20% - Accent6 3 3 5" xfId="1755"/>
    <cellStyle name="20% - Accent6 3 3 6" xfId="1756"/>
    <cellStyle name="20% - Accent6 3 3 7" xfId="1757"/>
    <cellStyle name="20% - Accent6 3 4" xfId="1758"/>
    <cellStyle name="20% - Accent6 3 4 2" xfId="1759"/>
    <cellStyle name="20% - Accent6 3 4 2 2" xfId="1760"/>
    <cellStyle name="20% - Accent6 3 4 2 2 2" xfId="1761"/>
    <cellStyle name="20% - Accent6 3 4 2 2 2 2" xfId="20320"/>
    <cellStyle name="20% - Accent6 3 4 2 2 3" xfId="1762"/>
    <cellStyle name="20% - Accent6 3 4 2 2 4" xfId="1763"/>
    <cellStyle name="20% - Accent6 3 4 2 3" xfId="1764"/>
    <cellStyle name="20% - Accent6 3 4 2 3 2" xfId="1765"/>
    <cellStyle name="20% - Accent6 3 4 2 3 3" xfId="1766"/>
    <cellStyle name="20% - Accent6 3 4 2 3 4" xfId="1767"/>
    <cellStyle name="20% - Accent6 3 4 2 4" xfId="1768"/>
    <cellStyle name="20% - Accent6 3 4 2 5" xfId="1769"/>
    <cellStyle name="20% - Accent6 3 4 2 6" xfId="1770"/>
    <cellStyle name="20% - Accent6 3 4 2 7" xfId="20321"/>
    <cellStyle name="20% - Accent6 3 4 3" xfId="1771"/>
    <cellStyle name="20% - Accent6 3 4 3 2" xfId="1772"/>
    <cellStyle name="20% - Accent6 3 4 3 2 2" xfId="20322"/>
    <cellStyle name="20% - Accent6 3 4 3 3" xfId="1773"/>
    <cellStyle name="20% - Accent6 3 4 3 4" xfId="1774"/>
    <cellStyle name="20% - Accent6 3 4 4" xfId="1775"/>
    <cellStyle name="20% - Accent6 3 4 4 2" xfId="1776"/>
    <cellStyle name="20% - Accent6 3 4 4 3" xfId="1777"/>
    <cellStyle name="20% - Accent6 3 4 4 4" xfId="1778"/>
    <cellStyle name="20% - Accent6 3 4 5" xfId="1779"/>
    <cellStyle name="20% - Accent6 3 4 6" xfId="1780"/>
    <cellStyle name="20% - Accent6 3 4 7" xfId="1781"/>
    <cellStyle name="20% - Accent6 3 4 8" xfId="20323"/>
    <cellStyle name="20% - Accent6 3 5" xfId="1782"/>
    <cellStyle name="20% - Accent6 3 5 2" xfId="1783"/>
    <cellStyle name="20% - Accent6 3 5 2 2" xfId="1784"/>
    <cellStyle name="20% - Accent6 3 5 2 2 2" xfId="1785"/>
    <cellStyle name="20% - Accent6 3 5 2 2 3" xfId="1786"/>
    <cellStyle name="20% - Accent6 3 5 2 2 4" xfId="1787"/>
    <cellStyle name="20% - Accent6 3 5 2 3" xfId="1788"/>
    <cellStyle name="20% - Accent6 3 5 2 3 2" xfId="1789"/>
    <cellStyle name="20% - Accent6 3 5 2 3 3" xfId="1790"/>
    <cellStyle name="20% - Accent6 3 5 2 3 4" xfId="1791"/>
    <cellStyle name="20% - Accent6 3 5 2 4" xfId="1792"/>
    <cellStyle name="20% - Accent6 3 5 2 5" xfId="1793"/>
    <cellStyle name="20% - Accent6 3 5 2 6" xfId="1794"/>
    <cellStyle name="20% - Accent6 3 5 3" xfId="1795"/>
    <cellStyle name="20% - Accent6 3 5 3 2" xfId="1796"/>
    <cellStyle name="20% - Accent6 3 5 3 3" xfId="1797"/>
    <cellStyle name="20% - Accent6 3 5 3 4" xfId="1798"/>
    <cellStyle name="20% - Accent6 3 5 4" xfId="1799"/>
    <cellStyle name="20% - Accent6 3 5 4 2" xfId="1800"/>
    <cellStyle name="20% - Accent6 3 5 4 3" xfId="1801"/>
    <cellStyle name="20% - Accent6 3 5 4 4" xfId="1802"/>
    <cellStyle name="20% - Accent6 3 5 5" xfId="1803"/>
    <cellStyle name="20% - Accent6 3 5 6" xfId="1804"/>
    <cellStyle name="20% - Accent6 3 5 7" xfId="1805"/>
    <cellStyle name="20% - Accent6 3 6" xfId="1806"/>
    <cellStyle name="20% - Accent6 3 6 2" xfId="1807"/>
    <cellStyle name="20% - Accent6 3 6 2 2" xfId="1808"/>
    <cellStyle name="20% - Accent6 3 6 2 2 2" xfId="20324"/>
    <cellStyle name="20% - Accent6 3 6 2 3" xfId="1809"/>
    <cellStyle name="20% - Accent6 3 6 2 4" xfId="1810"/>
    <cellStyle name="20% - Accent6 3 6 3" xfId="1811"/>
    <cellStyle name="20% - Accent6 3 6 3 2" xfId="1812"/>
    <cellStyle name="20% - Accent6 3 6 3 3" xfId="1813"/>
    <cellStyle name="20% - Accent6 3 6 3 4" xfId="1814"/>
    <cellStyle name="20% - Accent6 3 6 4" xfId="1815"/>
    <cellStyle name="20% - Accent6 3 6 5" xfId="1816"/>
    <cellStyle name="20% - Accent6 3 6 6" xfId="1817"/>
    <cellStyle name="20% - Accent6 3 7" xfId="1818"/>
    <cellStyle name="20% - Accent6 3 7 2" xfId="1819"/>
    <cellStyle name="20% - Accent6 3 7 2 2" xfId="20325"/>
    <cellStyle name="20% - Accent6 3 7 2 2 2" xfId="20326"/>
    <cellStyle name="20% - Accent6 3 7 2 3" xfId="20327"/>
    <cellStyle name="20% - Accent6 3 7 3" xfId="1820"/>
    <cellStyle name="20% - Accent6 3 7 3 2" xfId="20328"/>
    <cellStyle name="20% - Accent6 3 7 4" xfId="1821"/>
    <cellStyle name="20% - Accent6 3 8" xfId="1822"/>
    <cellStyle name="20% - Accent6 3 8 2" xfId="1823"/>
    <cellStyle name="20% - Accent6 3 8 2 2" xfId="20329"/>
    <cellStyle name="20% - Accent6 3 8 3" xfId="1824"/>
    <cellStyle name="20% - Accent6 3 8 4" xfId="1825"/>
    <cellStyle name="20% - Accent6 3 9" xfId="1826"/>
    <cellStyle name="20% - Accent6 3 9 2" xfId="20330"/>
    <cellStyle name="20% - Accent6 4" xfId="22"/>
    <cellStyle name="20% - Accent6 4 2" xfId="1827"/>
    <cellStyle name="20% - Accent6 4 2 2" xfId="1828"/>
    <cellStyle name="20% - Accent6 4 2 2 2" xfId="1829"/>
    <cellStyle name="20% - Accent6 4 2 2 2 2" xfId="1830"/>
    <cellStyle name="20% - Accent6 4 2 2 2 2 2" xfId="20331"/>
    <cellStyle name="20% - Accent6 4 2 2 2 3" xfId="1831"/>
    <cellStyle name="20% - Accent6 4 2 2 2 4" xfId="1832"/>
    <cellStyle name="20% - Accent6 4 2 2 3" xfId="1833"/>
    <cellStyle name="20% - Accent6 4 2 2 3 2" xfId="1834"/>
    <cellStyle name="20% - Accent6 4 2 2 3 3" xfId="1835"/>
    <cellStyle name="20% - Accent6 4 2 2 3 4" xfId="1836"/>
    <cellStyle name="20% - Accent6 4 2 2 4" xfId="1837"/>
    <cellStyle name="20% - Accent6 4 2 2 5" xfId="1838"/>
    <cellStyle name="20% - Accent6 4 2 2 6" xfId="1839"/>
    <cellStyle name="20% - Accent6 4 2 3" xfId="1840"/>
    <cellStyle name="20% - Accent6 4 2 3 2" xfId="1841"/>
    <cellStyle name="20% - Accent6 4 2 3 2 2" xfId="20332"/>
    <cellStyle name="20% - Accent6 4 2 3 3" xfId="1842"/>
    <cellStyle name="20% - Accent6 4 2 3 4" xfId="1843"/>
    <cellStyle name="20% - Accent6 4 2 4" xfId="1844"/>
    <cellStyle name="20% - Accent6 4 2 4 2" xfId="1845"/>
    <cellStyle name="20% - Accent6 4 2 4 3" xfId="1846"/>
    <cellStyle name="20% - Accent6 4 2 4 4" xfId="1847"/>
    <cellStyle name="20% - Accent6 4 2 5" xfId="1848"/>
    <cellStyle name="20% - Accent6 4 2 6" xfId="1849"/>
    <cellStyle name="20% - Accent6 4 2 7" xfId="1850"/>
    <cellStyle name="20% - Accent6 4 3" xfId="1851"/>
    <cellStyle name="20% - Accent6 4 3 2" xfId="1852"/>
    <cellStyle name="20% - Accent6 4 3 2 2" xfId="1853"/>
    <cellStyle name="20% - Accent6 4 3 2 2 2" xfId="20333"/>
    <cellStyle name="20% - Accent6 4 3 2 3" xfId="1854"/>
    <cellStyle name="20% - Accent6 4 3 2 4" xfId="1855"/>
    <cellStyle name="20% - Accent6 4 3 3" xfId="1856"/>
    <cellStyle name="20% - Accent6 4 3 3 2" xfId="1857"/>
    <cellStyle name="20% - Accent6 4 3 3 3" xfId="1858"/>
    <cellStyle name="20% - Accent6 4 3 3 4" xfId="1859"/>
    <cellStyle name="20% - Accent6 4 3 4" xfId="1860"/>
    <cellStyle name="20% - Accent6 4 3 5" xfId="1861"/>
    <cellStyle name="20% - Accent6 4 3 6" xfId="1862"/>
    <cellStyle name="20% - Accent6 4 4" xfId="1863"/>
    <cellStyle name="20% - Accent6 4 4 2" xfId="1864"/>
    <cellStyle name="20% - Accent6 4 4 2 2" xfId="20334"/>
    <cellStyle name="20% - Accent6 4 4 3" xfId="1865"/>
    <cellStyle name="20% - Accent6 4 4 4" xfId="1866"/>
    <cellStyle name="20% - Accent6 4 5" xfId="1867"/>
    <cellStyle name="20% - Accent6 4 5 2" xfId="1868"/>
    <cellStyle name="20% - Accent6 4 5 3" xfId="1869"/>
    <cellStyle name="20% - Accent6 4 5 4" xfId="1870"/>
    <cellStyle name="20% - Accent6 4 6" xfId="1871"/>
    <cellStyle name="20% - Accent6 4 7" xfId="1872"/>
    <cellStyle name="20% - Accent6 4 8" xfId="1873"/>
    <cellStyle name="20% - Accent6 5" xfId="1874"/>
    <cellStyle name="20% - Accent6 5 2" xfId="1875"/>
    <cellStyle name="20% - Accent6 5 2 2" xfId="1876"/>
    <cellStyle name="20% - Accent6 5 2 2 2" xfId="1877"/>
    <cellStyle name="20% - Accent6 5 2 2 2 2" xfId="20335"/>
    <cellStyle name="20% - Accent6 5 2 2 3" xfId="1878"/>
    <cellStyle name="20% - Accent6 5 2 2 4" xfId="1879"/>
    <cellStyle name="20% - Accent6 5 2 3" xfId="1880"/>
    <cellStyle name="20% - Accent6 5 2 3 2" xfId="1881"/>
    <cellStyle name="20% - Accent6 5 2 3 3" xfId="1882"/>
    <cellStyle name="20% - Accent6 5 2 3 4" xfId="1883"/>
    <cellStyle name="20% - Accent6 5 2 4" xfId="1884"/>
    <cellStyle name="20% - Accent6 5 2 5" xfId="1885"/>
    <cellStyle name="20% - Accent6 5 2 6" xfId="1886"/>
    <cellStyle name="20% - Accent6 5 2 7" xfId="20336"/>
    <cellStyle name="20% - Accent6 5 2 8" xfId="20337"/>
    <cellStyle name="20% - Accent6 5 3" xfId="1887"/>
    <cellStyle name="20% - Accent6 5 3 2" xfId="1888"/>
    <cellStyle name="20% - Accent6 5 3 2 2" xfId="20338"/>
    <cellStyle name="20% - Accent6 5 3 3" xfId="1889"/>
    <cellStyle name="20% - Accent6 5 3 4" xfId="1890"/>
    <cellStyle name="20% - Accent6 5 4" xfId="1891"/>
    <cellStyle name="20% - Accent6 5 4 2" xfId="1892"/>
    <cellStyle name="20% - Accent6 5 4 3" xfId="1893"/>
    <cellStyle name="20% - Accent6 5 4 4" xfId="1894"/>
    <cellStyle name="20% - Accent6 5 5" xfId="1895"/>
    <cellStyle name="20% - Accent6 5 6" xfId="1896"/>
    <cellStyle name="20% - Accent6 5 7" xfId="1897"/>
    <cellStyle name="20% - Accent6 5 8" xfId="20339"/>
    <cellStyle name="20% - Accent6 5 9" xfId="20340"/>
    <cellStyle name="20% - Accent6 6" xfId="1898"/>
    <cellStyle name="20% - Accent6 6 2" xfId="1899"/>
    <cellStyle name="20% - Accent6 6 2 2" xfId="1900"/>
    <cellStyle name="20% - Accent6 6 2 2 2" xfId="1901"/>
    <cellStyle name="20% - Accent6 6 2 2 3" xfId="1902"/>
    <cellStyle name="20% - Accent6 6 2 2 4" xfId="1903"/>
    <cellStyle name="20% - Accent6 6 2 3" xfId="1904"/>
    <cellStyle name="20% - Accent6 6 2 3 2" xfId="1905"/>
    <cellStyle name="20% - Accent6 6 2 3 3" xfId="1906"/>
    <cellStyle name="20% - Accent6 6 2 3 4" xfId="1907"/>
    <cellStyle name="20% - Accent6 6 2 4" xfId="1908"/>
    <cellStyle name="20% - Accent6 6 2 5" xfId="1909"/>
    <cellStyle name="20% - Accent6 6 2 6" xfId="1910"/>
    <cellStyle name="20% - Accent6 6 3" xfId="1911"/>
    <cellStyle name="20% - Accent6 6 3 2" xfId="1912"/>
    <cellStyle name="20% - Accent6 6 3 3" xfId="1913"/>
    <cellStyle name="20% - Accent6 6 3 4" xfId="1914"/>
    <cellStyle name="20% - Accent6 6 4" xfId="1915"/>
    <cellStyle name="20% - Accent6 6 4 2" xfId="1916"/>
    <cellStyle name="20% - Accent6 6 4 3" xfId="1917"/>
    <cellStyle name="20% - Accent6 6 4 4" xfId="1918"/>
    <cellStyle name="20% - Accent6 6 5" xfId="1919"/>
    <cellStyle name="20% - Accent6 6 6" xfId="1920"/>
    <cellStyle name="20% - Accent6 6 7" xfId="1921"/>
    <cellStyle name="20% - Accent6 7" xfId="1922"/>
    <cellStyle name="20% - Accent6 7 2" xfId="1923"/>
    <cellStyle name="20% - Accent6 7 2 2" xfId="1924"/>
    <cellStyle name="20% - Accent6 7 2 2 2" xfId="1925"/>
    <cellStyle name="20% - Accent6 7 2 2 3" xfId="1926"/>
    <cellStyle name="20% - Accent6 7 2 2 4" xfId="1927"/>
    <cellStyle name="20% - Accent6 7 2 3" xfId="1928"/>
    <cellStyle name="20% - Accent6 7 2 3 2" xfId="1929"/>
    <cellStyle name="20% - Accent6 7 2 3 3" xfId="1930"/>
    <cellStyle name="20% - Accent6 7 2 3 4" xfId="1931"/>
    <cellStyle name="20% - Accent6 7 2 4" xfId="1932"/>
    <cellStyle name="20% - Accent6 7 2 5" xfId="1933"/>
    <cellStyle name="20% - Accent6 7 2 6" xfId="1934"/>
    <cellStyle name="20% - Accent6 7 3" xfId="1935"/>
    <cellStyle name="20% - Accent6 7 3 2" xfId="1936"/>
    <cellStyle name="20% - Accent6 7 3 3" xfId="1937"/>
    <cellStyle name="20% - Accent6 7 3 4" xfId="1938"/>
    <cellStyle name="20% - Accent6 7 4" xfId="1939"/>
    <cellStyle name="20% - Accent6 7 4 2" xfId="1940"/>
    <cellStyle name="20% - Accent6 7 4 3" xfId="1941"/>
    <cellStyle name="20% - Accent6 7 4 4" xfId="1942"/>
    <cellStyle name="20% - Accent6 7 5" xfId="1943"/>
    <cellStyle name="20% - Accent6 7 6" xfId="1944"/>
    <cellStyle name="20% - Accent6 7 7" xfId="1945"/>
    <cellStyle name="20% - Accent6 8" xfId="1946"/>
    <cellStyle name="20% - Accent6 8 2" xfId="1947"/>
    <cellStyle name="20% - Accent6 8 2 2" xfId="1948"/>
    <cellStyle name="20% - Accent6 8 2 3" xfId="1949"/>
    <cellStyle name="20% - Accent6 8 2 4" xfId="1950"/>
    <cellStyle name="20% - Accent6 8 3" xfId="1951"/>
    <cellStyle name="20% - Accent6 8 3 2" xfId="1952"/>
    <cellStyle name="20% - Accent6 8 3 3" xfId="1953"/>
    <cellStyle name="20% - Accent6 8 3 4" xfId="1954"/>
    <cellStyle name="20% - Accent6 8 4" xfId="1955"/>
    <cellStyle name="20% - Accent6 8 5" xfId="1956"/>
    <cellStyle name="20% - Accent6 8 6" xfId="1957"/>
    <cellStyle name="20% - Accent6 9" xfId="1958"/>
    <cellStyle name="20% - Accent6 9 2" xfId="1959"/>
    <cellStyle name="20% - Accent6 9 3" xfId="1960"/>
    <cellStyle name="20% - Accent6 9 4" xfId="1961"/>
    <cellStyle name="20% - akcent 1" xfId="1962"/>
    <cellStyle name="20% - akcent 2" xfId="1963"/>
    <cellStyle name="20% - akcent 3" xfId="1964"/>
    <cellStyle name="20% - akcent 4" xfId="1965"/>
    <cellStyle name="20% - akcent 5" xfId="1966"/>
    <cellStyle name="20% - akcent 6" xfId="1967"/>
    <cellStyle name="20% - Énfasis1" xfId="1968"/>
    <cellStyle name="20% - Énfasis1 2" xfId="1969"/>
    <cellStyle name="20% - Énfasis1 2 2" xfId="1970"/>
    <cellStyle name="20% - Énfasis1 2 2 2" xfId="1971"/>
    <cellStyle name="20% - Énfasis1 2 2 2 2" xfId="1972"/>
    <cellStyle name="20% - Énfasis1 2 2 2 3" xfId="1973"/>
    <cellStyle name="20% - Énfasis1 2 2 3" xfId="1974"/>
    <cellStyle name="20% - Énfasis1 2 2 4" xfId="1975"/>
    <cellStyle name="20% - Énfasis1 2 3" xfId="1976"/>
    <cellStyle name="20% - Énfasis1 2 3 2" xfId="1977"/>
    <cellStyle name="20% - Énfasis1 2 3 3" xfId="1978"/>
    <cellStyle name="20% - Énfasis1 2 4" xfId="1979"/>
    <cellStyle name="20% - Énfasis1 2 5" xfId="1980"/>
    <cellStyle name="20% - Énfasis1 2 6" xfId="1981"/>
    <cellStyle name="20% - Énfasis1 3" xfId="1982"/>
    <cellStyle name="20% - Énfasis1 3 2" xfId="1983"/>
    <cellStyle name="20% - Énfasis1 3 2 2" xfId="1984"/>
    <cellStyle name="20% - Énfasis1 3 2 3" xfId="1985"/>
    <cellStyle name="20% - Énfasis1 3 3" xfId="1986"/>
    <cellStyle name="20% - Énfasis1 3 4" xfId="1987"/>
    <cellStyle name="20% - Énfasis1 4" xfId="1988"/>
    <cellStyle name="20% - Énfasis1 4 2" xfId="1989"/>
    <cellStyle name="20% - Énfasis1 4 3" xfId="1990"/>
    <cellStyle name="20% - Énfasis1 5" xfId="1991"/>
    <cellStyle name="20% - Énfasis1 6" xfId="1992"/>
    <cellStyle name="20% - Énfasis1 7" xfId="1993"/>
    <cellStyle name="20% - Énfasis2" xfId="1994"/>
    <cellStyle name="20% - Énfasis2 2" xfId="1995"/>
    <cellStyle name="20% - Énfasis2 2 2" xfId="1996"/>
    <cellStyle name="20% - Énfasis2 2 2 2" xfId="1997"/>
    <cellStyle name="20% - Énfasis2 2 2 2 2" xfId="1998"/>
    <cellStyle name="20% - Énfasis2 2 2 2 3" xfId="1999"/>
    <cellStyle name="20% - Énfasis2 2 2 3" xfId="2000"/>
    <cellStyle name="20% - Énfasis2 2 2 4" xfId="2001"/>
    <cellStyle name="20% - Énfasis2 2 3" xfId="2002"/>
    <cellStyle name="20% - Énfasis2 2 3 2" xfId="2003"/>
    <cellStyle name="20% - Énfasis2 2 3 3" xfId="2004"/>
    <cellStyle name="20% - Énfasis2 2 4" xfId="2005"/>
    <cellStyle name="20% - Énfasis2 2 5" xfId="2006"/>
    <cellStyle name="20% - Énfasis2 2 6" xfId="2007"/>
    <cellStyle name="20% - Énfasis2 3" xfId="2008"/>
    <cellStyle name="20% - Énfasis2 3 2" xfId="2009"/>
    <cellStyle name="20% - Énfasis2 3 2 2" xfId="2010"/>
    <cellStyle name="20% - Énfasis2 3 2 3" xfId="2011"/>
    <cellStyle name="20% - Énfasis2 3 3" xfId="2012"/>
    <cellStyle name="20% - Énfasis2 3 4" xfId="2013"/>
    <cellStyle name="20% - Énfasis2 4" xfId="2014"/>
    <cellStyle name="20% - Énfasis2 4 2" xfId="2015"/>
    <cellStyle name="20% - Énfasis2 4 3" xfId="2016"/>
    <cellStyle name="20% - Énfasis2 5" xfId="2017"/>
    <cellStyle name="20% - Énfasis2 6" xfId="2018"/>
    <cellStyle name="20% - Énfasis2 7" xfId="2019"/>
    <cellStyle name="20% - Énfasis3" xfId="2020"/>
    <cellStyle name="20% - Énfasis3 2" xfId="2021"/>
    <cellStyle name="20% - Énfasis3 2 2" xfId="2022"/>
    <cellStyle name="20% - Énfasis3 2 2 2" xfId="2023"/>
    <cellStyle name="20% - Énfasis3 2 2 2 2" xfId="2024"/>
    <cellStyle name="20% - Énfasis3 2 2 2 3" xfId="2025"/>
    <cellStyle name="20% - Énfasis3 2 2 3" xfId="2026"/>
    <cellStyle name="20% - Énfasis3 2 2 4" xfId="2027"/>
    <cellStyle name="20% - Énfasis3 2 3" xfId="2028"/>
    <cellStyle name="20% - Énfasis3 2 3 2" xfId="2029"/>
    <cellStyle name="20% - Énfasis3 2 3 3" xfId="2030"/>
    <cellStyle name="20% - Énfasis3 2 4" xfId="2031"/>
    <cellStyle name="20% - Énfasis3 2 5" xfId="2032"/>
    <cellStyle name="20% - Énfasis3 2 6" xfId="2033"/>
    <cellStyle name="20% - Énfasis3 3" xfId="2034"/>
    <cellStyle name="20% - Énfasis3 3 2" xfId="2035"/>
    <cellStyle name="20% - Énfasis3 3 2 2" xfId="2036"/>
    <cellStyle name="20% - Énfasis3 3 2 3" xfId="2037"/>
    <cellStyle name="20% - Énfasis3 3 3" xfId="2038"/>
    <cellStyle name="20% - Énfasis3 3 4" xfId="2039"/>
    <cellStyle name="20% - Énfasis3 4" xfId="2040"/>
    <cellStyle name="20% - Énfasis3 4 2" xfId="2041"/>
    <cellStyle name="20% - Énfasis3 4 3" xfId="2042"/>
    <cellStyle name="20% - Énfasis3 5" xfId="2043"/>
    <cellStyle name="20% - Énfasis3 6" xfId="2044"/>
    <cellStyle name="20% - Énfasis3 7" xfId="2045"/>
    <cellStyle name="20% - Énfasis4" xfId="2046"/>
    <cellStyle name="20% - Énfasis4 2" xfId="2047"/>
    <cellStyle name="20% - Énfasis4 2 2" xfId="2048"/>
    <cellStyle name="20% - Énfasis4 2 2 2" xfId="2049"/>
    <cellStyle name="20% - Énfasis4 2 2 2 2" xfId="2050"/>
    <cellStyle name="20% - Énfasis4 2 2 2 3" xfId="2051"/>
    <cellStyle name="20% - Énfasis4 2 2 3" xfId="2052"/>
    <cellStyle name="20% - Énfasis4 2 2 4" xfId="2053"/>
    <cellStyle name="20% - Énfasis4 2 3" xfId="2054"/>
    <cellStyle name="20% - Énfasis4 2 3 2" xfId="2055"/>
    <cellStyle name="20% - Énfasis4 2 3 3" xfId="2056"/>
    <cellStyle name="20% - Énfasis4 2 4" xfId="2057"/>
    <cellStyle name="20% - Énfasis4 2 5" xfId="2058"/>
    <cellStyle name="20% - Énfasis4 2 6" xfId="2059"/>
    <cellStyle name="20% - Énfasis4 3" xfId="2060"/>
    <cellStyle name="20% - Énfasis4 3 2" xfId="2061"/>
    <cellStyle name="20% - Énfasis4 3 2 2" xfId="2062"/>
    <cellStyle name="20% - Énfasis4 3 2 3" xfId="2063"/>
    <cellStyle name="20% - Énfasis4 3 3" xfId="2064"/>
    <cellStyle name="20% - Énfasis4 3 4" xfId="2065"/>
    <cellStyle name="20% - Énfasis4 4" xfId="2066"/>
    <cellStyle name="20% - Énfasis4 4 2" xfId="2067"/>
    <cellStyle name="20% - Énfasis4 4 3" xfId="2068"/>
    <cellStyle name="20% - Énfasis4 5" xfId="2069"/>
    <cellStyle name="20% - Énfasis4 6" xfId="2070"/>
    <cellStyle name="20% - Énfasis4 7" xfId="2071"/>
    <cellStyle name="20% - Énfasis5" xfId="2072"/>
    <cellStyle name="20% - Énfasis5 2" xfId="2073"/>
    <cellStyle name="20% - Énfasis5 2 2" xfId="2074"/>
    <cellStyle name="20% - Énfasis5 2 2 2" xfId="2075"/>
    <cellStyle name="20% - Énfasis5 2 2 2 2" xfId="2076"/>
    <cellStyle name="20% - Énfasis5 2 2 2 3" xfId="2077"/>
    <cellStyle name="20% - Énfasis5 2 2 3" xfId="2078"/>
    <cellStyle name="20% - Énfasis5 2 2 4" xfId="2079"/>
    <cellStyle name="20% - Énfasis5 2 3" xfId="2080"/>
    <cellStyle name="20% - Énfasis5 2 3 2" xfId="2081"/>
    <cellStyle name="20% - Énfasis5 2 3 3" xfId="2082"/>
    <cellStyle name="20% - Énfasis5 2 4" xfId="2083"/>
    <cellStyle name="20% - Énfasis5 2 5" xfId="2084"/>
    <cellStyle name="20% - Énfasis5 2 6" xfId="2085"/>
    <cellStyle name="20% - Énfasis5 3" xfId="2086"/>
    <cellStyle name="20% - Énfasis5 3 2" xfId="2087"/>
    <cellStyle name="20% - Énfasis5 3 2 2" xfId="2088"/>
    <cellStyle name="20% - Énfasis5 3 2 3" xfId="2089"/>
    <cellStyle name="20% - Énfasis5 3 3" xfId="2090"/>
    <cellStyle name="20% - Énfasis5 3 4" xfId="2091"/>
    <cellStyle name="20% - Énfasis5 4" xfId="2092"/>
    <cellStyle name="20% - Énfasis5 4 2" xfId="2093"/>
    <cellStyle name="20% - Énfasis5 4 3" xfId="2094"/>
    <cellStyle name="20% - Énfasis5 5" xfId="2095"/>
    <cellStyle name="20% - Énfasis5 6" xfId="2096"/>
    <cellStyle name="20% - Énfasis5 7" xfId="2097"/>
    <cellStyle name="20% - Énfasis6" xfId="2098"/>
    <cellStyle name="20% - Énfasis6 2" xfId="2099"/>
    <cellStyle name="20% - Énfasis6 2 2" xfId="2100"/>
    <cellStyle name="20% - Énfasis6 2 2 2" xfId="2101"/>
    <cellStyle name="20% - Énfasis6 2 2 2 2" xfId="2102"/>
    <cellStyle name="20% - Énfasis6 2 2 2 3" xfId="2103"/>
    <cellStyle name="20% - Énfasis6 2 2 3" xfId="2104"/>
    <cellStyle name="20% - Énfasis6 2 2 4" xfId="2105"/>
    <cellStyle name="20% - Énfasis6 2 3" xfId="2106"/>
    <cellStyle name="20% - Énfasis6 2 3 2" xfId="2107"/>
    <cellStyle name="20% - Énfasis6 2 3 3" xfId="2108"/>
    <cellStyle name="20% - Énfasis6 2 4" xfId="2109"/>
    <cellStyle name="20% - Énfasis6 2 5" xfId="2110"/>
    <cellStyle name="20% - Énfasis6 2 6" xfId="2111"/>
    <cellStyle name="20% - Énfasis6 3" xfId="2112"/>
    <cellStyle name="20% - Énfasis6 3 2" xfId="2113"/>
    <cellStyle name="20% - Énfasis6 3 2 2" xfId="2114"/>
    <cellStyle name="20% - Énfasis6 3 2 3" xfId="2115"/>
    <cellStyle name="20% - Énfasis6 3 3" xfId="2116"/>
    <cellStyle name="20% - Énfasis6 3 4" xfId="2117"/>
    <cellStyle name="20% - Énfasis6 4" xfId="2118"/>
    <cellStyle name="20% - Énfasis6 4 2" xfId="2119"/>
    <cellStyle name="20% - Énfasis6 4 3" xfId="2120"/>
    <cellStyle name="20% - Énfasis6 5" xfId="2121"/>
    <cellStyle name="20% - Énfasis6 6" xfId="2122"/>
    <cellStyle name="20% - Énfasis6 7" xfId="2123"/>
    <cellStyle name="40% - Accent1 10" xfId="2124"/>
    <cellStyle name="40% - Accent1 10 2" xfId="2125"/>
    <cellStyle name="40% - Accent1 10 3" xfId="2126"/>
    <cellStyle name="40% - Accent1 10 4" xfId="2127"/>
    <cellStyle name="40% - Accent1 11" xfId="2128"/>
    <cellStyle name="40% - Accent1 11 2" xfId="2129"/>
    <cellStyle name="40% - Accent1 11 3" xfId="2130"/>
    <cellStyle name="40% - Accent1 12" xfId="2131"/>
    <cellStyle name="40% - Accent1 13" xfId="2132"/>
    <cellStyle name="40% - Accent1 14" xfId="2133"/>
    <cellStyle name="40% - Accent1 2" xfId="23"/>
    <cellStyle name="40% - Accent1 2 10" xfId="20341"/>
    <cellStyle name="40% - Accent1 2 10 2" xfId="20342"/>
    <cellStyle name="40% - Accent1 2 11" xfId="20343"/>
    <cellStyle name="40% - Accent1 2 2" xfId="2134"/>
    <cellStyle name="40% - Accent1 2 2 2" xfId="2135"/>
    <cellStyle name="40% - Accent1 2 2 2 2" xfId="2136"/>
    <cellStyle name="40% - Accent1 2 2 2 2 2" xfId="2137"/>
    <cellStyle name="40% - Accent1 2 2 2 2 2 2" xfId="20344"/>
    <cellStyle name="40% - Accent1 2 2 2 2 2 2 2" xfId="20345"/>
    <cellStyle name="40% - Accent1 2 2 2 2 2 2 2 2" xfId="20346"/>
    <cellStyle name="40% - Accent1 2 2 2 2 2 2 3" xfId="20347"/>
    <cellStyle name="40% - Accent1 2 2 2 2 2 3" xfId="20348"/>
    <cellStyle name="40% - Accent1 2 2 2 2 2 3 2" xfId="20349"/>
    <cellStyle name="40% - Accent1 2 2 2 2 2 4" xfId="20350"/>
    <cellStyle name="40% - Accent1 2 2 2 2 2 5" xfId="20351"/>
    <cellStyle name="40% - Accent1 2 2 2 2 3" xfId="2138"/>
    <cellStyle name="40% - Accent1 2 2 2 2 3 2" xfId="20352"/>
    <cellStyle name="40% - Accent1 2 2 2 2 3 2 2" xfId="20353"/>
    <cellStyle name="40% - Accent1 2 2 2 2 3 3" xfId="20354"/>
    <cellStyle name="40% - Accent1 2 2 2 2 4" xfId="20355"/>
    <cellStyle name="40% - Accent1 2 2 2 2 4 2" xfId="20356"/>
    <cellStyle name="40% - Accent1 2 2 2 2 5" xfId="20357"/>
    <cellStyle name="40% - Accent1 2 2 2 2 6" xfId="20358"/>
    <cellStyle name="40% - Accent1 2 2 2 3" xfId="2139"/>
    <cellStyle name="40% - Accent1 2 2 2 3 2" xfId="20359"/>
    <cellStyle name="40% - Accent1 2 2 2 3 2 2" xfId="20360"/>
    <cellStyle name="40% - Accent1 2 2 2 3 2 2 2" xfId="20361"/>
    <cellStyle name="40% - Accent1 2 2 2 3 2 3" xfId="20362"/>
    <cellStyle name="40% - Accent1 2 2 2 3 3" xfId="20363"/>
    <cellStyle name="40% - Accent1 2 2 2 3 3 2" xfId="20364"/>
    <cellStyle name="40% - Accent1 2 2 2 3 4" xfId="20365"/>
    <cellStyle name="40% - Accent1 2 2 2 3 5" xfId="20366"/>
    <cellStyle name="40% - Accent1 2 2 2 4" xfId="2140"/>
    <cellStyle name="40% - Accent1 2 2 2 4 2" xfId="20367"/>
    <cellStyle name="40% - Accent1 2 2 2 4 2 2" xfId="20368"/>
    <cellStyle name="40% - Accent1 2 2 2 4 3" xfId="20369"/>
    <cellStyle name="40% - Accent1 2 2 2 5" xfId="20370"/>
    <cellStyle name="40% - Accent1 2 2 2 5 2" xfId="20371"/>
    <cellStyle name="40% - Accent1 2 2 2 6" xfId="20372"/>
    <cellStyle name="40% - Accent1 2 2 2 7" xfId="20373"/>
    <cellStyle name="40% - Accent1 2 2 3" xfId="2141"/>
    <cellStyle name="40% - Accent1 2 2 3 2" xfId="2142"/>
    <cellStyle name="40% - Accent1 2 2 3 2 2" xfId="20374"/>
    <cellStyle name="40% - Accent1 2 2 3 2 2 2" xfId="20375"/>
    <cellStyle name="40% - Accent1 2 2 3 2 2 2 2" xfId="20376"/>
    <cellStyle name="40% - Accent1 2 2 3 2 2 3" xfId="20377"/>
    <cellStyle name="40% - Accent1 2 2 3 2 3" xfId="20378"/>
    <cellStyle name="40% - Accent1 2 2 3 2 3 2" xfId="20379"/>
    <cellStyle name="40% - Accent1 2 2 3 2 4" xfId="20380"/>
    <cellStyle name="40% - Accent1 2 2 3 2 5" xfId="20381"/>
    <cellStyle name="40% - Accent1 2 2 3 3" xfId="2143"/>
    <cellStyle name="40% - Accent1 2 2 3 3 2" xfId="20382"/>
    <cellStyle name="40% - Accent1 2 2 3 3 2 2" xfId="20383"/>
    <cellStyle name="40% - Accent1 2 2 3 3 3" xfId="20384"/>
    <cellStyle name="40% - Accent1 2 2 3 4" xfId="20385"/>
    <cellStyle name="40% - Accent1 2 2 3 4 2" xfId="20386"/>
    <cellStyle name="40% - Accent1 2 2 3 5" xfId="20387"/>
    <cellStyle name="40% - Accent1 2 2 3 6" xfId="20388"/>
    <cellStyle name="40% - Accent1 2 2 4" xfId="2144"/>
    <cellStyle name="40% - Accent1 2 2 4 2" xfId="20389"/>
    <cellStyle name="40% - Accent1 2 2 4 2 2" xfId="20390"/>
    <cellStyle name="40% - Accent1 2 2 4 2 2 2" xfId="20391"/>
    <cellStyle name="40% - Accent1 2 2 4 2 3" xfId="20392"/>
    <cellStyle name="40% - Accent1 2 2 4 3" xfId="20393"/>
    <cellStyle name="40% - Accent1 2 2 4 3 2" xfId="20394"/>
    <cellStyle name="40% - Accent1 2 2 4 4" xfId="20395"/>
    <cellStyle name="40% - Accent1 2 2 4 5" xfId="20396"/>
    <cellStyle name="40% - Accent1 2 2 5" xfId="2145"/>
    <cellStyle name="40% - Accent1 2 2 5 2" xfId="20397"/>
    <cellStyle name="40% - Accent1 2 2 5 2 2" xfId="20398"/>
    <cellStyle name="40% - Accent1 2 2 5 3" xfId="20399"/>
    <cellStyle name="40% - Accent1 2 2 6" xfId="19099"/>
    <cellStyle name="40% - Accent1 2 2 6 2" xfId="20400"/>
    <cellStyle name="40% - Accent1 2 2 7" xfId="20401"/>
    <cellStyle name="40% - Accent1 2 2 8" xfId="20402"/>
    <cellStyle name="40% - Accent1 2 3" xfId="2146"/>
    <cellStyle name="40% - Accent1 2 3 2" xfId="2147"/>
    <cellStyle name="40% - Accent1 2 3 2 2" xfId="2148"/>
    <cellStyle name="40% - Accent1 2 3 2 2 2" xfId="20403"/>
    <cellStyle name="40% - Accent1 2 3 2 2 2 2" xfId="20404"/>
    <cellStyle name="40% - Accent1 2 3 2 2 2 2 2" xfId="20405"/>
    <cellStyle name="40% - Accent1 2 3 2 2 2 3" xfId="20406"/>
    <cellStyle name="40% - Accent1 2 3 2 2 3" xfId="20407"/>
    <cellStyle name="40% - Accent1 2 3 2 2 3 2" xfId="20408"/>
    <cellStyle name="40% - Accent1 2 3 2 2 4" xfId="20409"/>
    <cellStyle name="40% - Accent1 2 3 2 2 5" xfId="20410"/>
    <cellStyle name="40% - Accent1 2 3 2 3" xfId="2149"/>
    <cellStyle name="40% - Accent1 2 3 2 3 2" xfId="20411"/>
    <cellStyle name="40% - Accent1 2 3 2 3 2 2" xfId="20412"/>
    <cellStyle name="40% - Accent1 2 3 2 3 3" xfId="20413"/>
    <cellStyle name="40% - Accent1 2 3 2 4" xfId="20414"/>
    <cellStyle name="40% - Accent1 2 3 2 4 2" xfId="20415"/>
    <cellStyle name="40% - Accent1 2 3 2 5" xfId="20416"/>
    <cellStyle name="40% - Accent1 2 3 2 6" xfId="20417"/>
    <cellStyle name="40% - Accent1 2 3 3" xfId="2150"/>
    <cellStyle name="40% - Accent1 2 3 3 2" xfId="20418"/>
    <cellStyle name="40% - Accent1 2 3 3 2 2" xfId="20419"/>
    <cellStyle name="40% - Accent1 2 3 3 2 2 2" xfId="20420"/>
    <cellStyle name="40% - Accent1 2 3 3 2 3" xfId="20421"/>
    <cellStyle name="40% - Accent1 2 3 3 3" xfId="20422"/>
    <cellStyle name="40% - Accent1 2 3 3 3 2" xfId="20423"/>
    <cellStyle name="40% - Accent1 2 3 3 4" xfId="20424"/>
    <cellStyle name="40% - Accent1 2 3 3 5" xfId="20425"/>
    <cellStyle name="40% - Accent1 2 3 4" xfId="2151"/>
    <cellStyle name="40% - Accent1 2 3 4 2" xfId="20426"/>
    <cellStyle name="40% - Accent1 2 3 4 2 2" xfId="20427"/>
    <cellStyle name="40% - Accent1 2 3 4 3" xfId="20428"/>
    <cellStyle name="40% - Accent1 2 3 5" xfId="20429"/>
    <cellStyle name="40% - Accent1 2 3 5 2" xfId="20430"/>
    <cellStyle name="40% - Accent1 2 3 6" xfId="20431"/>
    <cellStyle name="40% - Accent1 2 3 7" xfId="20432"/>
    <cellStyle name="40% - Accent1 2 4" xfId="2152"/>
    <cellStyle name="40% - Accent1 2 4 2" xfId="2153"/>
    <cellStyle name="40% - Accent1 2 4 2 2" xfId="20433"/>
    <cellStyle name="40% - Accent1 2 4 2 2 2" xfId="20434"/>
    <cellStyle name="40% - Accent1 2 4 2 2 2 2" xfId="20435"/>
    <cellStyle name="40% - Accent1 2 4 2 2 3" xfId="20436"/>
    <cellStyle name="40% - Accent1 2 4 2 3" xfId="20437"/>
    <cellStyle name="40% - Accent1 2 4 2 3 2" xfId="20438"/>
    <cellStyle name="40% - Accent1 2 4 2 4" xfId="20439"/>
    <cellStyle name="40% - Accent1 2 4 2 5" xfId="20440"/>
    <cellStyle name="40% - Accent1 2 4 3" xfId="2154"/>
    <cellStyle name="40% - Accent1 2 4 3 2" xfId="20441"/>
    <cellStyle name="40% - Accent1 2 4 3 2 2" xfId="20442"/>
    <cellStyle name="40% - Accent1 2 4 3 3" xfId="20443"/>
    <cellStyle name="40% - Accent1 2 4 4" xfId="20444"/>
    <cellStyle name="40% - Accent1 2 4 4 2" xfId="20445"/>
    <cellStyle name="40% - Accent1 2 4 5" xfId="20446"/>
    <cellStyle name="40% - Accent1 2 4 6" xfId="20447"/>
    <cellStyle name="40% - Accent1 2 5" xfId="2155"/>
    <cellStyle name="40% - Accent1 2 5 2" xfId="16683"/>
    <cellStyle name="40% - Accent1 2 5 2 2" xfId="20448"/>
    <cellStyle name="40% - Accent1 2 5 2 2 2" xfId="20449"/>
    <cellStyle name="40% - Accent1 2 5 2 2 2 2" xfId="20450"/>
    <cellStyle name="40% - Accent1 2 5 2 2 3" xfId="20451"/>
    <cellStyle name="40% - Accent1 2 5 2 3" xfId="20452"/>
    <cellStyle name="40% - Accent1 2 5 2 3 2" xfId="20453"/>
    <cellStyle name="40% - Accent1 2 5 2 4" xfId="20454"/>
    <cellStyle name="40% - Accent1 2 5 3" xfId="20455"/>
    <cellStyle name="40% - Accent1 2 5 3 2" xfId="20456"/>
    <cellStyle name="40% - Accent1 2 5 3 2 2" xfId="20457"/>
    <cellStyle name="40% - Accent1 2 5 3 3" xfId="20458"/>
    <cellStyle name="40% - Accent1 2 5 4" xfId="20459"/>
    <cellStyle name="40% - Accent1 2 5 4 2" xfId="20460"/>
    <cellStyle name="40% - Accent1 2 5 5" xfId="20461"/>
    <cellStyle name="40% - Accent1 2 6" xfId="2156"/>
    <cellStyle name="40% - Accent1 2 6 2" xfId="20462"/>
    <cellStyle name="40% - Accent1 2 6 2 2" xfId="20463"/>
    <cellStyle name="40% - Accent1 2 6 2 2 2" xfId="20464"/>
    <cellStyle name="40% - Accent1 2 6 2 3" xfId="20465"/>
    <cellStyle name="40% - Accent1 2 6 3" xfId="20466"/>
    <cellStyle name="40% - Accent1 2 6 3 2" xfId="20467"/>
    <cellStyle name="40% - Accent1 2 6 4" xfId="20468"/>
    <cellStyle name="40% - Accent1 2 6 5" xfId="20469"/>
    <cellStyle name="40% - Accent1 2 7" xfId="2157"/>
    <cellStyle name="40% - Accent1 2 7 2" xfId="20470"/>
    <cellStyle name="40% - Accent1 2 7 2 2" xfId="20471"/>
    <cellStyle name="40% - Accent1 2 7 2 2 2" xfId="20472"/>
    <cellStyle name="40% - Accent1 2 7 2 3" xfId="20473"/>
    <cellStyle name="40% - Accent1 2 7 3" xfId="20474"/>
    <cellStyle name="40% - Accent1 2 7 3 2" xfId="20475"/>
    <cellStyle name="40% - Accent1 2 7 4" xfId="20476"/>
    <cellStyle name="40% - Accent1 2 8" xfId="20477"/>
    <cellStyle name="40% - Accent1 2 8 2" xfId="20478"/>
    <cellStyle name="40% - Accent1 2 8 2 2" xfId="20479"/>
    <cellStyle name="40% - Accent1 2 8 2 2 2" xfId="20480"/>
    <cellStyle name="40% - Accent1 2 8 2 3" xfId="20481"/>
    <cellStyle name="40% - Accent1 2 8 3" xfId="20482"/>
    <cellStyle name="40% - Accent1 2 8 3 2" xfId="20483"/>
    <cellStyle name="40% - Accent1 2 8 4" xfId="20484"/>
    <cellStyle name="40% - Accent1 2 9" xfId="20485"/>
    <cellStyle name="40% - Accent1 2 9 2" xfId="20486"/>
    <cellStyle name="40% - Accent1 2 9 2 2" xfId="20487"/>
    <cellStyle name="40% - Accent1 2 9 3" xfId="20488"/>
    <cellStyle name="40% - Accent1 3" xfId="24"/>
    <cellStyle name="40% - Accent1 3 10" xfId="2158"/>
    <cellStyle name="40% - Accent1 3 11" xfId="2159"/>
    <cellStyle name="40% - Accent1 3 2" xfId="2160"/>
    <cellStyle name="40% - Accent1 3 2 2" xfId="2161"/>
    <cellStyle name="40% - Accent1 3 2 2 2" xfId="2162"/>
    <cellStyle name="40% - Accent1 3 2 2 2 2" xfId="2163"/>
    <cellStyle name="40% - Accent1 3 2 2 2 2 2" xfId="2164"/>
    <cellStyle name="40% - Accent1 3 2 2 2 2 2 2" xfId="20489"/>
    <cellStyle name="40% - Accent1 3 2 2 2 2 3" xfId="2165"/>
    <cellStyle name="40% - Accent1 3 2 2 2 2 4" xfId="2166"/>
    <cellStyle name="40% - Accent1 3 2 2 2 3" xfId="2167"/>
    <cellStyle name="40% - Accent1 3 2 2 2 3 2" xfId="2168"/>
    <cellStyle name="40% - Accent1 3 2 2 2 3 3" xfId="2169"/>
    <cellStyle name="40% - Accent1 3 2 2 2 3 4" xfId="2170"/>
    <cellStyle name="40% - Accent1 3 2 2 2 4" xfId="2171"/>
    <cellStyle name="40% - Accent1 3 2 2 2 5" xfId="2172"/>
    <cellStyle name="40% - Accent1 3 2 2 2 6" xfId="2173"/>
    <cellStyle name="40% - Accent1 3 2 2 3" xfId="2174"/>
    <cellStyle name="40% - Accent1 3 2 2 3 2" xfId="2175"/>
    <cellStyle name="40% - Accent1 3 2 2 3 2 2" xfId="20490"/>
    <cellStyle name="40% - Accent1 3 2 2 3 3" xfId="2176"/>
    <cellStyle name="40% - Accent1 3 2 2 3 4" xfId="2177"/>
    <cellStyle name="40% - Accent1 3 2 2 4" xfId="2178"/>
    <cellStyle name="40% - Accent1 3 2 2 4 2" xfId="2179"/>
    <cellStyle name="40% - Accent1 3 2 2 4 3" xfId="2180"/>
    <cellStyle name="40% - Accent1 3 2 2 4 4" xfId="2181"/>
    <cellStyle name="40% - Accent1 3 2 2 5" xfId="2182"/>
    <cellStyle name="40% - Accent1 3 2 2 6" xfId="2183"/>
    <cellStyle name="40% - Accent1 3 2 2 7" xfId="2184"/>
    <cellStyle name="40% - Accent1 3 2 3" xfId="2185"/>
    <cellStyle name="40% - Accent1 3 2 3 2" xfId="2186"/>
    <cellStyle name="40% - Accent1 3 2 3 2 2" xfId="2187"/>
    <cellStyle name="40% - Accent1 3 2 3 2 2 2" xfId="20491"/>
    <cellStyle name="40% - Accent1 3 2 3 2 3" xfId="2188"/>
    <cellStyle name="40% - Accent1 3 2 3 2 4" xfId="2189"/>
    <cellStyle name="40% - Accent1 3 2 3 3" xfId="2190"/>
    <cellStyle name="40% - Accent1 3 2 3 3 2" xfId="2191"/>
    <cellStyle name="40% - Accent1 3 2 3 3 3" xfId="2192"/>
    <cellStyle name="40% - Accent1 3 2 3 3 4" xfId="2193"/>
    <cellStyle name="40% - Accent1 3 2 3 4" xfId="2194"/>
    <cellStyle name="40% - Accent1 3 2 3 5" xfId="2195"/>
    <cellStyle name="40% - Accent1 3 2 3 6" xfId="2196"/>
    <cellStyle name="40% - Accent1 3 2 4" xfId="2197"/>
    <cellStyle name="40% - Accent1 3 2 4 2" xfId="2198"/>
    <cellStyle name="40% - Accent1 3 2 4 2 2" xfId="20492"/>
    <cellStyle name="40% - Accent1 3 2 4 3" xfId="2199"/>
    <cellStyle name="40% - Accent1 3 2 4 4" xfId="2200"/>
    <cellStyle name="40% - Accent1 3 2 5" xfId="2201"/>
    <cellStyle name="40% - Accent1 3 2 5 2" xfId="2202"/>
    <cellStyle name="40% - Accent1 3 2 5 3" xfId="2203"/>
    <cellStyle name="40% - Accent1 3 2 5 4" xfId="2204"/>
    <cellStyle name="40% - Accent1 3 2 6" xfId="2205"/>
    <cellStyle name="40% - Accent1 3 2 7" xfId="2206"/>
    <cellStyle name="40% - Accent1 3 2 8" xfId="2207"/>
    <cellStyle name="40% - Accent1 3 3" xfId="2208"/>
    <cellStyle name="40% - Accent1 3 3 2" xfId="2209"/>
    <cellStyle name="40% - Accent1 3 3 2 2" xfId="2210"/>
    <cellStyle name="40% - Accent1 3 3 2 2 2" xfId="2211"/>
    <cellStyle name="40% - Accent1 3 3 2 2 2 2" xfId="20493"/>
    <cellStyle name="40% - Accent1 3 3 2 2 3" xfId="2212"/>
    <cellStyle name="40% - Accent1 3 3 2 2 4" xfId="2213"/>
    <cellStyle name="40% - Accent1 3 3 2 3" xfId="2214"/>
    <cellStyle name="40% - Accent1 3 3 2 3 2" xfId="2215"/>
    <cellStyle name="40% - Accent1 3 3 2 3 3" xfId="2216"/>
    <cellStyle name="40% - Accent1 3 3 2 3 4" xfId="2217"/>
    <cellStyle name="40% - Accent1 3 3 2 4" xfId="2218"/>
    <cellStyle name="40% - Accent1 3 3 2 5" xfId="2219"/>
    <cellStyle name="40% - Accent1 3 3 2 6" xfId="2220"/>
    <cellStyle name="40% - Accent1 3 3 3" xfId="2221"/>
    <cellStyle name="40% - Accent1 3 3 3 2" xfId="2222"/>
    <cellStyle name="40% - Accent1 3 3 3 2 2" xfId="20494"/>
    <cellStyle name="40% - Accent1 3 3 3 3" xfId="2223"/>
    <cellStyle name="40% - Accent1 3 3 3 4" xfId="2224"/>
    <cellStyle name="40% - Accent1 3 3 4" xfId="2225"/>
    <cellStyle name="40% - Accent1 3 3 4 2" xfId="2226"/>
    <cellStyle name="40% - Accent1 3 3 4 3" xfId="2227"/>
    <cellStyle name="40% - Accent1 3 3 4 4" xfId="2228"/>
    <cellStyle name="40% - Accent1 3 3 5" xfId="2229"/>
    <cellStyle name="40% - Accent1 3 3 6" xfId="2230"/>
    <cellStyle name="40% - Accent1 3 3 7" xfId="2231"/>
    <cellStyle name="40% - Accent1 3 4" xfId="2232"/>
    <cellStyle name="40% - Accent1 3 4 2" xfId="2233"/>
    <cellStyle name="40% - Accent1 3 4 2 2" xfId="2234"/>
    <cellStyle name="40% - Accent1 3 4 2 2 2" xfId="2235"/>
    <cellStyle name="40% - Accent1 3 4 2 2 2 2" xfId="20495"/>
    <cellStyle name="40% - Accent1 3 4 2 2 3" xfId="2236"/>
    <cellStyle name="40% - Accent1 3 4 2 2 4" xfId="2237"/>
    <cellStyle name="40% - Accent1 3 4 2 3" xfId="2238"/>
    <cellStyle name="40% - Accent1 3 4 2 3 2" xfId="2239"/>
    <cellStyle name="40% - Accent1 3 4 2 3 3" xfId="2240"/>
    <cellStyle name="40% - Accent1 3 4 2 3 4" xfId="2241"/>
    <cellStyle name="40% - Accent1 3 4 2 4" xfId="2242"/>
    <cellStyle name="40% - Accent1 3 4 2 5" xfId="2243"/>
    <cellStyle name="40% - Accent1 3 4 2 6" xfId="2244"/>
    <cellStyle name="40% - Accent1 3 4 2 7" xfId="20496"/>
    <cellStyle name="40% - Accent1 3 4 3" xfId="2245"/>
    <cellStyle name="40% - Accent1 3 4 3 2" xfId="2246"/>
    <cellStyle name="40% - Accent1 3 4 3 2 2" xfId="20497"/>
    <cellStyle name="40% - Accent1 3 4 3 3" xfId="2247"/>
    <cellStyle name="40% - Accent1 3 4 3 4" xfId="2248"/>
    <cellStyle name="40% - Accent1 3 4 4" xfId="2249"/>
    <cellStyle name="40% - Accent1 3 4 4 2" xfId="2250"/>
    <cellStyle name="40% - Accent1 3 4 4 3" xfId="2251"/>
    <cellStyle name="40% - Accent1 3 4 4 4" xfId="2252"/>
    <cellStyle name="40% - Accent1 3 4 5" xfId="2253"/>
    <cellStyle name="40% - Accent1 3 4 6" xfId="2254"/>
    <cellStyle name="40% - Accent1 3 4 7" xfId="2255"/>
    <cellStyle name="40% - Accent1 3 4 8" xfId="20498"/>
    <cellStyle name="40% - Accent1 3 5" xfId="2256"/>
    <cellStyle name="40% - Accent1 3 5 2" xfId="2257"/>
    <cellStyle name="40% - Accent1 3 5 2 2" xfId="2258"/>
    <cellStyle name="40% - Accent1 3 5 2 2 2" xfId="2259"/>
    <cellStyle name="40% - Accent1 3 5 2 2 3" xfId="2260"/>
    <cellStyle name="40% - Accent1 3 5 2 2 4" xfId="2261"/>
    <cellStyle name="40% - Accent1 3 5 2 3" xfId="2262"/>
    <cellStyle name="40% - Accent1 3 5 2 3 2" xfId="2263"/>
    <cellStyle name="40% - Accent1 3 5 2 3 3" xfId="2264"/>
    <cellStyle name="40% - Accent1 3 5 2 3 4" xfId="2265"/>
    <cellStyle name="40% - Accent1 3 5 2 4" xfId="2266"/>
    <cellStyle name="40% - Accent1 3 5 2 5" xfId="2267"/>
    <cellStyle name="40% - Accent1 3 5 2 6" xfId="2268"/>
    <cellStyle name="40% - Accent1 3 5 3" xfId="2269"/>
    <cellStyle name="40% - Accent1 3 5 3 2" xfId="2270"/>
    <cellStyle name="40% - Accent1 3 5 3 3" xfId="2271"/>
    <cellStyle name="40% - Accent1 3 5 3 4" xfId="2272"/>
    <cellStyle name="40% - Accent1 3 5 4" xfId="2273"/>
    <cellStyle name="40% - Accent1 3 5 4 2" xfId="2274"/>
    <cellStyle name="40% - Accent1 3 5 4 3" xfId="2275"/>
    <cellStyle name="40% - Accent1 3 5 4 4" xfId="2276"/>
    <cellStyle name="40% - Accent1 3 5 5" xfId="2277"/>
    <cellStyle name="40% - Accent1 3 5 6" xfId="2278"/>
    <cellStyle name="40% - Accent1 3 5 7" xfId="2279"/>
    <cellStyle name="40% - Accent1 3 6" xfId="2280"/>
    <cellStyle name="40% - Accent1 3 6 2" xfId="2281"/>
    <cellStyle name="40% - Accent1 3 6 2 2" xfId="2282"/>
    <cellStyle name="40% - Accent1 3 6 2 2 2" xfId="20499"/>
    <cellStyle name="40% - Accent1 3 6 2 3" xfId="2283"/>
    <cellStyle name="40% - Accent1 3 6 2 4" xfId="2284"/>
    <cellStyle name="40% - Accent1 3 6 3" xfId="2285"/>
    <cellStyle name="40% - Accent1 3 6 3 2" xfId="2286"/>
    <cellStyle name="40% - Accent1 3 6 3 3" xfId="2287"/>
    <cellStyle name="40% - Accent1 3 6 3 4" xfId="2288"/>
    <cellStyle name="40% - Accent1 3 6 4" xfId="2289"/>
    <cellStyle name="40% - Accent1 3 6 5" xfId="2290"/>
    <cellStyle name="40% - Accent1 3 6 6" xfId="2291"/>
    <cellStyle name="40% - Accent1 3 7" xfId="2292"/>
    <cellStyle name="40% - Accent1 3 7 2" xfId="2293"/>
    <cellStyle name="40% - Accent1 3 7 2 2" xfId="20500"/>
    <cellStyle name="40% - Accent1 3 7 2 2 2" xfId="20501"/>
    <cellStyle name="40% - Accent1 3 7 2 3" xfId="20502"/>
    <cellStyle name="40% - Accent1 3 7 3" xfId="2294"/>
    <cellStyle name="40% - Accent1 3 7 3 2" xfId="20503"/>
    <cellStyle name="40% - Accent1 3 7 4" xfId="2295"/>
    <cellStyle name="40% - Accent1 3 8" xfId="2296"/>
    <cellStyle name="40% - Accent1 3 8 2" xfId="2297"/>
    <cellStyle name="40% - Accent1 3 8 2 2" xfId="20504"/>
    <cellStyle name="40% - Accent1 3 8 3" xfId="2298"/>
    <cellStyle name="40% - Accent1 3 8 4" xfId="2299"/>
    <cellStyle name="40% - Accent1 3 9" xfId="2300"/>
    <cellStyle name="40% - Accent1 3 9 2" xfId="20505"/>
    <cellStyle name="40% - Accent1 4" xfId="25"/>
    <cellStyle name="40% - Accent1 4 2" xfId="2301"/>
    <cellStyle name="40% - Accent1 4 2 2" xfId="2302"/>
    <cellStyle name="40% - Accent1 4 2 2 2" xfId="2303"/>
    <cellStyle name="40% - Accent1 4 2 2 2 2" xfId="2304"/>
    <cellStyle name="40% - Accent1 4 2 2 2 2 2" xfId="20506"/>
    <cellStyle name="40% - Accent1 4 2 2 2 3" xfId="2305"/>
    <cellStyle name="40% - Accent1 4 2 2 2 4" xfId="2306"/>
    <cellStyle name="40% - Accent1 4 2 2 3" xfId="2307"/>
    <cellStyle name="40% - Accent1 4 2 2 3 2" xfId="2308"/>
    <cellStyle name="40% - Accent1 4 2 2 3 3" xfId="2309"/>
    <cellStyle name="40% - Accent1 4 2 2 3 4" xfId="2310"/>
    <cellStyle name="40% - Accent1 4 2 2 4" xfId="2311"/>
    <cellStyle name="40% - Accent1 4 2 2 5" xfId="2312"/>
    <cellStyle name="40% - Accent1 4 2 2 6" xfId="2313"/>
    <cellStyle name="40% - Accent1 4 2 3" xfId="2314"/>
    <cellStyle name="40% - Accent1 4 2 3 2" xfId="2315"/>
    <cellStyle name="40% - Accent1 4 2 3 2 2" xfId="20507"/>
    <cellStyle name="40% - Accent1 4 2 3 3" xfId="2316"/>
    <cellStyle name="40% - Accent1 4 2 3 4" xfId="2317"/>
    <cellStyle name="40% - Accent1 4 2 4" xfId="2318"/>
    <cellStyle name="40% - Accent1 4 2 4 2" xfId="2319"/>
    <cellStyle name="40% - Accent1 4 2 4 3" xfId="2320"/>
    <cellStyle name="40% - Accent1 4 2 4 4" xfId="2321"/>
    <cellStyle name="40% - Accent1 4 2 5" xfId="2322"/>
    <cellStyle name="40% - Accent1 4 2 6" xfId="2323"/>
    <cellStyle name="40% - Accent1 4 2 7" xfId="2324"/>
    <cellStyle name="40% - Accent1 4 3" xfId="2325"/>
    <cellStyle name="40% - Accent1 4 3 2" xfId="2326"/>
    <cellStyle name="40% - Accent1 4 3 2 2" xfId="2327"/>
    <cellStyle name="40% - Accent1 4 3 2 2 2" xfId="20508"/>
    <cellStyle name="40% - Accent1 4 3 2 3" xfId="2328"/>
    <cellStyle name="40% - Accent1 4 3 2 4" xfId="2329"/>
    <cellStyle name="40% - Accent1 4 3 3" xfId="2330"/>
    <cellStyle name="40% - Accent1 4 3 3 2" xfId="2331"/>
    <cellStyle name="40% - Accent1 4 3 3 3" xfId="2332"/>
    <cellStyle name="40% - Accent1 4 3 3 4" xfId="2333"/>
    <cellStyle name="40% - Accent1 4 3 4" xfId="2334"/>
    <cellStyle name="40% - Accent1 4 3 5" xfId="2335"/>
    <cellStyle name="40% - Accent1 4 3 6" xfId="2336"/>
    <cellStyle name="40% - Accent1 4 4" xfId="2337"/>
    <cellStyle name="40% - Accent1 4 4 2" xfId="2338"/>
    <cellStyle name="40% - Accent1 4 4 2 2" xfId="20509"/>
    <cellStyle name="40% - Accent1 4 4 3" xfId="2339"/>
    <cellStyle name="40% - Accent1 4 4 4" xfId="2340"/>
    <cellStyle name="40% - Accent1 4 5" xfId="2341"/>
    <cellStyle name="40% - Accent1 4 5 2" xfId="2342"/>
    <cellStyle name="40% - Accent1 4 5 3" xfId="2343"/>
    <cellStyle name="40% - Accent1 4 5 4" xfId="2344"/>
    <cellStyle name="40% - Accent1 4 6" xfId="2345"/>
    <cellStyle name="40% - Accent1 4 7" xfId="2346"/>
    <cellStyle name="40% - Accent1 4 8" xfId="2347"/>
    <cellStyle name="40% - Accent1 5" xfId="2348"/>
    <cellStyle name="40% - Accent1 5 2" xfId="2349"/>
    <cellStyle name="40% - Accent1 5 2 2" xfId="2350"/>
    <cellStyle name="40% - Accent1 5 2 2 2" xfId="2351"/>
    <cellStyle name="40% - Accent1 5 2 2 2 2" xfId="20510"/>
    <cellStyle name="40% - Accent1 5 2 2 3" xfId="2352"/>
    <cellStyle name="40% - Accent1 5 2 2 4" xfId="2353"/>
    <cellStyle name="40% - Accent1 5 2 3" xfId="2354"/>
    <cellStyle name="40% - Accent1 5 2 3 2" xfId="2355"/>
    <cellStyle name="40% - Accent1 5 2 3 3" xfId="2356"/>
    <cellStyle name="40% - Accent1 5 2 3 4" xfId="2357"/>
    <cellStyle name="40% - Accent1 5 2 4" xfId="2358"/>
    <cellStyle name="40% - Accent1 5 2 5" xfId="2359"/>
    <cellStyle name="40% - Accent1 5 2 6" xfId="2360"/>
    <cellStyle name="40% - Accent1 5 2 7" xfId="20511"/>
    <cellStyle name="40% - Accent1 5 2 8" xfId="20512"/>
    <cellStyle name="40% - Accent1 5 3" xfId="2361"/>
    <cellStyle name="40% - Accent1 5 3 2" xfId="2362"/>
    <cellStyle name="40% - Accent1 5 3 2 2" xfId="20513"/>
    <cellStyle name="40% - Accent1 5 3 3" xfId="2363"/>
    <cellStyle name="40% - Accent1 5 3 4" xfId="2364"/>
    <cellStyle name="40% - Accent1 5 4" xfId="2365"/>
    <cellStyle name="40% - Accent1 5 4 2" xfId="2366"/>
    <cellStyle name="40% - Accent1 5 4 3" xfId="2367"/>
    <cellStyle name="40% - Accent1 5 4 4" xfId="2368"/>
    <cellStyle name="40% - Accent1 5 5" xfId="2369"/>
    <cellStyle name="40% - Accent1 5 6" xfId="2370"/>
    <cellStyle name="40% - Accent1 5 7" xfId="2371"/>
    <cellStyle name="40% - Accent1 5 8" xfId="20514"/>
    <cellStyle name="40% - Accent1 5 9" xfId="20515"/>
    <cellStyle name="40% - Accent1 6" xfId="2372"/>
    <cellStyle name="40% - Accent1 6 2" xfId="2373"/>
    <cellStyle name="40% - Accent1 6 2 2" xfId="2374"/>
    <cellStyle name="40% - Accent1 6 2 2 2" xfId="2375"/>
    <cellStyle name="40% - Accent1 6 2 2 3" xfId="2376"/>
    <cellStyle name="40% - Accent1 6 2 2 4" xfId="2377"/>
    <cellStyle name="40% - Accent1 6 2 3" xfId="2378"/>
    <cellStyle name="40% - Accent1 6 2 3 2" xfId="2379"/>
    <cellStyle name="40% - Accent1 6 2 3 3" xfId="2380"/>
    <cellStyle name="40% - Accent1 6 2 3 4" xfId="2381"/>
    <cellStyle name="40% - Accent1 6 2 4" xfId="2382"/>
    <cellStyle name="40% - Accent1 6 2 5" xfId="2383"/>
    <cellStyle name="40% - Accent1 6 2 6" xfId="2384"/>
    <cellStyle name="40% - Accent1 6 3" xfId="2385"/>
    <cellStyle name="40% - Accent1 6 3 2" xfId="2386"/>
    <cellStyle name="40% - Accent1 6 3 3" xfId="2387"/>
    <cellStyle name="40% - Accent1 6 3 4" xfId="2388"/>
    <cellStyle name="40% - Accent1 6 4" xfId="2389"/>
    <cellStyle name="40% - Accent1 6 4 2" xfId="2390"/>
    <cellStyle name="40% - Accent1 6 4 3" xfId="2391"/>
    <cellStyle name="40% - Accent1 6 4 4" xfId="2392"/>
    <cellStyle name="40% - Accent1 6 5" xfId="2393"/>
    <cellStyle name="40% - Accent1 6 6" xfId="2394"/>
    <cellStyle name="40% - Accent1 6 7" xfId="2395"/>
    <cellStyle name="40% - Accent1 7" xfId="2396"/>
    <cellStyle name="40% - Accent1 7 2" xfId="2397"/>
    <cellStyle name="40% - Accent1 7 2 2" xfId="2398"/>
    <cellStyle name="40% - Accent1 7 2 2 2" xfId="2399"/>
    <cellStyle name="40% - Accent1 7 2 2 3" xfId="2400"/>
    <cellStyle name="40% - Accent1 7 2 2 4" xfId="2401"/>
    <cellStyle name="40% - Accent1 7 2 3" xfId="2402"/>
    <cellStyle name="40% - Accent1 7 2 3 2" xfId="2403"/>
    <cellStyle name="40% - Accent1 7 2 3 3" xfId="2404"/>
    <cellStyle name="40% - Accent1 7 2 3 4" xfId="2405"/>
    <cellStyle name="40% - Accent1 7 2 4" xfId="2406"/>
    <cellStyle name="40% - Accent1 7 2 5" xfId="2407"/>
    <cellStyle name="40% - Accent1 7 2 6" xfId="2408"/>
    <cellStyle name="40% - Accent1 7 3" xfId="2409"/>
    <cellStyle name="40% - Accent1 7 3 2" xfId="2410"/>
    <cellStyle name="40% - Accent1 7 3 3" xfId="2411"/>
    <cellStyle name="40% - Accent1 7 3 4" xfId="2412"/>
    <cellStyle name="40% - Accent1 7 4" xfId="2413"/>
    <cellStyle name="40% - Accent1 7 4 2" xfId="2414"/>
    <cellStyle name="40% - Accent1 7 4 3" xfId="2415"/>
    <cellStyle name="40% - Accent1 7 4 4" xfId="2416"/>
    <cellStyle name="40% - Accent1 7 5" xfId="2417"/>
    <cellStyle name="40% - Accent1 7 6" xfId="2418"/>
    <cellStyle name="40% - Accent1 7 7" xfId="2419"/>
    <cellStyle name="40% - Accent1 8" xfId="2420"/>
    <cellStyle name="40% - Accent1 8 2" xfId="2421"/>
    <cellStyle name="40% - Accent1 8 2 2" xfId="2422"/>
    <cellStyle name="40% - Accent1 8 2 3" xfId="2423"/>
    <cellStyle name="40% - Accent1 8 2 4" xfId="2424"/>
    <cellStyle name="40% - Accent1 8 3" xfId="2425"/>
    <cellStyle name="40% - Accent1 8 3 2" xfId="2426"/>
    <cellStyle name="40% - Accent1 8 3 3" xfId="2427"/>
    <cellStyle name="40% - Accent1 8 3 4" xfId="2428"/>
    <cellStyle name="40% - Accent1 8 4" xfId="2429"/>
    <cellStyle name="40% - Accent1 8 5" xfId="2430"/>
    <cellStyle name="40% - Accent1 8 6" xfId="2431"/>
    <cellStyle name="40% - Accent1 9" xfId="2432"/>
    <cellStyle name="40% - Accent1 9 2" xfId="2433"/>
    <cellStyle name="40% - Accent1 9 3" xfId="2434"/>
    <cellStyle name="40% - Accent1 9 4" xfId="2435"/>
    <cellStyle name="40% - Accent2 10" xfId="2436"/>
    <cellStyle name="40% - Accent2 10 2" xfId="2437"/>
    <cellStyle name="40% - Accent2 10 3" xfId="2438"/>
    <cellStyle name="40% - Accent2 10 4" xfId="2439"/>
    <cellStyle name="40% - Accent2 11" xfId="2440"/>
    <cellStyle name="40% - Accent2 11 2" xfId="2441"/>
    <cellStyle name="40% - Accent2 11 3" xfId="2442"/>
    <cellStyle name="40% - Accent2 12" xfId="2443"/>
    <cellStyle name="40% - Accent2 13" xfId="2444"/>
    <cellStyle name="40% - Accent2 14" xfId="2445"/>
    <cellStyle name="40% - Accent2 2" xfId="26"/>
    <cellStyle name="40% - Accent2 2 2" xfId="2446"/>
    <cellStyle name="40% - Accent2 2 2 2" xfId="2447"/>
    <cellStyle name="40% - Accent2 2 2 2 2" xfId="2448"/>
    <cellStyle name="40% - Accent2 2 2 2 2 2" xfId="2449"/>
    <cellStyle name="40% - Accent2 2 2 2 2 2 2" xfId="20516"/>
    <cellStyle name="40% - Accent2 2 2 2 2 2 2 2" xfId="20517"/>
    <cellStyle name="40% - Accent2 2 2 2 2 2 2 2 2" xfId="20518"/>
    <cellStyle name="40% - Accent2 2 2 2 2 2 2 3" xfId="20519"/>
    <cellStyle name="40% - Accent2 2 2 2 2 2 3" xfId="20520"/>
    <cellStyle name="40% - Accent2 2 2 2 2 2 3 2" xfId="20521"/>
    <cellStyle name="40% - Accent2 2 2 2 2 2 4" xfId="20522"/>
    <cellStyle name="40% - Accent2 2 2 2 2 2 5" xfId="20523"/>
    <cellStyle name="40% - Accent2 2 2 2 2 3" xfId="2450"/>
    <cellStyle name="40% - Accent2 2 2 2 2 3 2" xfId="20524"/>
    <cellStyle name="40% - Accent2 2 2 2 2 3 2 2" xfId="20525"/>
    <cellStyle name="40% - Accent2 2 2 2 2 3 3" xfId="20526"/>
    <cellStyle name="40% - Accent2 2 2 2 2 4" xfId="20527"/>
    <cellStyle name="40% - Accent2 2 2 2 2 4 2" xfId="20528"/>
    <cellStyle name="40% - Accent2 2 2 2 2 5" xfId="20529"/>
    <cellStyle name="40% - Accent2 2 2 2 2 6" xfId="20530"/>
    <cellStyle name="40% - Accent2 2 2 2 3" xfId="2451"/>
    <cellStyle name="40% - Accent2 2 2 2 3 2" xfId="20531"/>
    <cellStyle name="40% - Accent2 2 2 2 3 2 2" xfId="20532"/>
    <cellStyle name="40% - Accent2 2 2 2 3 2 2 2" xfId="20533"/>
    <cellStyle name="40% - Accent2 2 2 2 3 2 3" xfId="20534"/>
    <cellStyle name="40% - Accent2 2 2 2 3 3" xfId="20535"/>
    <cellStyle name="40% - Accent2 2 2 2 3 3 2" xfId="20536"/>
    <cellStyle name="40% - Accent2 2 2 2 3 4" xfId="20537"/>
    <cellStyle name="40% - Accent2 2 2 2 3 5" xfId="20538"/>
    <cellStyle name="40% - Accent2 2 2 2 4" xfId="2452"/>
    <cellStyle name="40% - Accent2 2 2 2 4 2" xfId="20539"/>
    <cellStyle name="40% - Accent2 2 2 2 4 2 2" xfId="20540"/>
    <cellStyle name="40% - Accent2 2 2 2 4 3" xfId="20541"/>
    <cellStyle name="40% - Accent2 2 2 2 5" xfId="20542"/>
    <cellStyle name="40% - Accent2 2 2 2 5 2" xfId="20543"/>
    <cellStyle name="40% - Accent2 2 2 2 6" xfId="20544"/>
    <cellStyle name="40% - Accent2 2 2 2 7" xfId="20545"/>
    <cellStyle name="40% - Accent2 2 2 3" xfId="2453"/>
    <cellStyle name="40% - Accent2 2 2 3 2" xfId="2454"/>
    <cellStyle name="40% - Accent2 2 2 3 2 2" xfId="20546"/>
    <cellStyle name="40% - Accent2 2 2 3 2 2 2" xfId="20547"/>
    <cellStyle name="40% - Accent2 2 2 3 2 2 2 2" xfId="20548"/>
    <cellStyle name="40% - Accent2 2 2 3 2 2 3" xfId="20549"/>
    <cellStyle name="40% - Accent2 2 2 3 2 3" xfId="20550"/>
    <cellStyle name="40% - Accent2 2 2 3 2 3 2" xfId="20551"/>
    <cellStyle name="40% - Accent2 2 2 3 2 4" xfId="20552"/>
    <cellStyle name="40% - Accent2 2 2 3 2 5" xfId="20553"/>
    <cellStyle name="40% - Accent2 2 2 3 3" xfId="2455"/>
    <cellStyle name="40% - Accent2 2 2 3 3 2" xfId="20554"/>
    <cellStyle name="40% - Accent2 2 2 3 3 2 2" xfId="20555"/>
    <cellStyle name="40% - Accent2 2 2 3 3 3" xfId="20556"/>
    <cellStyle name="40% - Accent2 2 2 3 4" xfId="20557"/>
    <cellStyle name="40% - Accent2 2 2 3 4 2" xfId="20558"/>
    <cellStyle name="40% - Accent2 2 2 3 5" xfId="20559"/>
    <cellStyle name="40% - Accent2 2 2 3 6" xfId="20560"/>
    <cellStyle name="40% - Accent2 2 2 4" xfId="2456"/>
    <cellStyle name="40% - Accent2 2 2 4 2" xfId="20561"/>
    <cellStyle name="40% - Accent2 2 2 4 2 2" xfId="20562"/>
    <cellStyle name="40% - Accent2 2 2 4 2 2 2" xfId="20563"/>
    <cellStyle name="40% - Accent2 2 2 4 2 3" xfId="20564"/>
    <cellStyle name="40% - Accent2 2 2 4 3" xfId="20565"/>
    <cellStyle name="40% - Accent2 2 2 4 3 2" xfId="20566"/>
    <cellStyle name="40% - Accent2 2 2 4 4" xfId="20567"/>
    <cellStyle name="40% - Accent2 2 2 4 5" xfId="20568"/>
    <cellStyle name="40% - Accent2 2 2 5" xfId="2457"/>
    <cellStyle name="40% - Accent2 2 2 5 2" xfId="20569"/>
    <cellStyle name="40% - Accent2 2 2 5 2 2" xfId="20570"/>
    <cellStyle name="40% - Accent2 2 2 5 3" xfId="20571"/>
    <cellStyle name="40% - Accent2 2 2 6" xfId="19100"/>
    <cellStyle name="40% - Accent2 2 2 6 2" xfId="20572"/>
    <cellStyle name="40% - Accent2 2 2 7" xfId="20573"/>
    <cellStyle name="40% - Accent2 2 2 8" xfId="20574"/>
    <cellStyle name="40% - Accent2 2 3" xfId="2458"/>
    <cellStyle name="40% - Accent2 2 3 2" xfId="2459"/>
    <cellStyle name="40% - Accent2 2 3 2 2" xfId="2460"/>
    <cellStyle name="40% - Accent2 2 3 2 2 2" xfId="20575"/>
    <cellStyle name="40% - Accent2 2 3 2 2 2 2" xfId="20576"/>
    <cellStyle name="40% - Accent2 2 3 2 2 2 2 2" xfId="20577"/>
    <cellStyle name="40% - Accent2 2 3 2 2 2 3" xfId="20578"/>
    <cellStyle name="40% - Accent2 2 3 2 2 3" xfId="20579"/>
    <cellStyle name="40% - Accent2 2 3 2 2 3 2" xfId="20580"/>
    <cellStyle name="40% - Accent2 2 3 2 2 4" xfId="20581"/>
    <cellStyle name="40% - Accent2 2 3 2 2 5" xfId="20582"/>
    <cellStyle name="40% - Accent2 2 3 2 3" xfId="2461"/>
    <cellStyle name="40% - Accent2 2 3 2 3 2" xfId="20583"/>
    <cellStyle name="40% - Accent2 2 3 2 3 2 2" xfId="20584"/>
    <cellStyle name="40% - Accent2 2 3 2 3 3" xfId="20585"/>
    <cellStyle name="40% - Accent2 2 3 2 4" xfId="20586"/>
    <cellStyle name="40% - Accent2 2 3 2 4 2" xfId="20587"/>
    <cellStyle name="40% - Accent2 2 3 2 5" xfId="20588"/>
    <cellStyle name="40% - Accent2 2 3 2 6" xfId="20589"/>
    <cellStyle name="40% - Accent2 2 3 3" xfId="2462"/>
    <cellStyle name="40% - Accent2 2 3 3 2" xfId="20590"/>
    <cellStyle name="40% - Accent2 2 3 3 2 2" xfId="20591"/>
    <cellStyle name="40% - Accent2 2 3 3 2 2 2" xfId="20592"/>
    <cellStyle name="40% - Accent2 2 3 3 2 3" xfId="20593"/>
    <cellStyle name="40% - Accent2 2 3 3 3" xfId="20594"/>
    <cellStyle name="40% - Accent2 2 3 3 3 2" xfId="20595"/>
    <cellStyle name="40% - Accent2 2 3 3 4" xfId="20596"/>
    <cellStyle name="40% - Accent2 2 3 3 5" xfId="20597"/>
    <cellStyle name="40% - Accent2 2 3 4" xfId="2463"/>
    <cellStyle name="40% - Accent2 2 3 4 2" xfId="20598"/>
    <cellStyle name="40% - Accent2 2 3 4 2 2" xfId="20599"/>
    <cellStyle name="40% - Accent2 2 3 4 3" xfId="20600"/>
    <cellStyle name="40% - Accent2 2 3 5" xfId="20601"/>
    <cellStyle name="40% - Accent2 2 3 5 2" xfId="20602"/>
    <cellStyle name="40% - Accent2 2 3 6" xfId="20603"/>
    <cellStyle name="40% - Accent2 2 3 7" xfId="20604"/>
    <cellStyle name="40% - Accent2 2 4" xfId="2464"/>
    <cellStyle name="40% - Accent2 2 4 2" xfId="2465"/>
    <cellStyle name="40% - Accent2 2 4 2 2" xfId="20605"/>
    <cellStyle name="40% - Accent2 2 4 2 2 2" xfId="20606"/>
    <cellStyle name="40% - Accent2 2 4 2 2 2 2" xfId="20607"/>
    <cellStyle name="40% - Accent2 2 4 2 2 3" xfId="20608"/>
    <cellStyle name="40% - Accent2 2 4 2 3" xfId="20609"/>
    <cellStyle name="40% - Accent2 2 4 2 3 2" xfId="20610"/>
    <cellStyle name="40% - Accent2 2 4 2 4" xfId="20611"/>
    <cellStyle name="40% - Accent2 2 4 2 5" xfId="20612"/>
    <cellStyle name="40% - Accent2 2 4 3" xfId="2466"/>
    <cellStyle name="40% - Accent2 2 4 3 2" xfId="20613"/>
    <cellStyle name="40% - Accent2 2 4 3 2 2" xfId="20614"/>
    <cellStyle name="40% - Accent2 2 4 3 3" xfId="20615"/>
    <cellStyle name="40% - Accent2 2 4 4" xfId="20616"/>
    <cellStyle name="40% - Accent2 2 4 4 2" xfId="20617"/>
    <cellStyle name="40% - Accent2 2 4 5" xfId="20618"/>
    <cellStyle name="40% - Accent2 2 4 6" xfId="20619"/>
    <cellStyle name="40% - Accent2 2 5" xfId="2467"/>
    <cellStyle name="40% - Accent2 2 5 2" xfId="20620"/>
    <cellStyle name="40% - Accent2 2 5 2 2" xfId="20621"/>
    <cellStyle name="40% - Accent2 2 5 2 2 2" xfId="20622"/>
    <cellStyle name="40% - Accent2 2 5 2 3" xfId="20623"/>
    <cellStyle name="40% - Accent2 2 5 3" xfId="20624"/>
    <cellStyle name="40% - Accent2 2 5 3 2" xfId="20625"/>
    <cellStyle name="40% - Accent2 2 5 4" xfId="20626"/>
    <cellStyle name="40% - Accent2 2 5 5" xfId="20627"/>
    <cellStyle name="40% - Accent2 2 6" xfId="2468"/>
    <cellStyle name="40% - Accent2 2 6 2" xfId="20628"/>
    <cellStyle name="40% - Accent2 2 6 2 2" xfId="20629"/>
    <cellStyle name="40% - Accent2 2 6 3" xfId="20630"/>
    <cellStyle name="40% - Accent2 2 7" xfId="2469"/>
    <cellStyle name="40% - Accent2 2 7 2" xfId="20631"/>
    <cellStyle name="40% - Accent2 2 8" xfId="20632"/>
    <cellStyle name="40% - Accent2 3" xfId="27"/>
    <cellStyle name="40% - Accent2 3 10" xfId="2470"/>
    <cellStyle name="40% - Accent2 3 11" xfId="2471"/>
    <cellStyle name="40% - Accent2 3 2" xfId="2472"/>
    <cellStyle name="40% - Accent2 3 2 2" xfId="2473"/>
    <cellStyle name="40% - Accent2 3 2 2 2" xfId="2474"/>
    <cellStyle name="40% - Accent2 3 2 2 2 2" xfId="2475"/>
    <cellStyle name="40% - Accent2 3 2 2 2 2 2" xfId="2476"/>
    <cellStyle name="40% - Accent2 3 2 2 2 2 2 2" xfId="20633"/>
    <cellStyle name="40% - Accent2 3 2 2 2 2 3" xfId="2477"/>
    <cellStyle name="40% - Accent2 3 2 2 2 2 4" xfId="2478"/>
    <cellStyle name="40% - Accent2 3 2 2 2 3" xfId="2479"/>
    <cellStyle name="40% - Accent2 3 2 2 2 3 2" xfId="2480"/>
    <cellStyle name="40% - Accent2 3 2 2 2 3 3" xfId="2481"/>
    <cellStyle name="40% - Accent2 3 2 2 2 3 4" xfId="2482"/>
    <cellStyle name="40% - Accent2 3 2 2 2 4" xfId="2483"/>
    <cellStyle name="40% - Accent2 3 2 2 2 5" xfId="2484"/>
    <cellStyle name="40% - Accent2 3 2 2 2 6" xfId="2485"/>
    <cellStyle name="40% - Accent2 3 2 2 3" xfId="2486"/>
    <cellStyle name="40% - Accent2 3 2 2 3 2" xfId="2487"/>
    <cellStyle name="40% - Accent2 3 2 2 3 2 2" xfId="20634"/>
    <cellStyle name="40% - Accent2 3 2 2 3 3" xfId="2488"/>
    <cellStyle name="40% - Accent2 3 2 2 3 4" xfId="2489"/>
    <cellStyle name="40% - Accent2 3 2 2 4" xfId="2490"/>
    <cellStyle name="40% - Accent2 3 2 2 4 2" xfId="2491"/>
    <cellStyle name="40% - Accent2 3 2 2 4 3" xfId="2492"/>
    <cellStyle name="40% - Accent2 3 2 2 4 4" xfId="2493"/>
    <cellStyle name="40% - Accent2 3 2 2 5" xfId="2494"/>
    <cellStyle name="40% - Accent2 3 2 2 6" xfId="2495"/>
    <cellStyle name="40% - Accent2 3 2 2 7" xfId="2496"/>
    <cellStyle name="40% - Accent2 3 2 3" xfId="2497"/>
    <cellStyle name="40% - Accent2 3 2 3 2" xfId="2498"/>
    <cellStyle name="40% - Accent2 3 2 3 2 2" xfId="2499"/>
    <cellStyle name="40% - Accent2 3 2 3 2 2 2" xfId="20635"/>
    <cellStyle name="40% - Accent2 3 2 3 2 3" xfId="2500"/>
    <cellStyle name="40% - Accent2 3 2 3 2 4" xfId="2501"/>
    <cellStyle name="40% - Accent2 3 2 3 3" xfId="2502"/>
    <cellStyle name="40% - Accent2 3 2 3 3 2" xfId="2503"/>
    <cellStyle name="40% - Accent2 3 2 3 3 3" xfId="2504"/>
    <cellStyle name="40% - Accent2 3 2 3 3 4" xfId="2505"/>
    <cellStyle name="40% - Accent2 3 2 3 4" xfId="2506"/>
    <cellStyle name="40% - Accent2 3 2 3 5" xfId="2507"/>
    <cellStyle name="40% - Accent2 3 2 3 6" xfId="2508"/>
    <cellStyle name="40% - Accent2 3 2 4" xfId="2509"/>
    <cellStyle name="40% - Accent2 3 2 4 2" xfId="2510"/>
    <cellStyle name="40% - Accent2 3 2 4 2 2" xfId="20636"/>
    <cellStyle name="40% - Accent2 3 2 4 3" xfId="2511"/>
    <cellStyle name="40% - Accent2 3 2 4 4" xfId="2512"/>
    <cellStyle name="40% - Accent2 3 2 5" xfId="2513"/>
    <cellStyle name="40% - Accent2 3 2 5 2" xfId="2514"/>
    <cellStyle name="40% - Accent2 3 2 5 3" xfId="2515"/>
    <cellStyle name="40% - Accent2 3 2 5 4" xfId="2516"/>
    <cellStyle name="40% - Accent2 3 2 6" xfId="2517"/>
    <cellStyle name="40% - Accent2 3 2 7" xfId="2518"/>
    <cellStyle name="40% - Accent2 3 2 8" xfId="2519"/>
    <cellStyle name="40% - Accent2 3 3" xfId="2520"/>
    <cellStyle name="40% - Accent2 3 3 2" xfId="2521"/>
    <cellStyle name="40% - Accent2 3 3 2 2" xfId="2522"/>
    <cellStyle name="40% - Accent2 3 3 2 2 2" xfId="2523"/>
    <cellStyle name="40% - Accent2 3 3 2 2 2 2" xfId="20637"/>
    <cellStyle name="40% - Accent2 3 3 2 2 3" xfId="2524"/>
    <cellStyle name="40% - Accent2 3 3 2 2 4" xfId="2525"/>
    <cellStyle name="40% - Accent2 3 3 2 3" xfId="2526"/>
    <cellStyle name="40% - Accent2 3 3 2 3 2" xfId="2527"/>
    <cellStyle name="40% - Accent2 3 3 2 3 3" xfId="2528"/>
    <cellStyle name="40% - Accent2 3 3 2 3 4" xfId="2529"/>
    <cellStyle name="40% - Accent2 3 3 2 4" xfId="2530"/>
    <cellStyle name="40% - Accent2 3 3 2 5" xfId="2531"/>
    <cellStyle name="40% - Accent2 3 3 2 6" xfId="2532"/>
    <cellStyle name="40% - Accent2 3 3 3" xfId="2533"/>
    <cellStyle name="40% - Accent2 3 3 3 2" xfId="2534"/>
    <cellStyle name="40% - Accent2 3 3 3 2 2" xfId="20638"/>
    <cellStyle name="40% - Accent2 3 3 3 3" xfId="2535"/>
    <cellStyle name="40% - Accent2 3 3 3 4" xfId="2536"/>
    <cellStyle name="40% - Accent2 3 3 4" xfId="2537"/>
    <cellStyle name="40% - Accent2 3 3 4 2" xfId="2538"/>
    <cellStyle name="40% - Accent2 3 3 4 3" xfId="2539"/>
    <cellStyle name="40% - Accent2 3 3 4 4" xfId="2540"/>
    <cellStyle name="40% - Accent2 3 3 5" xfId="2541"/>
    <cellStyle name="40% - Accent2 3 3 6" xfId="2542"/>
    <cellStyle name="40% - Accent2 3 3 7" xfId="2543"/>
    <cellStyle name="40% - Accent2 3 4" xfId="2544"/>
    <cellStyle name="40% - Accent2 3 4 2" xfId="2545"/>
    <cellStyle name="40% - Accent2 3 4 2 2" xfId="2546"/>
    <cellStyle name="40% - Accent2 3 4 2 2 2" xfId="2547"/>
    <cellStyle name="40% - Accent2 3 4 2 2 3" xfId="2548"/>
    <cellStyle name="40% - Accent2 3 4 2 2 4" xfId="2549"/>
    <cellStyle name="40% - Accent2 3 4 2 3" xfId="2550"/>
    <cellStyle name="40% - Accent2 3 4 2 3 2" xfId="2551"/>
    <cellStyle name="40% - Accent2 3 4 2 3 3" xfId="2552"/>
    <cellStyle name="40% - Accent2 3 4 2 3 4" xfId="2553"/>
    <cellStyle name="40% - Accent2 3 4 2 4" xfId="2554"/>
    <cellStyle name="40% - Accent2 3 4 2 5" xfId="2555"/>
    <cellStyle name="40% - Accent2 3 4 2 6" xfId="2556"/>
    <cellStyle name="40% - Accent2 3 4 3" xfId="2557"/>
    <cellStyle name="40% - Accent2 3 4 3 2" xfId="2558"/>
    <cellStyle name="40% - Accent2 3 4 3 3" xfId="2559"/>
    <cellStyle name="40% - Accent2 3 4 3 4" xfId="2560"/>
    <cellStyle name="40% - Accent2 3 4 4" xfId="2561"/>
    <cellStyle name="40% - Accent2 3 4 4 2" xfId="2562"/>
    <cellStyle name="40% - Accent2 3 4 4 3" xfId="2563"/>
    <cellStyle name="40% - Accent2 3 4 4 4" xfId="2564"/>
    <cellStyle name="40% - Accent2 3 4 5" xfId="2565"/>
    <cellStyle name="40% - Accent2 3 4 6" xfId="2566"/>
    <cellStyle name="40% - Accent2 3 4 7" xfId="2567"/>
    <cellStyle name="40% - Accent2 3 5" xfId="2568"/>
    <cellStyle name="40% - Accent2 3 5 2" xfId="2569"/>
    <cellStyle name="40% - Accent2 3 5 2 2" xfId="2570"/>
    <cellStyle name="40% - Accent2 3 5 2 2 2" xfId="2571"/>
    <cellStyle name="40% - Accent2 3 5 2 2 3" xfId="2572"/>
    <cellStyle name="40% - Accent2 3 5 2 2 4" xfId="2573"/>
    <cellStyle name="40% - Accent2 3 5 2 3" xfId="2574"/>
    <cellStyle name="40% - Accent2 3 5 2 3 2" xfId="2575"/>
    <cellStyle name="40% - Accent2 3 5 2 3 3" xfId="2576"/>
    <cellStyle name="40% - Accent2 3 5 2 3 4" xfId="2577"/>
    <cellStyle name="40% - Accent2 3 5 2 4" xfId="2578"/>
    <cellStyle name="40% - Accent2 3 5 2 5" xfId="2579"/>
    <cellStyle name="40% - Accent2 3 5 2 6" xfId="2580"/>
    <cellStyle name="40% - Accent2 3 5 3" xfId="2581"/>
    <cellStyle name="40% - Accent2 3 5 3 2" xfId="2582"/>
    <cellStyle name="40% - Accent2 3 5 3 3" xfId="2583"/>
    <cellStyle name="40% - Accent2 3 5 3 4" xfId="2584"/>
    <cellStyle name="40% - Accent2 3 5 4" xfId="2585"/>
    <cellStyle name="40% - Accent2 3 5 4 2" xfId="2586"/>
    <cellStyle name="40% - Accent2 3 5 4 3" xfId="2587"/>
    <cellStyle name="40% - Accent2 3 5 4 4" xfId="2588"/>
    <cellStyle name="40% - Accent2 3 5 5" xfId="2589"/>
    <cellStyle name="40% - Accent2 3 5 6" xfId="2590"/>
    <cellStyle name="40% - Accent2 3 5 7" xfId="2591"/>
    <cellStyle name="40% - Accent2 3 6" xfId="2592"/>
    <cellStyle name="40% - Accent2 3 6 2" xfId="2593"/>
    <cellStyle name="40% - Accent2 3 6 2 2" xfId="2594"/>
    <cellStyle name="40% - Accent2 3 6 2 3" xfId="2595"/>
    <cellStyle name="40% - Accent2 3 6 2 4" xfId="2596"/>
    <cellStyle name="40% - Accent2 3 6 3" xfId="2597"/>
    <cellStyle name="40% - Accent2 3 6 3 2" xfId="2598"/>
    <cellStyle name="40% - Accent2 3 6 3 3" xfId="2599"/>
    <cellStyle name="40% - Accent2 3 6 3 4" xfId="2600"/>
    <cellStyle name="40% - Accent2 3 6 4" xfId="2601"/>
    <cellStyle name="40% - Accent2 3 6 5" xfId="2602"/>
    <cellStyle name="40% - Accent2 3 6 6" xfId="2603"/>
    <cellStyle name="40% - Accent2 3 7" xfId="2604"/>
    <cellStyle name="40% - Accent2 3 7 2" xfId="2605"/>
    <cellStyle name="40% - Accent2 3 7 3" xfId="2606"/>
    <cellStyle name="40% - Accent2 3 7 4" xfId="2607"/>
    <cellStyle name="40% - Accent2 3 8" xfId="2608"/>
    <cellStyle name="40% - Accent2 3 8 2" xfId="2609"/>
    <cellStyle name="40% - Accent2 3 8 3" xfId="2610"/>
    <cellStyle name="40% - Accent2 3 8 4" xfId="2611"/>
    <cellStyle name="40% - Accent2 3 9" xfId="2612"/>
    <cellStyle name="40% - Accent2 4" xfId="28"/>
    <cellStyle name="40% - Accent2 4 2" xfId="2613"/>
    <cellStyle name="40% - Accent2 4 2 2" xfId="2614"/>
    <cellStyle name="40% - Accent2 4 2 2 2" xfId="2615"/>
    <cellStyle name="40% - Accent2 4 2 2 2 2" xfId="2616"/>
    <cellStyle name="40% - Accent2 4 2 2 2 2 2" xfId="20639"/>
    <cellStyle name="40% - Accent2 4 2 2 2 3" xfId="2617"/>
    <cellStyle name="40% - Accent2 4 2 2 2 4" xfId="2618"/>
    <cellStyle name="40% - Accent2 4 2 2 3" xfId="2619"/>
    <cellStyle name="40% - Accent2 4 2 2 3 2" xfId="2620"/>
    <cellStyle name="40% - Accent2 4 2 2 3 3" xfId="2621"/>
    <cellStyle name="40% - Accent2 4 2 2 3 4" xfId="2622"/>
    <cellStyle name="40% - Accent2 4 2 2 4" xfId="2623"/>
    <cellStyle name="40% - Accent2 4 2 2 5" xfId="2624"/>
    <cellStyle name="40% - Accent2 4 2 2 6" xfId="2625"/>
    <cellStyle name="40% - Accent2 4 2 3" xfId="2626"/>
    <cellStyle name="40% - Accent2 4 2 3 2" xfId="2627"/>
    <cellStyle name="40% - Accent2 4 2 3 2 2" xfId="20640"/>
    <cellStyle name="40% - Accent2 4 2 3 3" xfId="2628"/>
    <cellStyle name="40% - Accent2 4 2 3 4" xfId="2629"/>
    <cellStyle name="40% - Accent2 4 2 4" xfId="2630"/>
    <cellStyle name="40% - Accent2 4 2 4 2" xfId="2631"/>
    <cellStyle name="40% - Accent2 4 2 4 3" xfId="2632"/>
    <cellStyle name="40% - Accent2 4 2 4 4" xfId="2633"/>
    <cellStyle name="40% - Accent2 4 2 5" xfId="2634"/>
    <cellStyle name="40% - Accent2 4 2 6" xfId="2635"/>
    <cellStyle name="40% - Accent2 4 2 7" xfId="2636"/>
    <cellStyle name="40% - Accent2 4 3" xfId="2637"/>
    <cellStyle name="40% - Accent2 4 3 2" xfId="2638"/>
    <cellStyle name="40% - Accent2 4 3 2 2" xfId="2639"/>
    <cellStyle name="40% - Accent2 4 3 2 2 2" xfId="20641"/>
    <cellStyle name="40% - Accent2 4 3 2 3" xfId="2640"/>
    <cellStyle name="40% - Accent2 4 3 2 4" xfId="2641"/>
    <cellStyle name="40% - Accent2 4 3 3" xfId="2642"/>
    <cellStyle name="40% - Accent2 4 3 3 2" xfId="2643"/>
    <cellStyle name="40% - Accent2 4 3 3 3" xfId="2644"/>
    <cellStyle name="40% - Accent2 4 3 3 4" xfId="2645"/>
    <cellStyle name="40% - Accent2 4 3 4" xfId="2646"/>
    <cellStyle name="40% - Accent2 4 3 5" xfId="2647"/>
    <cellStyle name="40% - Accent2 4 3 6" xfId="2648"/>
    <cellStyle name="40% - Accent2 4 4" xfId="2649"/>
    <cellStyle name="40% - Accent2 4 4 2" xfId="2650"/>
    <cellStyle name="40% - Accent2 4 4 2 2" xfId="20642"/>
    <cellStyle name="40% - Accent2 4 4 3" xfId="2651"/>
    <cellStyle name="40% - Accent2 4 4 4" xfId="2652"/>
    <cellStyle name="40% - Accent2 4 5" xfId="2653"/>
    <cellStyle name="40% - Accent2 4 5 2" xfId="2654"/>
    <cellStyle name="40% - Accent2 4 5 3" xfId="2655"/>
    <cellStyle name="40% - Accent2 4 5 4" xfId="2656"/>
    <cellStyle name="40% - Accent2 4 6" xfId="2657"/>
    <cellStyle name="40% - Accent2 4 7" xfId="2658"/>
    <cellStyle name="40% - Accent2 4 8" xfId="2659"/>
    <cellStyle name="40% - Accent2 5" xfId="2660"/>
    <cellStyle name="40% - Accent2 5 2" xfId="2661"/>
    <cellStyle name="40% - Accent2 5 2 2" xfId="2662"/>
    <cellStyle name="40% - Accent2 5 2 2 2" xfId="2663"/>
    <cellStyle name="40% - Accent2 5 2 2 2 2" xfId="20643"/>
    <cellStyle name="40% - Accent2 5 2 2 3" xfId="2664"/>
    <cellStyle name="40% - Accent2 5 2 2 4" xfId="2665"/>
    <cellStyle name="40% - Accent2 5 2 3" xfId="2666"/>
    <cellStyle name="40% - Accent2 5 2 3 2" xfId="2667"/>
    <cellStyle name="40% - Accent2 5 2 3 3" xfId="2668"/>
    <cellStyle name="40% - Accent2 5 2 3 4" xfId="2669"/>
    <cellStyle name="40% - Accent2 5 2 4" xfId="2670"/>
    <cellStyle name="40% - Accent2 5 2 5" xfId="2671"/>
    <cellStyle name="40% - Accent2 5 2 6" xfId="2672"/>
    <cellStyle name="40% - Accent2 5 2 7" xfId="20644"/>
    <cellStyle name="40% - Accent2 5 2 8" xfId="20645"/>
    <cellStyle name="40% - Accent2 5 3" xfId="2673"/>
    <cellStyle name="40% - Accent2 5 3 2" xfId="2674"/>
    <cellStyle name="40% - Accent2 5 3 2 2" xfId="20646"/>
    <cellStyle name="40% - Accent2 5 3 3" xfId="2675"/>
    <cellStyle name="40% - Accent2 5 3 4" xfId="2676"/>
    <cellStyle name="40% - Accent2 5 4" xfId="2677"/>
    <cellStyle name="40% - Accent2 5 4 2" xfId="2678"/>
    <cellStyle name="40% - Accent2 5 4 3" xfId="2679"/>
    <cellStyle name="40% - Accent2 5 4 4" xfId="2680"/>
    <cellStyle name="40% - Accent2 5 5" xfId="2681"/>
    <cellStyle name="40% - Accent2 5 6" xfId="2682"/>
    <cellStyle name="40% - Accent2 5 7" xfId="2683"/>
    <cellStyle name="40% - Accent2 5 8" xfId="20647"/>
    <cellStyle name="40% - Accent2 5 9" xfId="20648"/>
    <cellStyle name="40% - Accent2 6" xfId="2684"/>
    <cellStyle name="40% - Accent2 6 2" xfId="2685"/>
    <cellStyle name="40% - Accent2 6 2 2" xfId="2686"/>
    <cellStyle name="40% - Accent2 6 2 2 2" xfId="2687"/>
    <cellStyle name="40% - Accent2 6 2 2 3" xfId="2688"/>
    <cellStyle name="40% - Accent2 6 2 2 4" xfId="2689"/>
    <cellStyle name="40% - Accent2 6 2 3" xfId="2690"/>
    <cellStyle name="40% - Accent2 6 2 3 2" xfId="2691"/>
    <cellStyle name="40% - Accent2 6 2 3 3" xfId="2692"/>
    <cellStyle name="40% - Accent2 6 2 3 4" xfId="2693"/>
    <cellStyle name="40% - Accent2 6 2 4" xfId="2694"/>
    <cellStyle name="40% - Accent2 6 2 5" xfId="2695"/>
    <cellStyle name="40% - Accent2 6 2 6" xfId="2696"/>
    <cellStyle name="40% - Accent2 6 3" xfId="2697"/>
    <cellStyle name="40% - Accent2 6 3 2" xfId="2698"/>
    <cellStyle name="40% - Accent2 6 3 3" xfId="2699"/>
    <cellStyle name="40% - Accent2 6 3 4" xfId="2700"/>
    <cellStyle name="40% - Accent2 6 4" xfId="2701"/>
    <cellStyle name="40% - Accent2 6 4 2" xfId="2702"/>
    <cellStyle name="40% - Accent2 6 4 3" xfId="2703"/>
    <cellStyle name="40% - Accent2 6 4 4" xfId="2704"/>
    <cellStyle name="40% - Accent2 6 5" xfId="2705"/>
    <cellStyle name="40% - Accent2 6 6" xfId="2706"/>
    <cellStyle name="40% - Accent2 6 7" xfId="2707"/>
    <cellStyle name="40% - Accent2 7" xfId="2708"/>
    <cellStyle name="40% - Accent2 7 2" xfId="2709"/>
    <cellStyle name="40% - Accent2 7 2 2" xfId="2710"/>
    <cellStyle name="40% - Accent2 7 2 2 2" xfId="2711"/>
    <cellStyle name="40% - Accent2 7 2 2 3" xfId="2712"/>
    <cellStyle name="40% - Accent2 7 2 2 4" xfId="2713"/>
    <cellStyle name="40% - Accent2 7 2 3" xfId="2714"/>
    <cellStyle name="40% - Accent2 7 2 3 2" xfId="2715"/>
    <cellStyle name="40% - Accent2 7 2 3 3" xfId="2716"/>
    <cellStyle name="40% - Accent2 7 2 3 4" xfId="2717"/>
    <cellStyle name="40% - Accent2 7 2 4" xfId="2718"/>
    <cellStyle name="40% - Accent2 7 2 5" xfId="2719"/>
    <cellStyle name="40% - Accent2 7 2 6" xfId="2720"/>
    <cellStyle name="40% - Accent2 7 3" xfId="2721"/>
    <cellStyle name="40% - Accent2 7 3 2" xfId="2722"/>
    <cellStyle name="40% - Accent2 7 3 3" xfId="2723"/>
    <cellStyle name="40% - Accent2 7 3 4" xfId="2724"/>
    <cellStyle name="40% - Accent2 7 4" xfId="2725"/>
    <cellStyle name="40% - Accent2 7 4 2" xfId="2726"/>
    <cellStyle name="40% - Accent2 7 4 3" xfId="2727"/>
    <cellStyle name="40% - Accent2 7 4 4" xfId="2728"/>
    <cellStyle name="40% - Accent2 7 5" xfId="2729"/>
    <cellStyle name="40% - Accent2 7 6" xfId="2730"/>
    <cellStyle name="40% - Accent2 7 7" xfId="2731"/>
    <cellStyle name="40% - Accent2 8" xfId="2732"/>
    <cellStyle name="40% - Accent2 8 2" xfId="2733"/>
    <cellStyle name="40% - Accent2 8 2 2" xfId="2734"/>
    <cellStyle name="40% - Accent2 8 2 3" xfId="2735"/>
    <cellStyle name="40% - Accent2 8 2 4" xfId="2736"/>
    <cellStyle name="40% - Accent2 8 3" xfId="2737"/>
    <cellStyle name="40% - Accent2 8 3 2" xfId="2738"/>
    <cellStyle name="40% - Accent2 8 3 3" xfId="2739"/>
    <cellStyle name="40% - Accent2 8 3 4" xfId="2740"/>
    <cellStyle name="40% - Accent2 8 4" xfId="2741"/>
    <cellStyle name="40% - Accent2 8 5" xfId="2742"/>
    <cellStyle name="40% - Accent2 8 6" xfId="2743"/>
    <cellStyle name="40% - Accent2 9" xfId="2744"/>
    <cellStyle name="40% - Accent2 9 2" xfId="2745"/>
    <cellStyle name="40% - Accent2 9 3" xfId="2746"/>
    <cellStyle name="40% - Accent2 9 4" xfId="2747"/>
    <cellStyle name="40% - Accent3 10" xfId="2748"/>
    <cellStyle name="40% - Accent3 10 2" xfId="2749"/>
    <cellStyle name="40% - Accent3 10 3" xfId="2750"/>
    <cellStyle name="40% - Accent3 10 4" xfId="2751"/>
    <cellStyle name="40% - Accent3 11" xfId="2752"/>
    <cellStyle name="40% - Accent3 11 2" xfId="2753"/>
    <cellStyle name="40% - Accent3 11 3" xfId="2754"/>
    <cellStyle name="40% - Accent3 12" xfId="2755"/>
    <cellStyle name="40% - Accent3 13" xfId="2756"/>
    <cellStyle name="40% - Accent3 14" xfId="2757"/>
    <cellStyle name="40% - Accent3 2" xfId="29"/>
    <cellStyle name="40% - Accent3 2 10" xfId="20649"/>
    <cellStyle name="40% - Accent3 2 10 2" xfId="20650"/>
    <cellStyle name="40% - Accent3 2 11" xfId="20651"/>
    <cellStyle name="40% - Accent3 2 2" xfId="2758"/>
    <cellStyle name="40% - Accent3 2 2 2" xfId="2759"/>
    <cellStyle name="40% - Accent3 2 2 2 2" xfId="2760"/>
    <cellStyle name="40% - Accent3 2 2 2 2 2" xfId="2761"/>
    <cellStyle name="40% - Accent3 2 2 2 2 2 2" xfId="20652"/>
    <cellStyle name="40% - Accent3 2 2 2 2 2 2 2" xfId="20653"/>
    <cellStyle name="40% - Accent3 2 2 2 2 2 2 2 2" xfId="20654"/>
    <cellStyle name="40% - Accent3 2 2 2 2 2 2 3" xfId="20655"/>
    <cellStyle name="40% - Accent3 2 2 2 2 2 3" xfId="20656"/>
    <cellStyle name="40% - Accent3 2 2 2 2 2 3 2" xfId="20657"/>
    <cellStyle name="40% - Accent3 2 2 2 2 2 4" xfId="20658"/>
    <cellStyle name="40% - Accent3 2 2 2 2 2 5" xfId="20659"/>
    <cellStyle name="40% - Accent3 2 2 2 2 3" xfId="2762"/>
    <cellStyle name="40% - Accent3 2 2 2 2 3 2" xfId="20660"/>
    <cellStyle name="40% - Accent3 2 2 2 2 3 2 2" xfId="20661"/>
    <cellStyle name="40% - Accent3 2 2 2 2 3 3" xfId="20662"/>
    <cellStyle name="40% - Accent3 2 2 2 2 4" xfId="20663"/>
    <cellStyle name="40% - Accent3 2 2 2 2 4 2" xfId="20664"/>
    <cellStyle name="40% - Accent3 2 2 2 2 5" xfId="20665"/>
    <cellStyle name="40% - Accent3 2 2 2 2 6" xfId="20666"/>
    <cellStyle name="40% - Accent3 2 2 2 3" xfId="2763"/>
    <cellStyle name="40% - Accent3 2 2 2 3 2" xfId="20667"/>
    <cellStyle name="40% - Accent3 2 2 2 3 2 2" xfId="20668"/>
    <cellStyle name="40% - Accent3 2 2 2 3 2 2 2" xfId="20669"/>
    <cellStyle name="40% - Accent3 2 2 2 3 2 3" xfId="20670"/>
    <cellStyle name="40% - Accent3 2 2 2 3 3" xfId="20671"/>
    <cellStyle name="40% - Accent3 2 2 2 3 3 2" xfId="20672"/>
    <cellStyle name="40% - Accent3 2 2 2 3 4" xfId="20673"/>
    <cellStyle name="40% - Accent3 2 2 2 3 5" xfId="20674"/>
    <cellStyle name="40% - Accent3 2 2 2 4" xfId="2764"/>
    <cellStyle name="40% - Accent3 2 2 2 4 2" xfId="20675"/>
    <cellStyle name="40% - Accent3 2 2 2 4 2 2" xfId="20676"/>
    <cellStyle name="40% - Accent3 2 2 2 4 3" xfId="20677"/>
    <cellStyle name="40% - Accent3 2 2 2 5" xfId="20678"/>
    <cellStyle name="40% - Accent3 2 2 2 5 2" xfId="20679"/>
    <cellStyle name="40% - Accent3 2 2 2 6" xfId="20680"/>
    <cellStyle name="40% - Accent3 2 2 2 7" xfId="20681"/>
    <cellStyle name="40% - Accent3 2 2 3" xfId="2765"/>
    <cellStyle name="40% - Accent3 2 2 3 2" xfId="2766"/>
    <cellStyle name="40% - Accent3 2 2 3 2 2" xfId="20682"/>
    <cellStyle name="40% - Accent3 2 2 3 2 2 2" xfId="20683"/>
    <cellStyle name="40% - Accent3 2 2 3 2 2 2 2" xfId="20684"/>
    <cellStyle name="40% - Accent3 2 2 3 2 2 3" xfId="20685"/>
    <cellStyle name="40% - Accent3 2 2 3 2 3" xfId="20686"/>
    <cellStyle name="40% - Accent3 2 2 3 2 3 2" xfId="20687"/>
    <cellStyle name="40% - Accent3 2 2 3 2 4" xfId="20688"/>
    <cellStyle name="40% - Accent3 2 2 3 2 5" xfId="20689"/>
    <cellStyle name="40% - Accent3 2 2 3 3" xfId="2767"/>
    <cellStyle name="40% - Accent3 2 2 3 3 2" xfId="20690"/>
    <cellStyle name="40% - Accent3 2 2 3 3 2 2" xfId="20691"/>
    <cellStyle name="40% - Accent3 2 2 3 3 3" xfId="20692"/>
    <cellStyle name="40% - Accent3 2 2 3 4" xfId="20693"/>
    <cellStyle name="40% - Accent3 2 2 3 4 2" xfId="20694"/>
    <cellStyle name="40% - Accent3 2 2 3 5" xfId="20695"/>
    <cellStyle name="40% - Accent3 2 2 3 6" xfId="20696"/>
    <cellStyle name="40% - Accent3 2 2 4" xfId="2768"/>
    <cellStyle name="40% - Accent3 2 2 4 2" xfId="20697"/>
    <cellStyle name="40% - Accent3 2 2 4 2 2" xfId="20698"/>
    <cellStyle name="40% - Accent3 2 2 4 2 2 2" xfId="20699"/>
    <cellStyle name="40% - Accent3 2 2 4 2 3" xfId="20700"/>
    <cellStyle name="40% - Accent3 2 2 4 3" xfId="20701"/>
    <cellStyle name="40% - Accent3 2 2 4 3 2" xfId="20702"/>
    <cellStyle name="40% - Accent3 2 2 4 4" xfId="20703"/>
    <cellStyle name="40% - Accent3 2 2 4 5" xfId="20704"/>
    <cellStyle name="40% - Accent3 2 2 5" xfId="2769"/>
    <cellStyle name="40% - Accent3 2 2 5 2" xfId="20705"/>
    <cellStyle name="40% - Accent3 2 2 5 2 2" xfId="20706"/>
    <cellStyle name="40% - Accent3 2 2 5 3" xfId="20707"/>
    <cellStyle name="40% - Accent3 2 2 6" xfId="19101"/>
    <cellStyle name="40% - Accent3 2 2 6 2" xfId="20708"/>
    <cellStyle name="40% - Accent3 2 2 7" xfId="20709"/>
    <cellStyle name="40% - Accent3 2 2 8" xfId="20710"/>
    <cellStyle name="40% - Accent3 2 2 9" xfId="20711"/>
    <cellStyle name="40% - Accent3 2 3" xfId="2770"/>
    <cellStyle name="40% - Accent3 2 3 2" xfId="2771"/>
    <cellStyle name="40% - Accent3 2 3 2 2" xfId="2772"/>
    <cellStyle name="40% - Accent3 2 3 2 2 2" xfId="20712"/>
    <cellStyle name="40% - Accent3 2 3 2 2 2 2" xfId="20713"/>
    <cellStyle name="40% - Accent3 2 3 2 2 2 2 2" xfId="20714"/>
    <cellStyle name="40% - Accent3 2 3 2 2 2 3" xfId="20715"/>
    <cellStyle name="40% - Accent3 2 3 2 2 3" xfId="20716"/>
    <cellStyle name="40% - Accent3 2 3 2 2 3 2" xfId="20717"/>
    <cellStyle name="40% - Accent3 2 3 2 2 4" xfId="20718"/>
    <cellStyle name="40% - Accent3 2 3 2 2 5" xfId="20719"/>
    <cellStyle name="40% - Accent3 2 3 2 3" xfId="2773"/>
    <cellStyle name="40% - Accent3 2 3 2 3 2" xfId="20720"/>
    <cellStyle name="40% - Accent3 2 3 2 3 2 2" xfId="20721"/>
    <cellStyle name="40% - Accent3 2 3 2 3 3" xfId="20722"/>
    <cellStyle name="40% - Accent3 2 3 2 4" xfId="20723"/>
    <cellStyle name="40% - Accent3 2 3 2 4 2" xfId="20724"/>
    <cellStyle name="40% - Accent3 2 3 2 5" xfId="20725"/>
    <cellStyle name="40% - Accent3 2 3 2 6" xfId="20726"/>
    <cellStyle name="40% - Accent3 2 3 3" xfId="2774"/>
    <cellStyle name="40% - Accent3 2 3 3 2" xfId="20727"/>
    <cellStyle name="40% - Accent3 2 3 3 2 2" xfId="20728"/>
    <cellStyle name="40% - Accent3 2 3 3 2 2 2" xfId="20729"/>
    <cellStyle name="40% - Accent3 2 3 3 2 3" xfId="20730"/>
    <cellStyle name="40% - Accent3 2 3 3 3" xfId="20731"/>
    <cellStyle name="40% - Accent3 2 3 3 3 2" xfId="20732"/>
    <cellStyle name="40% - Accent3 2 3 3 4" xfId="20733"/>
    <cellStyle name="40% - Accent3 2 3 3 5" xfId="20734"/>
    <cellStyle name="40% - Accent3 2 3 4" xfId="2775"/>
    <cellStyle name="40% - Accent3 2 3 4 2" xfId="20735"/>
    <cellStyle name="40% - Accent3 2 3 4 2 2" xfId="20736"/>
    <cellStyle name="40% - Accent3 2 3 4 3" xfId="20737"/>
    <cellStyle name="40% - Accent3 2 3 5" xfId="20738"/>
    <cellStyle name="40% - Accent3 2 3 5 2" xfId="20739"/>
    <cellStyle name="40% - Accent3 2 3 6" xfId="20740"/>
    <cellStyle name="40% - Accent3 2 3 7" xfId="20741"/>
    <cellStyle name="40% - Accent3 2 4" xfId="2776"/>
    <cellStyle name="40% - Accent3 2 4 2" xfId="2777"/>
    <cellStyle name="40% - Accent3 2 4 2 2" xfId="20742"/>
    <cellStyle name="40% - Accent3 2 4 2 2 2" xfId="20743"/>
    <cellStyle name="40% - Accent3 2 4 2 2 2 2" xfId="20744"/>
    <cellStyle name="40% - Accent3 2 4 2 2 3" xfId="20745"/>
    <cellStyle name="40% - Accent3 2 4 2 3" xfId="20746"/>
    <cellStyle name="40% - Accent3 2 4 2 3 2" xfId="20747"/>
    <cellStyle name="40% - Accent3 2 4 2 4" xfId="20748"/>
    <cellStyle name="40% - Accent3 2 4 2 5" xfId="20749"/>
    <cellStyle name="40% - Accent3 2 4 3" xfId="2778"/>
    <cellStyle name="40% - Accent3 2 4 3 2" xfId="20750"/>
    <cellStyle name="40% - Accent3 2 4 3 2 2" xfId="20751"/>
    <cellStyle name="40% - Accent3 2 4 3 3" xfId="20752"/>
    <cellStyle name="40% - Accent3 2 4 4" xfId="20753"/>
    <cellStyle name="40% - Accent3 2 4 4 2" xfId="20754"/>
    <cellStyle name="40% - Accent3 2 4 5" xfId="20755"/>
    <cellStyle name="40% - Accent3 2 4 6" xfId="20756"/>
    <cellStyle name="40% - Accent3 2 5" xfId="2779"/>
    <cellStyle name="40% - Accent3 2 5 2" xfId="16684"/>
    <cellStyle name="40% - Accent3 2 5 2 2" xfId="20757"/>
    <cellStyle name="40% - Accent3 2 5 2 2 2" xfId="20758"/>
    <cellStyle name="40% - Accent3 2 5 2 2 2 2" xfId="20759"/>
    <cellStyle name="40% - Accent3 2 5 2 2 3" xfId="20760"/>
    <cellStyle name="40% - Accent3 2 5 2 3" xfId="20761"/>
    <cellStyle name="40% - Accent3 2 5 2 3 2" xfId="20762"/>
    <cellStyle name="40% - Accent3 2 5 2 4" xfId="20763"/>
    <cellStyle name="40% - Accent3 2 5 3" xfId="20764"/>
    <cellStyle name="40% - Accent3 2 5 3 2" xfId="20765"/>
    <cellStyle name="40% - Accent3 2 5 3 2 2" xfId="20766"/>
    <cellStyle name="40% - Accent3 2 5 3 3" xfId="20767"/>
    <cellStyle name="40% - Accent3 2 5 4" xfId="20768"/>
    <cellStyle name="40% - Accent3 2 5 4 2" xfId="20769"/>
    <cellStyle name="40% - Accent3 2 5 5" xfId="20770"/>
    <cellStyle name="40% - Accent3 2 6" xfId="2780"/>
    <cellStyle name="40% - Accent3 2 6 2" xfId="20771"/>
    <cellStyle name="40% - Accent3 2 6 2 2" xfId="20772"/>
    <cellStyle name="40% - Accent3 2 6 2 2 2" xfId="20773"/>
    <cellStyle name="40% - Accent3 2 6 2 3" xfId="20774"/>
    <cellStyle name="40% - Accent3 2 6 3" xfId="20775"/>
    <cellStyle name="40% - Accent3 2 6 3 2" xfId="20776"/>
    <cellStyle name="40% - Accent3 2 6 4" xfId="20777"/>
    <cellStyle name="40% - Accent3 2 6 5" xfId="20778"/>
    <cellStyle name="40% - Accent3 2 7" xfId="2781"/>
    <cellStyle name="40% - Accent3 2 7 2" xfId="20779"/>
    <cellStyle name="40% - Accent3 2 7 2 2" xfId="20780"/>
    <cellStyle name="40% - Accent3 2 7 2 2 2" xfId="20781"/>
    <cellStyle name="40% - Accent3 2 7 2 3" xfId="20782"/>
    <cellStyle name="40% - Accent3 2 7 3" xfId="20783"/>
    <cellStyle name="40% - Accent3 2 7 3 2" xfId="20784"/>
    <cellStyle name="40% - Accent3 2 7 4" xfId="20785"/>
    <cellStyle name="40% - Accent3 2 8" xfId="20786"/>
    <cellStyle name="40% - Accent3 2 8 2" xfId="20787"/>
    <cellStyle name="40% - Accent3 2 8 2 2" xfId="20788"/>
    <cellStyle name="40% - Accent3 2 8 2 2 2" xfId="20789"/>
    <cellStyle name="40% - Accent3 2 8 2 3" xfId="20790"/>
    <cellStyle name="40% - Accent3 2 8 3" xfId="20791"/>
    <cellStyle name="40% - Accent3 2 8 3 2" xfId="20792"/>
    <cellStyle name="40% - Accent3 2 8 4" xfId="20793"/>
    <cellStyle name="40% - Accent3 2 9" xfId="20794"/>
    <cellStyle name="40% - Accent3 2 9 2" xfId="20795"/>
    <cellStyle name="40% - Accent3 2 9 2 2" xfId="20796"/>
    <cellStyle name="40% - Accent3 2 9 3" xfId="20797"/>
    <cellStyle name="40% - Accent3 3" xfId="30"/>
    <cellStyle name="40% - Accent3 3 10" xfId="2782"/>
    <cellStyle name="40% - Accent3 3 11" xfId="2783"/>
    <cellStyle name="40% - Accent3 3 12" xfId="20798"/>
    <cellStyle name="40% - Accent3 3 2" xfId="2784"/>
    <cellStyle name="40% - Accent3 3 2 2" xfId="2785"/>
    <cellStyle name="40% - Accent3 3 2 2 2" xfId="2786"/>
    <cellStyle name="40% - Accent3 3 2 2 2 2" xfId="2787"/>
    <cellStyle name="40% - Accent3 3 2 2 2 2 2" xfId="2788"/>
    <cellStyle name="40% - Accent3 3 2 2 2 2 2 2" xfId="20799"/>
    <cellStyle name="40% - Accent3 3 2 2 2 2 3" xfId="2789"/>
    <cellStyle name="40% - Accent3 3 2 2 2 2 4" xfId="2790"/>
    <cellStyle name="40% - Accent3 3 2 2 2 3" xfId="2791"/>
    <cellStyle name="40% - Accent3 3 2 2 2 3 2" xfId="2792"/>
    <cellStyle name="40% - Accent3 3 2 2 2 3 3" xfId="2793"/>
    <cellStyle name="40% - Accent3 3 2 2 2 3 4" xfId="2794"/>
    <cellStyle name="40% - Accent3 3 2 2 2 4" xfId="2795"/>
    <cellStyle name="40% - Accent3 3 2 2 2 5" xfId="2796"/>
    <cellStyle name="40% - Accent3 3 2 2 2 6" xfId="2797"/>
    <cellStyle name="40% - Accent3 3 2 2 3" xfId="2798"/>
    <cellStyle name="40% - Accent3 3 2 2 3 2" xfId="2799"/>
    <cellStyle name="40% - Accent3 3 2 2 3 2 2" xfId="20800"/>
    <cellStyle name="40% - Accent3 3 2 2 3 3" xfId="2800"/>
    <cellStyle name="40% - Accent3 3 2 2 3 4" xfId="2801"/>
    <cellStyle name="40% - Accent3 3 2 2 4" xfId="2802"/>
    <cellStyle name="40% - Accent3 3 2 2 4 2" xfId="2803"/>
    <cellStyle name="40% - Accent3 3 2 2 4 3" xfId="2804"/>
    <cellStyle name="40% - Accent3 3 2 2 4 4" xfId="2805"/>
    <cellStyle name="40% - Accent3 3 2 2 5" xfId="2806"/>
    <cellStyle name="40% - Accent3 3 2 2 6" xfId="2807"/>
    <cellStyle name="40% - Accent3 3 2 2 7" xfId="2808"/>
    <cellStyle name="40% - Accent3 3 2 3" xfId="2809"/>
    <cellStyle name="40% - Accent3 3 2 3 2" xfId="2810"/>
    <cellStyle name="40% - Accent3 3 2 3 2 2" xfId="2811"/>
    <cellStyle name="40% - Accent3 3 2 3 2 2 2" xfId="20801"/>
    <cellStyle name="40% - Accent3 3 2 3 2 3" xfId="2812"/>
    <cellStyle name="40% - Accent3 3 2 3 2 4" xfId="2813"/>
    <cellStyle name="40% - Accent3 3 2 3 3" xfId="2814"/>
    <cellStyle name="40% - Accent3 3 2 3 3 2" xfId="2815"/>
    <cellStyle name="40% - Accent3 3 2 3 3 3" xfId="2816"/>
    <cellStyle name="40% - Accent3 3 2 3 3 4" xfId="2817"/>
    <cellStyle name="40% - Accent3 3 2 3 4" xfId="2818"/>
    <cellStyle name="40% - Accent3 3 2 3 5" xfId="2819"/>
    <cellStyle name="40% - Accent3 3 2 3 6" xfId="2820"/>
    <cellStyle name="40% - Accent3 3 2 4" xfId="2821"/>
    <cellStyle name="40% - Accent3 3 2 4 2" xfId="2822"/>
    <cellStyle name="40% - Accent3 3 2 4 2 2" xfId="20802"/>
    <cellStyle name="40% - Accent3 3 2 4 3" xfId="2823"/>
    <cellStyle name="40% - Accent3 3 2 4 4" xfId="2824"/>
    <cellStyle name="40% - Accent3 3 2 5" xfId="2825"/>
    <cellStyle name="40% - Accent3 3 2 5 2" xfId="2826"/>
    <cellStyle name="40% - Accent3 3 2 5 3" xfId="2827"/>
    <cellStyle name="40% - Accent3 3 2 5 4" xfId="2828"/>
    <cellStyle name="40% - Accent3 3 2 6" xfId="2829"/>
    <cellStyle name="40% - Accent3 3 2 7" xfId="2830"/>
    <cellStyle name="40% - Accent3 3 2 8" xfId="2831"/>
    <cellStyle name="40% - Accent3 3 2 9" xfId="20803"/>
    <cellStyle name="40% - Accent3 3 3" xfId="2832"/>
    <cellStyle name="40% - Accent3 3 3 2" xfId="2833"/>
    <cellStyle name="40% - Accent3 3 3 2 2" xfId="2834"/>
    <cellStyle name="40% - Accent3 3 3 2 2 2" xfId="2835"/>
    <cellStyle name="40% - Accent3 3 3 2 2 2 2" xfId="20804"/>
    <cellStyle name="40% - Accent3 3 3 2 2 3" xfId="2836"/>
    <cellStyle name="40% - Accent3 3 3 2 2 4" xfId="2837"/>
    <cellStyle name="40% - Accent3 3 3 2 3" xfId="2838"/>
    <cellStyle name="40% - Accent3 3 3 2 3 2" xfId="2839"/>
    <cellStyle name="40% - Accent3 3 3 2 3 3" xfId="2840"/>
    <cellStyle name="40% - Accent3 3 3 2 3 4" xfId="2841"/>
    <cellStyle name="40% - Accent3 3 3 2 4" xfId="2842"/>
    <cellStyle name="40% - Accent3 3 3 2 5" xfId="2843"/>
    <cellStyle name="40% - Accent3 3 3 2 6" xfId="2844"/>
    <cellStyle name="40% - Accent3 3 3 3" xfId="2845"/>
    <cellStyle name="40% - Accent3 3 3 3 2" xfId="2846"/>
    <cellStyle name="40% - Accent3 3 3 3 2 2" xfId="20805"/>
    <cellStyle name="40% - Accent3 3 3 3 3" xfId="2847"/>
    <cellStyle name="40% - Accent3 3 3 3 4" xfId="2848"/>
    <cellStyle name="40% - Accent3 3 3 4" xfId="2849"/>
    <cellStyle name="40% - Accent3 3 3 4 2" xfId="2850"/>
    <cellStyle name="40% - Accent3 3 3 4 3" xfId="2851"/>
    <cellStyle name="40% - Accent3 3 3 4 4" xfId="2852"/>
    <cellStyle name="40% - Accent3 3 3 5" xfId="2853"/>
    <cellStyle name="40% - Accent3 3 3 6" xfId="2854"/>
    <cellStyle name="40% - Accent3 3 3 7" xfId="2855"/>
    <cellStyle name="40% - Accent3 3 4" xfId="2856"/>
    <cellStyle name="40% - Accent3 3 4 2" xfId="2857"/>
    <cellStyle name="40% - Accent3 3 4 2 2" xfId="2858"/>
    <cellStyle name="40% - Accent3 3 4 2 2 2" xfId="2859"/>
    <cellStyle name="40% - Accent3 3 4 2 2 2 2" xfId="20806"/>
    <cellStyle name="40% - Accent3 3 4 2 2 3" xfId="2860"/>
    <cellStyle name="40% - Accent3 3 4 2 2 4" xfId="2861"/>
    <cellStyle name="40% - Accent3 3 4 2 3" xfId="2862"/>
    <cellStyle name="40% - Accent3 3 4 2 3 2" xfId="2863"/>
    <cellStyle name="40% - Accent3 3 4 2 3 3" xfId="2864"/>
    <cellStyle name="40% - Accent3 3 4 2 3 4" xfId="2865"/>
    <cellStyle name="40% - Accent3 3 4 2 4" xfId="2866"/>
    <cellStyle name="40% - Accent3 3 4 2 5" xfId="2867"/>
    <cellStyle name="40% - Accent3 3 4 2 6" xfId="2868"/>
    <cellStyle name="40% - Accent3 3 4 3" xfId="2869"/>
    <cellStyle name="40% - Accent3 3 4 3 2" xfId="2870"/>
    <cellStyle name="40% - Accent3 3 4 3 2 2" xfId="20807"/>
    <cellStyle name="40% - Accent3 3 4 3 3" xfId="2871"/>
    <cellStyle name="40% - Accent3 3 4 3 4" xfId="2872"/>
    <cellStyle name="40% - Accent3 3 4 4" xfId="2873"/>
    <cellStyle name="40% - Accent3 3 4 4 2" xfId="2874"/>
    <cellStyle name="40% - Accent3 3 4 4 3" xfId="2875"/>
    <cellStyle name="40% - Accent3 3 4 4 4" xfId="2876"/>
    <cellStyle name="40% - Accent3 3 4 5" xfId="2877"/>
    <cellStyle name="40% - Accent3 3 4 6" xfId="2878"/>
    <cellStyle name="40% - Accent3 3 4 7" xfId="2879"/>
    <cellStyle name="40% - Accent3 3 5" xfId="2880"/>
    <cellStyle name="40% - Accent3 3 5 2" xfId="2881"/>
    <cellStyle name="40% - Accent3 3 5 2 2" xfId="2882"/>
    <cellStyle name="40% - Accent3 3 5 2 2 2" xfId="2883"/>
    <cellStyle name="40% - Accent3 3 5 2 2 3" xfId="2884"/>
    <cellStyle name="40% - Accent3 3 5 2 2 4" xfId="2885"/>
    <cellStyle name="40% - Accent3 3 5 2 3" xfId="2886"/>
    <cellStyle name="40% - Accent3 3 5 2 3 2" xfId="2887"/>
    <cellStyle name="40% - Accent3 3 5 2 3 3" xfId="2888"/>
    <cellStyle name="40% - Accent3 3 5 2 3 4" xfId="2889"/>
    <cellStyle name="40% - Accent3 3 5 2 4" xfId="2890"/>
    <cellStyle name="40% - Accent3 3 5 2 5" xfId="2891"/>
    <cellStyle name="40% - Accent3 3 5 2 6" xfId="2892"/>
    <cellStyle name="40% - Accent3 3 5 3" xfId="2893"/>
    <cellStyle name="40% - Accent3 3 5 3 2" xfId="2894"/>
    <cellStyle name="40% - Accent3 3 5 3 3" xfId="2895"/>
    <cellStyle name="40% - Accent3 3 5 3 4" xfId="2896"/>
    <cellStyle name="40% - Accent3 3 5 4" xfId="2897"/>
    <cellStyle name="40% - Accent3 3 5 4 2" xfId="2898"/>
    <cellStyle name="40% - Accent3 3 5 4 3" xfId="2899"/>
    <cellStyle name="40% - Accent3 3 5 4 4" xfId="2900"/>
    <cellStyle name="40% - Accent3 3 5 5" xfId="2901"/>
    <cellStyle name="40% - Accent3 3 5 6" xfId="2902"/>
    <cellStyle name="40% - Accent3 3 5 7" xfId="2903"/>
    <cellStyle name="40% - Accent3 3 6" xfId="2904"/>
    <cellStyle name="40% - Accent3 3 6 2" xfId="2905"/>
    <cellStyle name="40% - Accent3 3 6 2 2" xfId="2906"/>
    <cellStyle name="40% - Accent3 3 6 2 2 2" xfId="20808"/>
    <cellStyle name="40% - Accent3 3 6 2 3" xfId="2907"/>
    <cellStyle name="40% - Accent3 3 6 2 4" xfId="2908"/>
    <cellStyle name="40% - Accent3 3 6 3" xfId="2909"/>
    <cellStyle name="40% - Accent3 3 6 3 2" xfId="2910"/>
    <cellStyle name="40% - Accent3 3 6 3 3" xfId="2911"/>
    <cellStyle name="40% - Accent3 3 6 3 4" xfId="2912"/>
    <cellStyle name="40% - Accent3 3 6 4" xfId="2913"/>
    <cellStyle name="40% - Accent3 3 6 5" xfId="2914"/>
    <cellStyle name="40% - Accent3 3 6 6" xfId="2915"/>
    <cellStyle name="40% - Accent3 3 7" xfId="2916"/>
    <cellStyle name="40% - Accent3 3 7 2" xfId="2917"/>
    <cellStyle name="40% - Accent3 3 7 2 2" xfId="20809"/>
    <cellStyle name="40% - Accent3 3 7 2 2 2" xfId="20810"/>
    <cellStyle name="40% - Accent3 3 7 2 3" xfId="20811"/>
    <cellStyle name="40% - Accent3 3 7 3" xfId="2918"/>
    <cellStyle name="40% - Accent3 3 7 3 2" xfId="20812"/>
    <cellStyle name="40% - Accent3 3 7 4" xfId="2919"/>
    <cellStyle name="40% - Accent3 3 8" xfId="2920"/>
    <cellStyle name="40% - Accent3 3 8 2" xfId="2921"/>
    <cellStyle name="40% - Accent3 3 8 2 2" xfId="20813"/>
    <cellStyle name="40% - Accent3 3 8 3" xfId="2922"/>
    <cellStyle name="40% - Accent3 3 8 4" xfId="2923"/>
    <cellStyle name="40% - Accent3 3 9" xfId="2924"/>
    <cellStyle name="40% - Accent3 3 9 2" xfId="20814"/>
    <cellStyle name="40% - Accent3 4" xfId="31"/>
    <cellStyle name="40% - Accent3 4 2" xfId="2925"/>
    <cellStyle name="40% - Accent3 4 2 2" xfId="2926"/>
    <cellStyle name="40% - Accent3 4 2 2 2" xfId="2927"/>
    <cellStyle name="40% - Accent3 4 2 2 2 2" xfId="2928"/>
    <cellStyle name="40% - Accent3 4 2 2 2 2 2" xfId="20815"/>
    <cellStyle name="40% - Accent3 4 2 2 2 3" xfId="2929"/>
    <cellStyle name="40% - Accent3 4 2 2 2 4" xfId="2930"/>
    <cellStyle name="40% - Accent3 4 2 2 3" xfId="2931"/>
    <cellStyle name="40% - Accent3 4 2 2 3 2" xfId="2932"/>
    <cellStyle name="40% - Accent3 4 2 2 3 3" xfId="2933"/>
    <cellStyle name="40% - Accent3 4 2 2 3 4" xfId="2934"/>
    <cellStyle name="40% - Accent3 4 2 2 4" xfId="2935"/>
    <cellStyle name="40% - Accent3 4 2 2 5" xfId="2936"/>
    <cellStyle name="40% - Accent3 4 2 2 6" xfId="2937"/>
    <cellStyle name="40% - Accent3 4 2 3" xfId="2938"/>
    <cellStyle name="40% - Accent3 4 2 3 2" xfId="2939"/>
    <cellStyle name="40% - Accent3 4 2 3 2 2" xfId="20816"/>
    <cellStyle name="40% - Accent3 4 2 3 3" xfId="2940"/>
    <cellStyle name="40% - Accent3 4 2 3 4" xfId="2941"/>
    <cellStyle name="40% - Accent3 4 2 4" xfId="2942"/>
    <cellStyle name="40% - Accent3 4 2 4 2" xfId="2943"/>
    <cellStyle name="40% - Accent3 4 2 4 3" xfId="2944"/>
    <cellStyle name="40% - Accent3 4 2 4 4" xfId="2945"/>
    <cellStyle name="40% - Accent3 4 2 5" xfId="2946"/>
    <cellStyle name="40% - Accent3 4 2 6" xfId="2947"/>
    <cellStyle name="40% - Accent3 4 2 7" xfId="2948"/>
    <cellStyle name="40% - Accent3 4 2 8" xfId="20817"/>
    <cellStyle name="40% - Accent3 4 3" xfId="2949"/>
    <cellStyle name="40% - Accent3 4 3 2" xfId="2950"/>
    <cellStyle name="40% - Accent3 4 3 2 2" xfId="2951"/>
    <cellStyle name="40% - Accent3 4 3 2 2 2" xfId="20818"/>
    <cellStyle name="40% - Accent3 4 3 2 3" xfId="2952"/>
    <cellStyle name="40% - Accent3 4 3 2 4" xfId="2953"/>
    <cellStyle name="40% - Accent3 4 3 3" xfId="2954"/>
    <cellStyle name="40% - Accent3 4 3 3 2" xfId="2955"/>
    <cellStyle name="40% - Accent3 4 3 3 3" xfId="2956"/>
    <cellStyle name="40% - Accent3 4 3 3 4" xfId="2957"/>
    <cellStyle name="40% - Accent3 4 3 4" xfId="2958"/>
    <cellStyle name="40% - Accent3 4 3 5" xfId="2959"/>
    <cellStyle name="40% - Accent3 4 3 6" xfId="2960"/>
    <cellStyle name="40% - Accent3 4 4" xfId="2961"/>
    <cellStyle name="40% - Accent3 4 4 2" xfId="2962"/>
    <cellStyle name="40% - Accent3 4 4 2 2" xfId="20819"/>
    <cellStyle name="40% - Accent3 4 4 3" xfId="2963"/>
    <cellStyle name="40% - Accent3 4 4 4" xfId="2964"/>
    <cellStyle name="40% - Accent3 4 5" xfId="2965"/>
    <cellStyle name="40% - Accent3 4 5 2" xfId="2966"/>
    <cellStyle name="40% - Accent3 4 5 3" xfId="2967"/>
    <cellStyle name="40% - Accent3 4 5 4" xfId="2968"/>
    <cellStyle name="40% - Accent3 4 6" xfId="2969"/>
    <cellStyle name="40% - Accent3 4 7" xfId="2970"/>
    <cellStyle name="40% - Accent3 4 8" xfId="2971"/>
    <cellStyle name="40% - Accent3 4 9" xfId="20820"/>
    <cellStyle name="40% - Accent3 5" xfId="2972"/>
    <cellStyle name="40% - Accent3 5 10" xfId="20821"/>
    <cellStyle name="40% - Accent3 5 2" xfId="2973"/>
    <cellStyle name="40% - Accent3 5 2 2" xfId="2974"/>
    <cellStyle name="40% - Accent3 5 2 2 2" xfId="2975"/>
    <cellStyle name="40% - Accent3 5 2 2 2 2" xfId="20822"/>
    <cellStyle name="40% - Accent3 5 2 2 3" xfId="2976"/>
    <cellStyle name="40% - Accent3 5 2 2 4" xfId="2977"/>
    <cellStyle name="40% - Accent3 5 2 3" xfId="2978"/>
    <cellStyle name="40% - Accent3 5 2 3 2" xfId="2979"/>
    <cellStyle name="40% - Accent3 5 2 3 3" xfId="2980"/>
    <cellStyle name="40% - Accent3 5 2 3 4" xfId="2981"/>
    <cellStyle name="40% - Accent3 5 2 4" xfId="2982"/>
    <cellStyle name="40% - Accent3 5 2 5" xfId="2983"/>
    <cellStyle name="40% - Accent3 5 2 6" xfId="2984"/>
    <cellStyle name="40% - Accent3 5 2 7" xfId="20823"/>
    <cellStyle name="40% - Accent3 5 2 8" xfId="20824"/>
    <cellStyle name="40% - Accent3 5 3" xfId="2985"/>
    <cellStyle name="40% - Accent3 5 3 2" xfId="2986"/>
    <cellStyle name="40% - Accent3 5 3 2 2" xfId="20825"/>
    <cellStyle name="40% - Accent3 5 3 3" xfId="2987"/>
    <cellStyle name="40% - Accent3 5 3 4" xfId="2988"/>
    <cellStyle name="40% - Accent3 5 4" xfId="2989"/>
    <cellStyle name="40% - Accent3 5 4 2" xfId="2990"/>
    <cellStyle name="40% - Accent3 5 4 3" xfId="2991"/>
    <cellStyle name="40% - Accent3 5 4 4" xfId="2992"/>
    <cellStyle name="40% - Accent3 5 5" xfId="2993"/>
    <cellStyle name="40% - Accent3 5 6" xfId="2994"/>
    <cellStyle name="40% - Accent3 5 7" xfId="2995"/>
    <cellStyle name="40% - Accent3 5 8" xfId="20826"/>
    <cellStyle name="40% - Accent3 5 9" xfId="20827"/>
    <cellStyle name="40% - Accent3 6" xfId="2996"/>
    <cellStyle name="40% - Accent3 6 2" xfId="2997"/>
    <cellStyle name="40% - Accent3 6 2 2" xfId="2998"/>
    <cellStyle name="40% - Accent3 6 2 2 2" xfId="2999"/>
    <cellStyle name="40% - Accent3 6 2 2 3" xfId="3000"/>
    <cellStyle name="40% - Accent3 6 2 2 4" xfId="3001"/>
    <cellStyle name="40% - Accent3 6 2 3" xfId="3002"/>
    <cellStyle name="40% - Accent3 6 2 3 2" xfId="3003"/>
    <cellStyle name="40% - Accent3 6 2 3 3" xfId="3004"/>
    <cellStyle name="40% - Accent3 6 2 3 4" xfId="3005"/>
    <cellStyle name="40% - Accent3 6 2 4" xfId="3006"/>
    <cellStyle name="40% - Accent3 6 2 5" xfId="3007"/>
    <cellStyle name="40% - Accent3 6 2 6" xfId="3008"/>
    <cellStyle name="40% - Accent3 6 3" xfId="3009"/>
    <cellStyle name="40% - Accent3 6 3 2" xfId="3010"/>
    <cellStyle name="40% - Accent3 6 3 3" xfId="3011"/>
    <cellStyle name="40% - Accent3 6 3 4" xfId="3012"/>
    <cellStyle name="40% - Accent3 6 4" xfId="3013"/>
    <cellStyle name="40% - Accent3 6 4 2" xfId="3014"/>
    <cellStyle name="40% - Accent3 6 4 3" xfId="3015"/>
    <cellStyle name="40% - Accent3 6 4 4" xfId="3016"/>
    <cellStyle name="40% - Accent3 6 5" xfId="3017"/>
    <cellStyle name="40% - Accent3 6 6" xfId="3018"/>
    <cellStyle name="40% - Accent3 6 7" xfId="3019"/>
    <cellStyle name="40% - Accent3 7" xfId="3020"/>
    <cellStyle name="40% - Accent3 7 2" xfId="3021"/>
    <cellStyle name="40% - Accent3 7 2 2" xfId="3022"/>
    <cellStyle name="40% - Accent3 7 2 2 2" xfId="3023"/>
    <cellStyle name="40% - Accent3 7 2 2 3" xfId="3024"/>
    <cellStyle name="40% - Accent3 7 2 2 4" xfId="3025"/>
    <cellStyle name="40% - Accent3 7 2 3" xfId="3026"/>
    <cellStyle name="40% - Accent3 7 2 3 2" xfId="3027"/>
    <cellStyle name="40% - Accent3 7 2 3 3" xfId="3028"/>
    <cellStyle name="40% - Accent3 7 2 3 4" xfId="3029"/>
    <cellStyle name="40% - Accent3 7 2 4" xfId="3030"/>
    <cellStyle name="40% - Accent3 7 2 5" xfId="3031"/>
    <cellStyle name="40% - Accent3 7 2 6" xfId="3032"/>
    <cellStyle name="40% - Accent3 7 3" xfId="3033"/>
    <cellStyle name="40% - Accent3 7 3 2" xfId="3034"/>
    <cellStyle name="40% - Accent3 7 3 3" xfId="3035"/>
    <cellStyle name="40% - Accent3 7 3 4" xfId="3036"/>
    <cellStyle name="40% - Accent3 7 4" xfId="3037"/>
    <cellStyle name="40% - Accent3 7 4 2" xfId="3038"/>
    <cellStyle name="40% - Accent3 7 4 3" xfId="3039"/>
    <cellStyle name="40% - Accent3 7 4 4" xfId="3040"/>
    <cellStyle name="40% - Accent3 7 5" xfId="3041"/>
    <cellStyle name="40% - Accent3 7 6" xfId="3042"/>
    <cellStyle name="40% - Accent3 7 7" xfId="3043"/>
    <cellStyle name="40% - Accent3 8" xfId="3044"/>
    <cellStyle name="40% - Accent3 8 2" xfId="3045"/>
    <cellStyle name="40% - Accent3 8 2 2" xfId="3046"/>
    <cellStyle name="40% - Accent3 8 2 3" xfId="3047"/>
    <cellStyle name="40% - Accent3 8 2 4" xfId="3048"/>
    <cellStyle name="40% - Accent3 8 3" xfId="3049"/>
    <cellStyle name="40% - Accent3 8 3 2" xfId="3050"/>
    <cellStyle name="40% - Accent3 8 3 3" xfId="3051"/>
    <cellStyle name="40% - Accent3 8 3 4" xfId="3052"/>
    <cellStyle name="40% - Accent3 8 4" xfId="3053"/>
    <cellStyle name="40% - Accent3 8 5" xfId="3054"/>
    <cellStyle name="40% - Accent3 8 6" xfId="3055"/>
    <cellStyle name="40% - Accent3 9" xfId="3056"/>
    <cellStyle name="40% - Accent3 9 2" xfId="3057"/>
    <cellStyle name="40% - Accent3 9 3" xfId="3058"/>
    <cellStyle name="40% - Accent3 9 4" xfId="3059"/>
    <cellStyle name="40% - Accent4 10" xfId="3060"/>
    <cellStyle name="40% - Accent4 10 2" xfId="3061"/>
    <cellStyle name="40% - Accent4 10 3" xfId="3062"/>
    <cellStyle name="40% - Accent4 10 4" xfId="3063"/>
    <cellStyle name="40% - Accent4 11" xfId="3064"/>
    <cellStyle name="40% - Accent4 11 2" xfId="3065"/>
    <cellStyle name="40% - Accent4 11 3" xfId="3066"/>
    <cellStyle name="40% - Accent4 12" xfId="3067"/>
    <cellStyle name="40% - Accent4 13" xfId="3068"/>
    <cellStyle name="40% - Accent4 14" xfId="3069"/>
    <cellStyle name="40% - Accent4 2" xfId="32"/>
    <cellStyle name="40% - Accent4 2 10" xfId="20828"/>
    <cellStyle name="40% - Accent4 2 10 2" xfId="20829"/>
    <cellStyle name="40% - Accent4 2 11" xfId="20830"/>
    <cellStyle name="40% - Accent4 2 2" xfId="3070"/>
    <cellStyle name="40% - Accent4 2 2 2" xfId="3071"/>
    <cellStyle name="40% - Accent4 2 2 2 2" xfId="3072"/>
    <cellStyle name="40% - Accent4 2 2 2 2 2" xfId="3073"/>
    <cellStyle name="40% - Accent4 2 2 2 2 2 2" xfId="20831"/>
    <cellStyle name="40% - Accent4 2 2 2 2 2 2 2" xfId="20832"/>
    <cellStyle name="40% - Accent4 2 2 2 2 2 2 2 2" xfId="20833"/>
    <cellStyle name="40% - Accent4 2 2 2 2 2 2 3" xfId="20834"/>
    <cellStyle name="40% - Accent4 2 2 2 2 2 3" xfId="20835"/>
    <cellStyle name="40% - Accent4 2 2 2 2 2 3 2" xfId="20836"/>
    <cellStyle name="40% - Accent4 2 2 2 2 2 4" xfId="20837"/>
    <cellStyle name="40% - Accent4 2 2 2 2 2 5" xfId="20838"/>
    <cellStyle name="40% - Accent4 2 2 2 2 3" xfId="3074"/>
    <cellStyle name="40% - Accent4 2 2 2 2 3 2" xfId="20839"/>
    <cellStyle name="40% - Accent4 2 2 2 2 3 2 2" xfId="20840"/>
    <cellStyle name="40% - Accent4 2 2 2 2 3 3" xfId="20841"/>
    <cellStyle name="40% - Accent4 2 2 2 2 4" xfId="20842"/>
    <cellStyle name="40% - Accent4 2 2 2 2 4 2" xfId="20843"/>
    <cellStyle name="40% - Accent4 2 2 2 2 5" xfId="20844"/>
    <cellStyle name="40% - Accent4 2 2 2 2 6" xfId="20845"/>
    <cellStyle name="40% - Accent4 2 2 2 3" xfId="3075"/>
    <cellStyle name="40% - Accent4 2 2 2 3 2" xfId="20846"/>
    <cellStyle name="40% - Accent4 2 2 2 3 2 2" xfId="20847"/>
    <cellStyle name="40% - Accent4 2 2 2 3 2 2 2" xfId="20848"/>
    <cellStyle name="40% - Accent4 2 2 2 3 2 3" xfId="20849"/>
    <cellStyle name="40% - Accent4 2 2 2 3 3" xfId="20850"/>
    <cellStyle name="40% - Accent4 2 2 2 3 3 2" xfId="20851"/>
    <cellStyle name="40% - Accent4 2 2 2 3 4" xfId="20852"/>
    <cellStyle name="40% - Accent4 2 2 2 3 5" xfId="20853"/>
    <cellStyle name="40% - Accent4 2 2 2 4" xfId="3076"/>
    <cellStyle name="40% - Accent4 2 2 2 4 2" xfId="20854"/>
    <cellStyle name="40% - Accent4 2 2 2 4 2 2" xfId="20855"/>
    <cellStyle name="40% - Accent4 2 2 2 4 3" xfId="20856"/>
    <cellStyle name="40% - Accent4 2 2 2 5" xfId="20857"/>
    <cellStyle name="40% - Accent4 2 2 2 5 2" xfId="20858"/>
    <cellStyle name="40% - Accent4 2 2 2 6" xfId="20859"/>
    <cellStyle name="40% - Accent4 2 2 2 7" xfId="20860"/>
    <cellStyle name="40% - Accent4 2 2 3" xfId="3077"/>
    <cellStyle name="40% - Accent4 2 2 3 2" xfId="3078"/>
    <cellStyle name="40% - Accent4 2 2 3 2 2" xfId="20861"/>
    <cellStyle name="40% - Accent4 2 2 3 2 2 2" xfId="20862"/>
    <cellStyle name="40% - Accent4 2 2 3 2 2 2 2" xfId="20863"/>
    <cellStyle name="40% - Accent4 2 2 3 2 2 3" xfId="20864"/>
    <cellStyle name="40% - Accent4 2 2 3 2 3" xfId="20865"/>
    <cellStyle name="40% - Accent4 2 2 3 2 3 2" xfId="20866"/>
    <cellStyle name="40% - Accent4 2 2 3 2 4" xfId="20867"/>
    <cellStyle name="40% - Accent4 2 2 3 2 5" xfId="20868"/>
    <cellStyle name="40% - Accent4 2 2 3 3" xfId="3079"/>
    <cellStyle name="40% - Accent4 2 2 3 3 2" xfId="20869"/>
    <cellStyle name="40% - Accent4 2 2 3 3 2 2" xfId="20870"/>
    <cellStyle name="40% - Accent4 2 2 3 3 3" xfId="20871"/>
    <cellStyle name="40% - Accent4 2 2 3 4" xfId="20872"/>
    <cellStyle name="40% - Accent4 2 2 3 4 2" xfId="20873"/>
    <cellStyle name="40% - Accent4 2 2 3 5" xfId="20874"/>
    <cellStyle name="40% - Accent4 2 2 3 6" xfId="20875"/>
    <cellStyle name="40% - Accent4 2 2 4" xfId="3080"/>
    <cellStyle name="40% - Accent4 2 2 4 2" xfId="20876"/>
    <cellStyle name="40% - Accent4 2 2 4 2 2" xfId="20877"/>
    <cellStyle name="40% - Accent4 2 2 4 2 2 2" xfId="20878"/>
    <cellStyle name="40% - Accent4 2 2 4 2 3" xfId="20879"/>
    <cellStyle name="40% - Accent4 2 2 4 3" xfId="20880"/>
    <cellStyle name="40% - Accent4 2 2 4 3 2" xfId="20881"/>
    <cellStyle name="40% - Accent4 2 2 4 4" xfId="20882"/>
    <cellStyle name="40% - Accent4 2 2 4 5" xfId="20883"/>
    <cellStyle name="40% - Accent4 2 2 5" xfId="3081"/>
    <cellStyle name="40% - Accent4 2 2 5 2" xfId="20884"/>
    <cellStyle name="40% - Accent4 2 2 5 2 2" xfId="20885"/>
    <cellStyle name="40% - Accent4 2 2 5 3" xfId="20886"/>
    <cellStyle name="40% - Accent4 2 2 6" xfId="19102"/>
    <cellStyle name="40% - Accent4 2 2 6 2" xfId="20887"/>
    <cellStyle name="40% - Accent4 2 2 7" xfId="20888"/>
    <cellStyle name="40% - Accent4 2 2 8" xfId="20889"/>
    <cellStyle name="40% - Accent4 2 3" xfId="3082"/>
    <cellStyle name="40% - Accent4 2 3 2" xfId="3083"/>
    <cellStyle name="40% - Accent4 2 3 2 2" xfId="3084"/>
    <cellStyle name="40% - Accent4 2 3 2 2 2" xfId="20890"/>
    <cellStyle name="40% - Accent4 2 3 2 2 2 2" xfId="20891"/>
    <cellStyle name="40% - Accent4 2 3 2 2 2 2 2" xfId="20892"/>
    <cellStyle name="40% - Accent4 2 3 2 2 2 3" xfId="20893"/>
    <cellStyle name="40% - Accent4 2 3 2 2 3" xfId="20894"/>
    <cellStyle name="40% - Accent4 2 3 2 2 3 2" xfId="20895"/>
    <cellStyle name="40% - Accent4 2 3 2 2 4" xfId="20896"/>
    <cellStyle name="40% - Accent4 2 3 2 2 5" xfId="20897"/>
    <cellStyle name="40% - Accent4 2 3 2 3" xfId="3085"/>
    <cellStyle name="40% - Accent4 2 3 2 3 2" xfId="20898"/>
    <cellStyle name="40% - Accent4 2 3 2 3 2 2" xfId="20899"/>
    <cellStyle name="40% - Accent4 2 3 2 3 3" xfId="20900"/>
    <cellStyle name="40% - Accent4 2 3 2 4" xfId="20901"/>
    <cellStyle name="40% - Accent4 2 3 2 4 2" xfId="20902"/>
    <cellStyle name="40% - Accent4 2 3 2 5" xfId="20903"/>
    <cellStyle name="40% - Accent4 2 3 2 6" xfId="20904"/>
    <cellStyle name="40% - Accent4 2 3 3" xfId="3086"/>
    <cellStyle name="40% - Accent4 2 3 3 2" xfId="20905"/>
    <cellStyle name="40% - Accent4 2 3 3 2 2" xfId="20906"/>
    <cellStyle name="40% - Accent4 2 3 3 2 2 2" xfId="20907"/>
    <cellStyle name="40% - Accent4 2 3 3 2 3" xfId="20908"/>
    <cellStyle name="40% - Accent4 2 3 3 3" xfId="20909"/>
    <cellStyle name="40% - Accent4 2 3 3 3 2" xfId="20910"/>
    <cellStyle name="40% - Accent4 2 3 3 4" xfId="20911"/>
    <cellStyle name="40% - Accent4 2 3 3 5" xfId="20912"/>
    <cellStyle name="40% - Accent4 2 3 4" xfId="3087"/>
    <cellStyle name="40% - Accent4 2 3 4 2" xfId="20913"/>
    <cellStyle name="40% - Accent4 2 3 4 2 2" xfId="20914"/>
    <cellStyle name="40% - Accent4 2 3 4 3" xfId="20915"/>
    <cellStyle name="40% - Accent4 2 3 5" xfId="20916"/>
    <cellStyle name="40% - Accent4 2 3 5 2" xfId="20917"/>
    <cellStyle name="40% - Accent4 2 3 6" xfId="20918"/>
    <cellStyle name="40% - Accent4 2 3 7" xfId="20919"/>
    <cellStyle name="40% - Accent4 2 4" xfId="3088"/>
    <cellStyle name="40% - Accent4 2 4 2" xfId="3089"/>
    <cellStyle name="40% - Accent4 2 4 2 2" xfId="20920"/>
    <cellStyle name="40% - Accent4 2 4 2 2 2" xfId="20921"/>
    <cellStyle name="40% - Accent4 2 4 2 2 2 2" xfId="20922"/>
    <cellStyle name="40% - Accent4 2 4 2 2 3" xfId="20923"/>
    <cellStyle name="40% - Accent4 2 4 2 3" xfId="20924"/>
    <cellStyle name="40% - Accent4 2 4 2 3 2" xfId="20925"/>
    <cellStyle name="40% - Accent4 2 4 2 4" xfId="20926"/>
    <cellStyle name="40% - Accent4 2 4 2 5" xfId="20927"/>
    <cellStyle name="40% - Accent4 2 4 3" xfId="3090"/>
    <cellStyle name="40% - Accent4 2 4 3 2" xfId="20928"/>
    <cellStyle name="40% - Accent4 2 4 3 2 2" xfId="20929"/>
    <cellStyle name="40% - Accent4 2 4 3 3" xfId="20930"/>
    <cellStyle name="40% - Accent4 2 4 4" xfId="20931"/>
    <cellStyle name="40% - Accent4 2 4 4 2" xfId="20932"/>
    <cellStyle name="40% - Accent4 2 4 5" xfId="20933"/>
    <cellStyle name="40% - Accent4 2 4 6" xfId="20934"/>
    <cellStyle name="40% - Accent4 2 5" xfId="3091"/>
    <cellStyle name="40% - Accent4 2 5 2" xfId="16685"/>
    <cellStyle name="40% - Accent4 2 5 2 2" xfId="20935"/>
    <cellStyle name="40% - Accent4 2 5 2 2 2" xfId="20936"/>
    <cellStyle name="40% - Accent4 2 5 2 2 2 2" xfId="20937"/>
    <cellStyle name="40% - Accent4 2 5 2 2 3" xfId="20938"/>
    <cellStyle name="40% - Accent4 2 5 2 3" xfId="20939"/>
    <cellStyle name="40% - Accent4 2 5 2 3 2" xfId="20940"/>
    <cellStyle name="40% - Accent4 2 5 2 4" xfId="20941"/>
    <cellStyle name="40% - Accent4 2 5 3" xfId="20942"/>
    <cellStyle name="40% - Accent4 2 5 3 2" xfId="20943"/>
    <cellStyle name="40% - Accent4 2 5 3 2 2" xfId="20944"/>
    <cellStyle name="40% - Accent4 2 5 3 3" xfId="20945"/>
    <cellStyle name="40% - Accent4 2 5 4" xfId="20946"/>
    <cellStyle name="40% - Accent4 2 5 4 2" xfId="20947"/>
    <cellStyle name="40% - Accent4 2 5 5" xfId="20948"/>
    <cellStyle name="40% - Accent4 2 6" xfId="3092"/>
    <cellStyle name="40% - Accent4 2 6 2" xfId="20949"/>
    <cellStyle name="40% - Accent4 2 6 2 2" xfId="20950"/>
    <cellStyle name="40% - Accent4 2 6 2 2 2" xfId="20951"/>
    <cellStyle name="40% - Accent4 2 6 2 3" xfId="20952"/>
    <cellStyle name="40% - Accent4 2 6 3" xfId="20953"/>
    <cellStyle name="40% - Accent4 2 6 3 2" xfId="20954"/>
    <cellStyle name="40% - Accent4 2 6 4" xfId="20955"/>
    <cellStyle name="40% - Accent4 2 6 5" xfId="20956"/>
    <cellStyle name="40% - Accent4 2 7" xfId="3093"/>
    <cellStyle name="40% - Accent4 2 7 2" xfId="20957"/>
    <cellStyle name="40% - Accent4 2 7 2 2" xfId="20958"/>
    <cellStyle name="40% - Accent4 2 7 2 2 2" xfId="20959"/>
    <cellStyle name="40% - Accent4 2 7 2 3" xfId="20960"/>
    <cellStyle name="40% - Accent4 2 7 3" xfId="20961"/>
    <cellStyle name="40% - Accent4 2 7 3 2" xfId="20962"/>
    <cellStyle name="40% - Accent4 2 7 4" xfId="20963"/>
    <cellStyle name="40% - Accent4 2 8" xfId="20964"/>
    <cellStyle name="40% - Accent4 2 8 2" xfId="20965"/>
    <cellStyle name="40% - Accent4 2 8 2 2" xfId="20966"/>
    <cellStyle name="40% - Accent4 2 8 2 2 2" xfId="20967"/>
    <cellStyle name="40% - Accent4 2 8 2 3" xfId="20968"/>
    <cellStyle name="40% - Accent4 2 8 3" xfId="20969"/>
    <cellStyle name="40% - Accent4 2 8 3 2" xfId="20970"/>
    <cellStyle name="40% - Accent4 2 8 4" xfId="20971"/>
    <cellStyle name="40% - Accent4 2 9" xfId="20972"/>
    <cellStyle name="40% - Accent4 2 9 2" xfId="20973"/>
    <cellStyle name="40% - Accent4 2 9 2 2" xfId="20974"/>
    <cellStyle name="40% - Accent4 2 9 3" xfId="20975"/>
    <cellStyle name="40% - Accent4 3" xfId="33"/>
    <cellStyle name="40% - Accent4 3 10" xfId="3094"/>
    <cellStyle name="40% - Accent4 3 11" xfId="3095"/>
    <cellStyle name="40% - Accent4 3 2" xfId="3096"/>
    <cellStyle name="40% - Accent4 3 2 2" xfId="3097"/>
    <cellStyle name="40% - Accent4 3 2 2 2" xfId="3098"/>
    <cellStyle name="40% - Accent4 3 2 2 2 2" xfId="3099"/>
    <cellStyle name="40% - Accent4 3 2 2 2 2 2" xfId="3100"/>
    <cellStyle name="40% - Accent4 3 2 2 2 2 2 2" xfId="20976"/>
    <cellStyle name="40% - Accent4 3 2 2 2 2 3" xfId="3101"/>
    <cellStyle name="40% - Accent4 3 2 2 2 2 4" xfId="3102"/>
    <cellStyle name="40% - Accent4 3 2 2 2 3" xfId="3103"/>
    <cellStyle name="40% - Accent4 3 2 2 2 3 2" xfId="3104"/>
    <cellStyle name="40% - Accent4 3 2 2 2 3 3" xfId="3105"/>
    <cellStyle name="40% - Accent4 3 2 2 2 3 4" xfId="3106"/>
    <cellStyle name="40% - Accent4 3 2 2 2 4" xfId="3107"/>
    <cellStyle name="40% - Accent4 3 2 2 2 5" xfId="3108"/>
    <cellStyle name="40% - Accent4 3 2 2 2 6" xfId="3109"/>
    <cellStyle name="40% - Accent4 3 2 2 3" xfId="3110"/>
    <cellStyle name="40% - Accent4 3 2 2 3 2" xfId="3111"/>
    <cellStyle name="40% - Accent4 3 2 2 3 2 2" xfId="20977"/>
    <cellStyle name="40% - Accent4 3 2 2 3 3" xfId="3112"/>
    <cellStyle name="40% - Accent4 3 2 2 3 4" xfId="3113"/>
    <cellStyle name="40% - Accent4 3 2 2 4" xfId="3114"/>
    <cellStyle name="40% - Accent4 3 2 2 4 2" xfId="3115"/>
    <cellStyle name="40% - Accent4 3 2 2 4 3" xfId="3116"/>
    <cellStyle name="40% - Accent4 3 2 2 4 4" xfId="3117"/>
    <cellStyle name="40% - Accent4 3 2 2 5" xfId="3118"/>
    <cellStyle name="40% - Accent4 3 2 2 6" xfId="3119"/>
    <cellStyle name="40% - Accent4 3 2 2 7" xfId="3120"/>
    <cellStyle name="40% - Accent4 3 2 3" xfId="3121"/>
    <cellStyle name="40% - Accent4 3 2 3 2" xfId="3122"/>
    <cellStyle name="40% - Accent4 3 2 3 2 2" xfId="3123"/>
    <cellStyle name="40% - Accent4 3 2 3 2 2 2" xfId="20978"/>
    <cellStyle name="40% - Accent4 3 2 3 2 3" xfId="3124"/>
    <cellStyle name="40% - Accent4 3 2 3 2 4" xfId="3125"/>
    <cellStyle name="40% - Accent4 3 2 3 3" xfId="3126"/>
    <cellStyle name="40% - Accent4 3 2 3 3 2" xfId="3127"/>
    <cellStyle name="40% - Accent4 3 2 3 3 3" xfId="3128"/>
    <cellStyle name="40% - Accent4 3 2 3 3 4" xfId="3129"/>
    <cellStyle name="40% - Accent4 3 2 3 4" xfId="3130"/>
    <cellStyle name="40% - Accent4 3 2 3 5" xfId="3131"/>
    <cellStyle name="40% - Accent4 3 2 3 6" xfId="3132"/>
    <cellStyle name="40% - Accent4 3 2 4" xfId="3133"/>
    <cellStyle name="40% - Accent4 3 2 4 2" xfId="3134"/>
    <cellStyle name="40% - Accent4 3 2 4 2 2" xfId="20979"/>
    <cellStyle name="40% - Accent4 3 2 4 3" xfId="3135"/>
    <cellStyle name="40% - Accent4 3 2 4 4" xfId="3136"/>
    <cellStyle name="40% - Accent4 3 2 5" xfId="3137"/>
    <cellStyle name="40% - Accent4 3 2 5 2" xfId="3138"/>
    <cellStyle name="40% - Accent4 3 2 5 3" xfId="3139"/>
    <cellStyle name="40% - Accent4 3 2 5 4" xfId="3140"/>
    <cellStyle name="40% - Accent4 3 2 6" xfId="3141"/>
    <cellStyle name="40% - Accent4 3 2 7" xfId="3142"/>
    <cellStyle name="40% - Accent4 3 2 8" xfId="3143"/>
    <cellStyle name="40% - Accent4 3 3" xfId="3144"/>
    <cellStyle name="40% - Accent4 3 3 2" xfId="3145"/>
    <cellStyle name="40% - Accent4 3 3 2 2" xfId="3146"/>
    <cellStyle name="40% - Accent4 3 3 2 2 2" xfId="3147"/>
    <cellStyle name="40% - Accent4 3 3 2 2 2 2" xfId="20980"/>
    <cellStyle name="40% - Accent4 3 3 2 2 3" xfId="3148"/>
    <cellStyle name="40% - Accent4 3 3 2 2 4" xfId="3149"/>
    <cellStyle name="40% - Accent4 3 3 2 3" xfId="3150"/>
    <cellStyle name="40% - Accent4 3 3 2 3 2" xfId="3151"/>
    <cellStyle name="40% - Accent4 3 3 2 3 3" xfId="3152"/>
    <cellStyle name="40% - Accent4 3 3 2 3 4" xfId="3153"/>
    <cellStyle name="40% - Accent4 3 3 2 4" xfId="3154"/>
    <cellStyle name="40% - Accent4 3 3 2 5" xfId="3155"/>
    <cellStyle name="40% - Accent4 3 3 2 6" xfId="3156"/>
    <cellStyle name="40% - Accent4 3 3 3" xfId="3157"/>
    <cellStyle name="40% - Accent4 3 3 3 2" xfId="3158"/>
    <cellStyle name="40% - Accent4 3 3 3 2 2" xfId="20981"/>
    <cellStyle name="40% - Accent4 3 3 3 3" xfId="3159"/>
    <cellStyle name="40% - Accent4 3 3 3 4" xfId="3160"/>
    <cellStyle name="40% - Accent4 3 3 4" xfId="3161"/>
    <cellStyle name="40% - Accent4 3 3 4 2" xfId="3162"/>
    <cellStyle name="40% - Accent4 3 3 4 3" xfId="3163"/>
    <cellStyle name="40% - Accent4 3 3 4 4" xfId="3164"/>
    <cellStyle name="40% - Accent4 3 3 5" xfId="3165"/>
    <cellStyle name="40% - Accent4 3 3 6" xfId="3166"/>
    <cellStyle name="40% - Accent4 3 3 7" xfId="3167"/>
    <cellStyle name="40% - Accent4 3 4" xfId="3168"/>
    <cellStyle name="40% - Accent4 3 4 2" xfId="3169"/>
    <cellStyle name="40% - Accent4 3 4 2 2" xfId="3170"/>
    <cellStyle name="40% - Accent4 3 4 2 2 2" xfId="3171"/>
    <cellStyle name="40% - Accent4 3 4 2 2 2 2" xfId="20982"/>
    <cellStyle name="40% - Accent4 3 4 2 2 3" xfId="3172"/>
    <cellStyle name="40% - Accent4 3 4 2 2 4" xfId="3173"/>
    <cellStyle name="40% - Accent4 3 4 2 3" xfId="3174"/>
    <cellStyle name="40% - Accent4 3 4 2 3 2" xfId="3175"/>
    <cellStyle name="40% - Accent4 3 4 2 3 3" xfId="3176"/>
    <cellStyle name="40% - Accent4 3 4 2 3 4" xfId="3177"/>
    <cellStyle name="40% - Accent4 3 4 2 4" xfId="3178"/>
    <cellStyle name="40% - Accent4 3 4 2 5" xfId="3179"/>
    <cellStyle name="40% - Accent4 3 4 2 6" xfId="3180"/>
    <cellStyle name="40% - Accent4 3 4 2 7" xfId="20983"/>
    <cellStyle name="40% - Accent4 3 4 3" xfId="3181"/>
    <cellStyle name="40% - Accent4 3 4 3 2" xfId="3182"/>
    <cellStyle name="40% - Accent4 3 4 3 2 2" xfId="20984"/>
    <cellStyle name="40% - Accent4 3 4 3 3" xfId="3183"/>
    <cellStyle name="40% - Accent4 3 4 3 4" xfId="3184"/>
    <cellStyle name="40% - Accent4 3 4 4" xfId="3185"/>
    <cellStyle name="40% - Accent4 3 4 4 2" xfId="3186"/>
    <cellStyle name="40% - Accent4 3 4 4 3" xfId="3187"/>
    <cellStyle name="40% - Accent4 3 4 4 4" xfId="3188"/>
    <cellStyle name="40% - Accent4 3 4 5" xfId="3189"/>
    <cellStyle name="40% - Accent4 3 4 6" xfId="3190"/>
    <cellStyle name="40% - Accent4 3 4 7" xfId="3191"/>
    <cellStyle name="40% - Accent4 3 4 8" xfId="20985"/>
    <cellStyle name="40% - Accent4 3 5" xfId="3192"/>
    <cellStyle name="40% - Accent4 3 5 2" xfId="3193"/>
    <cellStyle name="40% - Accent4 3 5 2 2" xfId="3194"/>
    <cellStyle name="40% - Accent4 3 5 2 2 2" xfId="3195"/>
    <cellStyle name="40% - Accent4 3 5 2 2 3" xfId="3196"/>
    <cellStyle name="40% - Accent4 3 5 2 2 4" xfId="3197"/>
    <cellStyle name="40% - Accent4 3 5 2 3" xfId="3198"/>
    <cellStyle name="40% - Accent4 3 5 2 3 2" xfId="3199"/>
    <cellStyle name="40% - Accent4 3 5 2 3 3" xfId="3200"/>
    <cellStyle name="40% - Accent4 3 5 2 3 4" xfId="3201"/>
    <cellStyle name="40% - Accent4 3 5 2 4" xfId="3202"/>
    <cellStyle name="40% - Accent4 3 5 2 5" xfId="3203"/>
    <cellStyle name="40% - Accent4 3 5 2 6" xfId="3204"/>
    <cellStyle name="40% - Accent4 3 5 3" xfId="3205"/>
    <cellStyle name="40% - Accent4 3 5 3 2" xfId="3206"/>
    <cellStyle name="40% - Accent4 3 5 3 3" xfId="3207"/>
    <cellStyle name="40% - Accent4 3 5 3 4" xfId="3208"/>
    <cellStyle name="40% - Accent4 3 5 4" xfId="3209"/>
    <cellStyle name="40% - Accent4 3 5 4 2" xfId="3210"/>
    <cellStyle name="40% - Accent4 3 5 4 3" xfId="3211"/>
    <cellStyle name="40% - Accent4 3 5 4 4" xfId="3212"/>
    <cellStyle name="40% - Accent4 3 5 5" xfId="3213"/>
    <cellStyle name="40% - Accent4 3 5 6" xfId="3214"/>
    <cellStyle name="40% - Accent4 3 5 7" xfId="3215"/>
    <cellStyle name="40% - Accent4 3 6" xfId="3216"/>
    <cellStyle name="40% - Accent4 3 6 2" xfId="3217"/>
    <cellStyle name="40% - Accent4 3 6 2 2" xfId="3218"/>
    <cellStyle name="40% - Accent4 3 6 2 2 2" xfId="20986"/>
    <cellStyle name="40% - Accent4 3 6 2 3" xfId="3219"/>
    <cellStyle name="40% - Accent4 3 6 2 4" xfId="3220"/>
    <cellStyle name="40% - Accent4 3 6 3" xfId="3221"/>
    <cellStyle name="40% - Accent4 3 6 3 2" xfId="3222"/>
    <cellStyle name="40% - Accent4 3 6 3 3" xfId="3223"/>
    <cellStyle name="40% - Accent4 3 6 3 4" xfId="3224"/>
    <cellStyle name="40% - Accent4 3 6 4" xfId="3225"/>
    <cellStyle name="40% - Accent4 3 6 5" xfId="3226"/>
    <cellStyle name="40% - Accent4 3 6 6" xfId="3227"/>
    <cellStyle name="40% - Accent4 3 7" xfId="3228"/>
    <cellStyle name="40% - Accent4 3 7 2" xfId="3229"/>
    <cellStyle name="40% - Accent4 3 7 2 2" xfId="20987"/>
    <cellStyle name="40% - Accent4 3 7 2 2 2" xfId="20988"/>
    <cellStyle name="40% - Accent4 3 7 2 3" xfId="20989"/>
    <cellStyle name="40% - Accent4 3 7 3" xfId="3230"/>
    <cellStyle name="40% - Accent4 3 7 3 2" xfId="20990"/>
    <cellStyle name="40% - Accent4 3 7 4" xfId="3231"/>
    <cellStyle name="40% - Accent4 3 8" xfId="3232"/>
    <cellStyle name="40% - Accent4 3 8 2" xfId="3233"/>
    <cellStyle name="40% - Accent4 3 8 2 2" xfId="20991"/>
    <cellStyle name="40% - Accent4 3 8 3" xfId="3234"/>
    <cellStyle name="40% - Accent4 3 8 4" xfId="3235"/>
    <cellStyle name="40% - Accent4 3 9" xfId="3236"/>
    <cellStyle name="40% - Accent4 3 9 2" xfId="20992"/>
    <cellStyle name="40% - Accent4 4" xfId="34"/>
    <cellStyle name="40% - Accent4 4 2" xfId="3237"/>
    <cellStyle name="40% - Accent4 4 2 2" xfId="3238"/>
    <cellStyle name="40% - Accent4 4 2 2 2" xfId="3239"/>
    <cellStyle name="40% - Accent4 4 2 2 2 2" xfId="3240"/>
    <cellStyle name="40% - Accent4 4 2 2 2 2 2" xfId="20993"/>
    <cellStyle name="40% - Accent4 4 2 2 2 3" xfId="3241"/>
    <cellStyle name="40% - Accent4 4 2 2 2 4" xfId="3242"/>
    <cellStyle name="40% - Accent4 4 2 2 3" xfId="3243"/>
    <cellStyle name="40% - Accent4 4 2 2 3 2" xfId="3244"/>
    <cellStyle name="40% - Accent4 4 2 2 3 3" xfId="3245"/>
    <cellStyle name="40% - Accent4 4 2 2 3 4" xfId="3246"/>
    <cellStyle name="40% - Accent4 4 2 2 4" xfId="3247"/>
    <cellStyle name="40% - Accent4 4 2 2 5" xfId="3248"/>
    <cellStyle name="40% - Accent4 4 2 2 6" xfId="3249"/>
    <cellStyle name="40% - Accent4 4 2 3" xfId="3250"/>
    <cellStyle name="40% - Accent4 4 2 3 2" xfId="3251"/>
    <cellStyle name="40% - Accent4 4 2 3 2 2" xfId="20994"/>
    <cellStyle name="40% - Accent4 4 2 3 3" xfId="3252"/>
    <cellStyle name="40% - Accent4 4 2 3 4" xfId="3253"/>
    <cellStyle name="40% - Accent4 4 2 4" xfId="3254"/>
    <cellStyle name="40% - Accent4 4 2 4 2" xfId="3255"/>
    <cellStyle name="40% - Accent4 4 2 4 3" xfId="3256"/>
    <cellStyle name="40% - Accent4 4 2 4 4" xfId="3257"/>
    <cellStyle name="40% - Accent4 4 2 5" xfId="3258"/>
    <cellStyle name="40% - Accent4 4 2 6" xfId="3259"/>
    <cellStyle name="40% - Accent4 4 2 7" xfId="3260"/>
    <cellStyle name="40% - Accent4 4 3" xfId="3261"/>
    <cellStyle name="40% - Accent4 4 3 2" xfId="3262"/>
    <cellStyle name="40% - Accent4 4 3 2 2" xfId="3263"/>
    <cellStyle name="40% - Accent4 4 3 2 2 2" xfId="20995"/>
    <cellStyle name="40% - Accent4 4 3 2 3" xfId="3264"/>
    <cellStyle name="40% - Accent4 4 3 2 4" xfId="3265"/>
    <cellStyle name="40% - Accent4 4 3 3" xfId="3266"/>
    <cellStyle name="40% - Accent4 4 3 3 2" xfId="3267"/>
    <cellStyle name="40% - Accent4 4 3 3 3" xfId="3268"/>
    <cellStyle name="40% - Accent4 4 3 3 4" xfId="3269"/>
    <cellStyle name="40% - Accent4 4 3 4" xfId="3270"/>
    <cellStyle name="40% - Accent4 4 3 5" xfId="3271"/>
    <cellStyle name="40% - Accent4 4 3 6" xfId="3272"/>
    <cellStyle name="40% - Accent4 4 4" xfId="3273"/>
    <cellStyle name="40% - Accent4 4 4 2" xfId="3274"/>
    <cellStyle name="40% - Accent4 4 4 2 2" xfId="20996"/>
    <cellStyle name="40% - Accent4 4 4 3" xfId="3275"/>
    <cellStyle name="40% - Accent4 4 4 4" xfId="3276"/>
    <cellStyle name="40% - Accent4 4 5" xfId="3277"/>
    <cellStyle name="40% - Accent4 4 5 2" xfId="3278"/>
    <cellStyle name="40% - Accent4 4 5 3" xfId="3279"/>
    <cellStyle name="40% - Accent4 4 5 4" xfId="3280"/>
    <cellStyle name="40% - Accent4 4 6" xfId="3281"/>
    <cellStyle name="40% - Accent4 4 7" xfId="3282"/>
    <cellStyle name="40% - Accent4 4 8" xfId="3283"/>
    <cellStyle name="40% - Accent4 5" xfId="3284"/>
    <cellStyle name="40% - Accent4 5 2" xfId="3285"/>
    <cellStyle name="40% - Accent4 5 2 2" xfId="3286"/>
    <cellStyle name="40% - Accent4 5 2 2 2" xfId="3287"/>
    <cellStyle name="40% - Accent4 5 2 2 2 2" xfId="20997"/>
    <cellStyle name="40% - Accent4 5 2 2 3" xfId="3288"/>
    <cellStyle name="40% - Accent4 5 2 2 4" xfId="3289"/>
    <cellStyle name="40% - Accent4 5 2 3" xfId="3290"/>
    <cellStyle name="40% - Accent4 5 2 3 2" xfId="3291"/>
    <cellStyle name="40% - Accent4 5 2 3 3" xfId="3292"/>
    <cellStyle name="40% - Accent4 5 2 3 4" xfId="3293"/>
    <cellStyle name="40% - Accent4 5 2 4" xfId="3294"/>
    <cellStyle name="40% - Accent4 5 2 5" xfId="3295"/>
    <cellStyle name="40% - Accent4 5 2 6" xfId="3296"/>
    <cellStyle name="40% - Accent4 5 2 7" xfId="20998"/>
    <cellStyle name="40% - Accent4 5 2 8" xfId="20999"/>
    <cellStyle name="40% - Accent4 5 3" xfId="3297"/>
    <cellStyle name="40% - Accent4 5 3 2" xfId="3298"/>
    <cellStyle name="40% - Accent4 5 3 2 2" xfId="21000"/>
    <cellStyle name="40% - Accent4 5 3 3" xfId="3299"/>
    <cellStyle name="40% - Accent4 5 3 4" xfId="3300"/>
    <cellStyle name="40% - Accent4 5 4" xfId="3301"/>
    <cellStyle name="40% - Accent4 5 4 2" xfId="3302"/>
    <cellStyle name="40% - Accent4 5 4 3" xfId="3303"/>
    <cellStyle name="40% - Accent4 5 4 4" xfId="3304"/>
    <cellStyle name="40% - Accent4 5 5" xfId="3305"/>
    <cellStyle name="40% - Accent4 5 6" xfId="3306"/>
    <cellStyle name="40% - Accent4 5 7" xfId="3307"/>
    <cellStyle name="40% - Accent4 5 8" xfId="21001"/>
    <cellStyle name="40% - Accent4 5 9" xfId="21002"/>
    <cellStyle name="40% - Accent4 6" xfId="3308"/>
    <cellStyle name="40% - Accent4 6 2" xfId="3309"/>
    <cellStyle name="40% - Accent4 6 2 2" xfId="3310"/>
    <cellStyle name="40% - Accent4 6 2 2 2" xfId="3311"/>
    <cellStyle name="40% - Accent4 6 2 2 3" xfId="3312"/>
    <cellStyle name="40% - Accent4 6 2 2 4" xfId="3313"/>
    <cellStyle name="40% - Accent4 6 2 3" xfId="3314"/>
    <cellStyle name="40% - Accent4 6 2 3 2" xfId="3315"/>
    <cellStyle name="40% - Accent4 6 2 3 3" xfId="3316"/>
    <cellStyle name="40% - Accent4 6 2 3 4" xfId="3317"/>
    <cellStyle name="40% - Accent4 6 2 4" xfId="3318"/>
    <cellStyle name="40% - Accent4 6 2 5" xfId="3319"/>
    <cellStyle name="40% - Accent4 6 2 6" xfId="3320"/>
    <cellStyle name="40% - Accent4 6 3" xfId="3321"/>
    <cellStyle name="40% - Accent4 6 3 2" xfId="3322"/>
    <cellStyle name="40% - Accent4 6 3 3" xfId="3323"/>
    <cellStyle name="40% - Accent4 6 3 4" xfId="3324"/>
    <cellStyle name="40% - Accent4 6 4" xfId="3325"/>
    <cellStyle name="40% - Accent4 6 4 2" xfId="3326"/>
    <cellStyle name="40% - Accent4 6 4 3" xfId="3327"/>
    <cellStyle name="40% - Accent4 6 4 4" xfId="3328"/>
    <cellStyle name="40% - Accent4 6 5" xfId="3329"/>
    <cellStyle name="40% - Accent4 6 6" xfId="3330"/>
    <cellStyle name="40% - Accent4 6 7" xfId="3331"/>
    <cellStyle name="40% - Accent4 7" xfId="3332"/>
    <cellStyle name="40% - Accent4 7 2" xfId="3333"/>
    <cellStyle name="40% - Accent4 7 2 2" xfId="3334"/>
    <cellStyle name="40% - Accent4 7 2 2 2" xfId="3335"/>
    <cellStyle name="40% - Accent4 7 2 2 3" xfId="3336"/>
    <cellStyle name="40% - Accent4 7 2 2 4" xfId="3337"/>
    <cellStyle name="40% - Accent4 7 2 3" xfId="3338"/>
    <cellStyle name="40% - Accent4 7 2 3 2" xfId="3339"/>
    <cellStyle name="40% - Accent4 7 2 3 3" xfId="3340"/>
    <cellStyle name="40% - Accent4 7 2 3 4" xfId="3341"/>
    <cellStyle name="40% - Accent4 7 2 4" xfId="3342"/>
    <cellStyle name="40% - Accent4 7 2 5" xfId="3343"/>
    <cellStyle name="40% - Accent4 7 2 6" xfId="3344"/>
    <cellStyle name="40% - Accent4 7 3" xfId="3345"/>
    <cellStyle name="40% - Accent4 7 3 2" xfId="3346"/>
    <cellStyle name="40% - Accent4 7 3 3" xfId="3347"/>
    <cellStyle name="40% - Accent4 7 3 4" xfId="3348"/>
    <cellStyle name="40% - Accent4 7 4" xfId="3349"/>
    <cellStyle name="40% - Accent4 7 4 2" xfId="3350"/>
    <cellStyle name="40% - Accent4 7 4 3" xfId="3351"/>
    <cellStyle name="40% - Accent4 7 4 4" xfId="3352"/>
    <cellStyle name="40% - Accent4 7 5" xfId="3353"/>
    <cellStyle name="40% - Accent4 7 6" xfId="3354"/>
    <cellStyle name="40% - Accent4 7 7" xfId="3355"/>
    <cellStyle name="40% - Accent4 8" xfId="3356"/>
    <cellStyle name="40% - Accent4 8 2" xfId="3357"/>
    <cellStyle name="40% - Accent4 8 2 2" xfId="3358"/>
    <cellStyle name="40% - Accent4 8 2 3" xfId="3359"/>
    <cellStyle name="40% - Accent4 8 2 4" xfId="3360"/>
    <cellStyle name="40% - Accent4 8 3" xfId="3361"/>
    <cellStyle name="40% - Accent4 8 3 2" xfId="3362"/>
    <cellStyle name="40% - Accent4 8 3 3" xfId="3363"/>
    <cellStyle name="40% - Accent4 8 3 4" xfId="3364"/>
    <cellStyle name="40% - Accent4 8 4" xfId="3365"/>
    <cellStyle name="40% - Accent4 8 5" xfId="3366"/>
    <cellStyle name="40% - Accent4 8 6" xfId="3367"/>
    <cellStyle name="40% - Accent4 9" xfId="3368"/>
    <cellStyle name="40% - Accent4 9 2" xfId="3369"/>
    <cellStyle name="40% - Accent4 9 3" xfId="3370"/>
    <cellStyle name="40% - Accent4 9 4" xfId="3371"/>
    <cellStyle name="40% - Accent5 10" xfId="3372"/>
    <cellStyle name="40% - Accent5 10 2" xfId="3373"/>
    <cellStyle name="40% - Accent5 10 3" xfId="3374"/>
    <cellStyle name="40% - Accent5 10 4" xfId="3375"/>
    <cellStyle name="40% - Accent5 11" xfId="3376"/>
    <cellStyle name="40% - Accent5 11 2" xfId="3377"/>
    <cellStyle name="40% - Accent5 11 3" xfId="3378"/>
    <cellStyle name="40% - Accent5 12" xfId="3379"/>
    <cellStyle name="40% - Accent5 13" xfId="3380"/>
    <cellStyle name="40% - Accent5 14" xfId="3381"/>
    <cellStyle name="40% - Accent5 2" xfId="35"/>
    <cellStyle name="40% - Accent5 2 2" xfId="3382"/>
    <cellStyle name="40% - Accent5 2 2 2" xfId="3383"/>
    <cellStyle name="40% - Accent5 2 2 2 2" xfId="3384"/>
    <cellStyle name="40% - Accent5 2 2 2 2 2" xfId="3385"/>
    <cellStyle name="40% - Accent5 2 2 2 2 2 2" xfId="21003"/>
    <cellStyle name="40% - Accent5 2 2 2 2 2 2 2" xfId="21004"/>
    <cellStyle name="40% - Accent5 2 2 2 2 2 2 2 2" xfId="21005"/>
    <cellStyle name="40% - Accent5 2 2 2 2 2 2 3" xfId="21006"/>
    <cellStyle name="40% - Accent5 2 2 2 2 2 3" xfId="21007"/>
    <cellStyle name="40% - Accent5 2 2 2 2 2 3 2" xfId="21008"/>
    <cellStyle name="40% - Accent5 2 2 2 2 2 4" xfId="21009"/>
    <cellStyle name="40% - Accent5 2 2 2 2 2 5" xfId="21010"/>
    <cellStyle name="40% - Accent5 2 2 2 2 3" xfId="3386"/>
    <cellStyle name="40% - Accent5 2 2 2 2 3 2" xfId="21011"/>
    <cellStyle name="40% - Accent5 2 2 2 2 3 2 2" xfId="21012"/>
    <cellStyle name="40% - Accent5 2 2 2 2 3 3" xfId="21013"/>
    <cellStyle name="40% - Accent5 2 2 2 2 4" xfId="21014"/>
    <cellStyle name="40% - Accent5 2 2 2 2 4 2" xfId="21015"/>
    <cellStyle name="40% - Accent5 2 2 2 2 5" xfId="21016"/>
    <cellStyle name="40% - Accent5 2 2 2 2 6" xfId="21017"/>
    <cellStyle name="40% - Accent5 2 2 2 3" xfId="3387"/>
    <cellStyle name="40% - Accent5 2 2 2 3 2" xfId="21018"/>
    <cellStyle name="40% - Accent5 2 2 2 3 2 2" xfId="21019"/>
    <cellStyle name="40% - Accent5 2 2 2 3 2 2 2" xfId="21020"/>
    <cellStyle name="40% - Accent5 2 2 2 3 2 3" xfId="21021"/>
    <cellStyle name="40% - Accent5 2 2 2 3 3" xfId="21022"/>
    <cellStyle name="40% - Accent5 2 2 2 3 3 2" xfId="21023"/>
    <cellStyle name="40% - Accent5 2 2 2 3 4" xfId="21024"/>
    <cellStyle name="40% - Accent5 2 2 2 3 5" xfId="21025"/>
    <cellStyle name="40% - Accent5 2 2 2 4" xfId="3388"/>
    <cellStyle name="40% - Accent5 2 2 2 4 2" xfId="21026"/>
    <cellStyle name="40% - Accent5 2 2 2 4 2 2" xfId="21027"/>
    <cellStyle name="40% - Accent5 2 2 2 4 3" xfId="21028"/>
    <cellStyle name="40% - Accent5 2 2 2 5" xfId="21029"/>
    <cellStyle name="40% - Accent5 2 2 2 5 2" xfId="21030"/>
    <cellStyle name="40% - Accent5 2 2 2 6" xfId="21031"/>
    <cellStyle name="40% - Accent5 2 2 2 7" xfId="21032"/>
    <cellStyle name="40% - Accent5 2 2 3" xfId="3389"/>
    <cellStyle name="40% - Accent5 2 2 3 2" xfId="3390"/>
    <cellStyle name="40% - Accent5 2 2 3 2 2" xfId="21033"/>
    <cellStyle name="40% - Accent5 2 2 3 2 2 2" xfId="21034"/>
    <cellStyle name="40% - Accent5 2 2 3 2 2 2 2" xfId="21035"/>
    <cellStyle name="40% - Accent5 2 2 3 2 2 3" xfId="21036"/>
    <cellStyle name="40% - Accent5 2 2 3 2 3" xfId="21037"/>
    <cellStyle name="40% - Accent5 2 2 3 2 3 2" xfId="21038"/>
    <cellStyle name="40% - Accent5 2 2 3 2 4" xfId="21039"/>
    <cellStyle name="40% - Accent5 2 2 3 2 5" xfId="21040"/>
    <cellStyle name="40% - Accent5 2 2 3 3" xfId="3391"/>
    <cellStyle name="40% - Accent5 2 2 3 3 2" xfId="21041"/>
    <cellStyle name="40% - Accent5 2 2 3 3 2 2" xfId="21042"/>
    <cellStyle name="40% - Accent5 2 2 3 3 3" xfId="21043"/>
    <cellStyle name="40% - Accent5 2 2 3 4" xfId="21044"/>
    <cellStyle name="40% - Accent5 2 2 3 4 2" xfId="21045"/>
    <cellStyle name="40% - Accent5 2 2 3 5" xfId="21046"/>
    <cellStyle name="40% - Accent5 2 2 3 6" xfId="21047"/>
    <cellStyle name="40% - Accent5 2 2 4" xfId="3392"/>
    <cellStyle name="40% - Accent5 2 2 4 2" xfId="21048"/>
    <cellStyle name="40% - Accent5 2 2 4 2 2" xfId="21049"/>
    <cellStyle name="40% - Accent5 2 2 4 2 2 2" xfId="21050"/>
    <cellStyle name="40% - Accent5 2 2 4 2 3" xfId="21051"/>
    <cellStyle name="40% - Accent5 2 2 4 3" xfId="21052"/>
    <cellStyle name="40% - Accent5 2 2 4 3 2" xfId="21053"/>
    <cellStyle name="40% - Accent5 2 2 4 4" xfId="21054"/>
    <cellStyle name="40% - Accent5 2 2 4 5" xfId="21055"/>
    <cellStyle name="40% - Accent5 2 2 5" xfId="3393"/>
    <cellStyle name="40% - Accent5 2 2 5 2" xfId="21056"/>
    <cellStyle name="40% - Accent5 2 2 5 2 2" xfId="21057"/>
    <cellStyle name="40% - Accent5 2 2 5 3" xfId="21058"/>
    <cellStyle name="40% - Accent5 2 2 6" xfId="19103"/>
    <cellStyle name="40% - Accent5 2 2 6 2" xfId="21059"/>
    <cellStyle name="40% - Accent5 2 2 7" xfId="21060"/>
    <cellStyle name="40% - Accent5 2 2 8" xfId="21061"/>
    <cellStyle name="40% - Accent5 2 3" xfId="3394"/>
    <cellStyle name="40% - Accent5 2 3 2" xfId="3395"/>
    <cellStyle name="40% - Accent5 2 3 2 2" xfId="3396"/>
    <cellStyle name="40% - Accent5 2 3 2 2 2" xfId="21062"/>
    <cellStyle name="40% - Accent5 2 3 2 2 2 2" xfId="21063"/>
    <cellStyle name="40% - Accent5 2 3 2 2 2 2 2" xfId="21064"/>
    <cellStyle name="40% - Accent5 2 3 2 2 2 3" xfId="21065"/>
    <cellStyle name="40% - Accent5 2 3 2 2 3" xfId="21066"/>
    <cellStyle name="40% - Accent5 2 3 2 2 3 2" xfId="21067"/>
    <cellStyle name="40% - Accent5 2 3 2 2 4" xfId="21068"/>
    <cellStyle name="40% - Accent5 2 3 2 2 5" xfId="21069"/>
    <cellStyle name="40% - Accent5 2 3 2 3" xfId="3397"/>
    <cellStyle name="40% - Accent5 2 3 2 3 2" xfId="21070"/>
    <cellStyle name="40% - Accent5 2 3 2 3 2 2" xfId="21071"/>
    <cellStyle name="40% - Accent5 2 3 2 3 3" xfId="21072"/>
    <cellStyle name="40% - Accent5 2 3 2 4" xfId="21073"/>
    <cellStyle name="40% - Accent5 2 3 2 4 2" xfId="21074"/>
    <cellStyle name="40% - Accent5 2 3 2 5" xfId="21075"/>
    <cellStyle name="40% - Accent5 2 3 2 6" xfId="21076"/>
    <cellStyle name="40% - Accent5 2 3 3" xfId="3398"/>
    <cellStyle name="40% - Accent5 2 3 3 2" xfId="21077"/>
    <cellStyle name="40% - Accent5 2 3 3 2 2" xfId="21078"/>
    <cellStyle name="40% - Accent5 2 3 3 2 2 2" xfId="21079"/>
    <cellStyle name="40% - Accent5 2 3 3 2 3" xfId="21080"/>
    <cellStyle name="40% - Accent5 2 3 3 3" xfId="21081"/>
    <cellStyle name="40% - Accent5 2 3 3 3 2" xfId="21082"/>
    <cellStyle name="40% - Accent5 2 3 3 4" xfId="21083"/>
    <cellStyle name="40% - Accent5 2 3 3 5" xfId="21084"/>
    <cellStyle name="40% - Accent5 2 3 4" xfId="3399"/>
    <cellStyle name="40% - Accent5 2 3 4 2" xfId="21085"/>
    <cellStyle name="40% - Accent5 2 3 4 2 2" xfId="21086"/>
    <cellStyle name="40% - Accent5 2 3 4 3" xfId="21087"/>
    <cellStyle name="40% - Accent5 2 3 5" xfId="21088"/>
    <cellStyle name="40% - Accent5 2 3 5 2" xfId="21089"/>
    <cellStyle name="40% - Accent5 2 3 6" xfId="21090"/>
    <cellStyle name="40% - Accent5 2 3 7" xfId="21091"/>
    <cellStyle name="40% - Accent5 2 4" xfId="3400"/>
    <cellStyle name="40% - Accent5 2 4 2" xfId="3401"/>
    <cellStyle name="40% - Accent5 2 4 2 2" xfId="21092"/>
    <cellStyle name="40% - Accent5 2 4 2 2 2" xfId="21093"/>
    <cellStyle name="40% - Accent5 2 4 2 2 2 2" xfId="21094"/>
    <cellStyle name="40% - Accent5 2 4 2 2 3" xfId="21095"/>
    <cellStyle name="40% - Accent5 2 4 2 3" xfId="21096"/>
    <cellStyle name="40% - Accent5 2 4 2 3 2" xfId="21097"/>
    <cellStyle name="40% - Accent5 2 4 2 4" xfId="21098"/>
    <cellStyle name="40% - Accent5 2 4 2 5" xfId="21099"/>
    <cellStyle name="40% - Accent5 2 4 3" xfId="3402"/>
    <cellStyle name="40% - Accent5 2 4 3 2" xfId="21100"/>
    <cellStyle name="40% - Accent5 2 4 3 2 2" xfId="21101"/>
    <cellStyle name="40% - Accent5 2 4 3 3" xfId="21102"/>
    <cellStyle name="40% - Accent5 2 4 4" xfId="21103"/>
    <cellStyle name="40% - Accent5 2 4 4 2" xfId="21104"/>
    <cellStyle name="40% - Accent5 2 4 5" xfId="21105"/>
    <cellStyle name="40% - Accent5 2 4 6" xfId="21106"/>
    <cellStyle name="40% - Accent5 2 5" xfId="3403"/>
    <cellStyle name="40% - Accent5 2 5 2" xfId="21107"/>
    <cellStyle name="40% - Accent5 2 5 2 2" xfId="21108"/>
    <cellStyle name="40% - Accent5 2 5 2 2 2" xfId="21109"/>
    <cellStyle name="40% - Accent5 2 5 2 3" xfId="21110"/>
    <cellStyle name="40% - Accent5 2 5 3" xfId="21111"/>
    <cellStyle name="40% - Accent5 2 5 3 2" xfId="21112"/>
    <cellStyle name="40% - Accent5 2 5 4" xfId="21113"/>
    <cellStyle name="40% - Accent5 2 5 5" xfId="21114"/>
    <cellStyle name="40% - Accent5 2 6" xfId="3404"/>
    <cellStyle name="40% - Accent5 2 6 2" xfId="21115"/>
    <cellStyle name="40% - Accent5 2 6 2 2" xfId="21116"/>
    <cellStyle name="40% - Accent5 2 6 3" xfId="21117"/>
    <cellStyle name="40% - Accent5 2 7" xfId="3405"/>
    <cellStyle name="40% - Accent5 2 7 2" xfId="21118"/>
    <cellStyle name="40% - Accent5 2 8" xfId="21119"/>
    <cellStyle name="40% - Accent5 3" xfId="36"/>
    <cellStyle name="40% - Accent5 3 10" xfId="3406"/>
    <cellStyle name="40% - Accent5 3 11" xfId="3407"/>
    <cellStyle name="40% - Accent5 3 2" xfId="3408"/>
    <cellStyle name="40% - Accent5 3 2 2" xfId="3409"/>
    <cellStyle name="40% - Accent5 3 2 2 2" xfId="3410"/>
    <cellStyle name="40% - Accent5 3 2 2 2 2" xfId="3411"/>
    <cellStyle name="40% - Accent5 3 2 2 2 2 2" xfId="3412"/>
    <cellStyle name="40% - Accent5 3 2 2 2 2 2 2" xfId="21120"/>
    <cellStyle name="40% - Accent5 3 2 2 2 2 3" xfId="3413"/>
    <cellStyle name="40% - Accent5 3 2 2 2 2 4" xfId="3414"/>
    <cellStyle name="40% - Accent5 3 2 2 2 3" xfId="3415"/>
    <cellStyle name="40% - Accent5 3 2 2 2 3 2" xfId="3416"/>
    <cellStyle name="40% - Accent5 3 2 2 2 3 3" xfId="3417"/>
    <cellStyle name="40% - Accent5 3 2 2 2 3 4" xfId="3418"/>
    <cellStyle name="40% - Accent5 3 2 2 2 4" xfId="3419"/>
    <cellStyle name="40% - Accent5 3 2 2 2 5" xfId="3420"/>
    <cellStyle name="40% - Accent5 3 2 2 2 6" xfId="3421"/>
    <cellStyle name="40% - Accent5 3 2 2 3" xfId="3422"/>
    <cellStyle name="40% - Accent5 3 2 2 3 2" xfId="3423"/>
    <cellStyle name="40% - Accent5 3 2 2 3 2 2" xfId="21121"/>
    <cellStyle name="40% - Accent5 3 2 2 3 3" xfId="3424"/>
    <cellStyle name="40% - Accent5 3 2 2 3 4" xfId="3425"/>
    <cellStyle name="40% - Accent5 3 2 2 4" xfId="3426"/>
    <cellStyle name="40% - Accent5 3 2 2 4 2" xfId="3427"/>
    <cellStyle name="40% - Accent5 3 2 2 4 3" xfId="3428"/>
    <cellStyle name="40% - Accent5 3 2 2 4 4" xfId="3429"/>
    <cellStyle name="40% - Accent5 3 2 2 5" xfId="3430"/>
    <cellStyle name="40% - Accent5 3 2 2 6" xfId="3431"/>
    <cellStyle name="40% - Accent5 3 2 2 7" xfId="3432"/>
    <cellStyle name="40% - Accent5 3 2 3" xfId="3433"/>
    <cellStyle name="40% - Accent5 3 2 3 2" xfId="3434"/>
    <cellStyle name="40% - Accent5 3 2 3 2 2" xfId="3435"/>
    <cellStyle name="40% - Accent5 3 2 3 2 2 2" xfId="21122"/>
    <cellStyle name="40% - Accent5 3 2 3 2 3" xfId="3436"/>
    <cellStyle name="40% - Accent5 3 2 3 2 4" xfId="3437"/>
    <cellStyle name="40% - Accent5 3 2 3 3" xfId="3438"/>
    <cellStyle name="40% - Accent5 3 2 3 3 2" xfId="3439"/>
    <cellStyle name="40% - Accent5 3 2 3 3 3" xfId="3440"/>
    <cellStyle name="40% - Accent5 3 2 3 3 4" xfId="3441"/>
    <cellStyle name="40% - Accent5 3 2 3 4" xfId="3442"/>
    <cellStyle name="40% - Accent5 3 2 3 5" xfId="3443"/>
    <cellStyle name="40% - Accent5 3 2 3 6" xfId="3444"/>
    <cellStyle name="40% - Accent5 3 2 4" xfId="3445"/>
    <cellStyle name="40% - Accent5 3 2 4 2" xfId="3446"/>
    <cellStyle name="40% - Accent5 3 2 4 2 2" xfId="21123"/>
    <cellStyle name="40% - Accent5 3 2 4 3" xfId="3447"/>
    <cellStyle name="40% - Accent5 3 2 4 4" xfId="3448"/>
    <cellStyle name="40% - Accent5 3 2 5" xfId="3449"/>
    <cellStyle name="40% - Accent5 3 2 5 2" xfId="3450"/>
    <cellStyle name="40% - Accent5 3 2 5 3" xfId="3451"/>
    <cellStyle name="40% - Accent5 3 2 5 4" xfId="3452"/>
    <cellStyle name="40% - Accent5 3 2 6" xfId="3453"/>
    <cellStyle name="40% - Accent5 3 2 7" xfId="3454"/>
    <cellStyle name="40% - Accent5 3 2 8" xfId="3455"/>
    <cellStyle name="40% - Accent5 3 3" xfId="3456"/>
    <cellStyle name="40% - Accent5 3 3 2" xfId="3457"/>
    <cellStyle name="40% - Accent5 3 3 2 2" xfId="3458"/>
    <cellStyle name="40% - Accent5 3 3 2 2 2" xfId="3459"/>
    <cellStyle name="40% - Accent5 3 3 2 2 2 2" xfId="21124"/>
    <cellStyle name="40% - Accent5 3 3 2 2 3" xfId="3460"/>
    <cellStyle name="40% - Accent5 3 3 2 2 4" xfId="3461"/>
    <cellStyle name="40% - Accent5 3 3 2 3" xfId="3462"/>
    <cellStyle name="40% - Accent5 3 3 2 3 2" xfId="3463"/>
    <cellStyle name="40% - Accent5 3 3 2 3 3" xfId="3464"/>
    <cellStyle name="40% - Accent5 3 3 2 3 4" xfId="3465"/>
    <cellStyle name="40% - Accent5 3 3 2 4" xfId="3466"/>
    <cellStyle name="40% - Accent5 3 3 2 5" xfId="3467"/>
    <cellStyle name="40% - Accent5 3 3 2 6" xfId="3468"/>
    <cellStyle name="40% - Accent5 3 3 3" xfId="3469"/>
    <cellStyle name="40% - Accent5 3 3 3 2" xfId="3470"/>
    <cellStyle name="40% - Accent5 3 3 3 2 2" xfId="21125"/>
    <cellStyle name="40% - Accent5 3 3 3 3" xfId="3471"/>
    <cellStyle name="40% - Accent5 3 3 3 4" xfId="3472"/>
    <cellStyle name="40% - Accent5 3 3 4" xfId="3473"/>
    <cellStyle name="40% - Accent5 3 3 4 2" xfId="3474"/>
    <cellStyle name="40% - Accent5 3 3 4 3" xfId="3475"/>
    <cellStyle name="40% - Accent5 3 3 4 4" xfId="3476"/>
    <cellStyle name="40% - Accent5 3 3 5" xfId="3477"/>
    <cellStyle name="40% - Accent5 3 3 6" xfId="3478"/>
    <cellStyle name="40% - Accent5 3 3 7" xfId="3479"/>
    <cellStyle name="40% - Accent5 3 4" xfId="3480"/>
    <cellStyle name="40% - Accent5 3 4 2" xfId="3481"/>
    <cellStyle name="40% - Accent5 3 4 2 2" xfId="3482"/>
    <cellStyle name="40% - Accent5 3 4 2 2 2" xfId="3483"/>
    <cellStyle name="40% - Accent5 3 4 2 2 3" xfId="3484"/>
    <cellStyle name="40% - Accent5 3 4 2 2 4" xfId="3485"/>
    <cellStyle name="40% - Accent5 3 4 2 3" xfId="3486"/>
    <cellStyle name="40% - Accent5 3 4 2 3 2" xfId="3487"/>
    <cellStyle name="40% - Accent5 3 4 2 3 3" xfId="3488"/>
    <cellStyle name="40% - Accent5 3 4 2 3 4" xfId="3489"/>
    <cellStyle name="40% - Accent5 3 4 2 4" xfId="3490"/>
    <cellStyle name="40% - Accent5 3 4 2 5" xfId="3491"/>
    <cellStyle name="40% - Accent5 3 4 2 6" xfId="3492"/>
    <cellStyle name="40% - Accent5 3 4 3" xfId="3493"/>
    <cellStyle name="40% - Accent5 3 4 3 2" xfId="3494"/>
    <cellStyle name="40% - Accent5 3 4 3 3" xfId="3495"/>
    <cellStyle name="40% - Accent5 3 4 3 4" xfId="3496"/>
    <cellStyle name="40% - Accent5 3 4 4" xfId="3497"/>
    <cellStyle name="40% - Accent5 3 4 4 2" xfId="3498"/>
    <cellStyle name="40% - Accent5 3 4 4 3" xfId="3499"/>
    <cellStyle name="40% - Accent5 3 4 4 4" xfId="3500"/>
    <cellStyle name="40% - Accent5 3 4 5" xfId="3501"/>
    <cellStyle name="40% - Accent5 3 4 6" xfId="3502"/>
    <cellStyle name="40% - Accent5 3 4 7" xfId="3503"/>
    <cellStyle name="40% - Accent5 3 5" xfId="3504"/>
    <cellStyle name="40% - Accent5 3 5 2" xfId="3505"/>
    <cellStyle name="40% - Accent5 3 5 2 2" xfId="3506"/>
    <cellStyle name="40% - Accent5 3 5 2 2 2" xfId="3507"/>
    <cellStyle name="40% - Accent5 3 5 2 2 3" xfId="3508"/>
    <cellStyle name="40% - Accent5 3 5 2 2 4" xfId="3509"/>
    <cellStyle name="40% - Accent5 3 5 2 3" xfId="3510"/>
    <cellStyle name="40% - Accent5 3 5 2 3 2" xfId="3511"/>
    <cellStyle name="40% - Accent5 3 5 2 3 3" xfId="3512"/>
    <cellStyle name="40% - Accent5 3 5 2 3 4" xfId="3513"/>
    <cellStyle name="40% - Accent5 3 5 2 4" xfId="3514"/>
    <cellStyle name="40% - Accent5 3 5 2 5" xfId="3515"/>
    <cellStyle name="40% - Accent5 3 5 2 6" xfId="3516"/>
    <cellStyle name="40% - Accent5 3 5 3" xfId="3517"/>
    <cellStyle name="40% - Accent5 3 5 3 2" xfId="3518"/>
    <cellStyle name="40% - Accent5 3 5 3 3" xfId="3519"/>
    <cellStyle name="40% - Accent5 3 5 3 4" xfId="3520"/>
    <cellStyle name="40% - Accent5 3 5 4" xfId="3521"/>
    <cellStyle name="40% - Accent5 3 5 4 2" xfId="3522"/>
    <cellStyle name="40% - Accent5 3 5 4 3" xfId="3523"/>
    <cellStyle name="40% - Accent5 3 5 4 4" xfId="3524"/>
    <cellStyle name="40% - Accent5 3 5 5" xfId="3525"/>
    <cellStyle name="40% - Accent5 3 5 6" xfId="3526"/>
    <cellStyle name="40% - Accent5 3 5 7" xfId="3527"/>
    <cellStyle name="40% - Accent5 3 6" xfId="3528"/>
    <cellStyle name="40% - Accent5 3 6 2" xfId="3529"/>
    <cellStyle name="40% - Accent5 3 6 2 2" xfId="3530"/>
    <cellStyle name="40% - Accent5 3 6 2 3" xfId="3531"/>
    <cellStyle name="40% - Accent5 3 6 2 4" xfId="3532"/>
    <cellStyle name="40% - Accent5 3 6 3" xfId="3533"/>
    <cellStyle name="40% - Accent5 3 6 3 2" xfId="3534"/>
    <cellStyle name="40% - Accent5 3 6 3 3" xfId="3535"/>
    <cellStyle name="40% - Accent5 3 6 3 4" xfId="3536"/>
    <cellStyle name="40% - Accent5 3 6 4" xfId="3537"/>
    <cellStyle name="40% - Accent5 3 6 5" xfId="3538"/>
    <cellStyle name="40% - Accent5 3 6 6" xfId="3539"/>
    <cellStyle name="40% - Accent5 3 7" xfId="3540"/>
    <cellStyle name="40% - Accent5 3 7 2" xfId="3541"/>
    <cellStyle name="40% - Accent5 3 7 3" xfId="3542"/>
    <cellStyle name="40% - Accent5 3 7 4" xfId="3543"/>
    <cellStyle name="40% - Accent5 3 8" xfId="3544"/>
    <cellStyle name="40% - Accent5 3 8 2" xfId="3545"/>
    <cellStyle name="40% - Accent5 3 8 3" xfId="3546"/>
    <cellStyle name="40% - Accent5 3 8 4" xfId="3547"/>
    <cellStyle name="40% - Accent5 3 9" xfId="3548"/>
    <cellStyle name="40% - Accent5 4" xfId="37"/>
    <cellStyle name="40% - Accent5 4 2" xfId="3549"/>
    <cellStyle name="40% - Accent5 4 2 2" xfId="3550"/>
    <cellStyle name="40% - Accent5 4 2 2 2" xfId="3551"/>
    <cellStyle name="40% - Accent5 4 2 2 2 2" xfId="3552"/>
    <cellStyle name="40% - Accent5 4 2 2 2 2 2" xfId="21126"/>
    <cellStyle name="40% - Accent5 4 2 2 2 3" xfId="3553"/>
    <cellStyle name="40% - Accent5 4 2 2 2 4" xfId="3554"/>
    <cellStyle name="40% - Accent5 4 2 2 3" xfId="3555"/>
    <cellStyle name="40% - Accent5 4 2 2 3 2" xfId="3556"/>
    <cellStyle name="40% - Accent5 4 2 2 3 3" xfId="3557"/>
    <cellStyle name="40% - Accent5 4 2 2 3 4" xfId="3558"/>
    <cellStyle name="40% - Accent5 4 2 2 4" xfId="3559"/>
    <cellStyle name="40% - Accent5 4 2 2 5" xfId="3560"/>
    <cellStyle name="40% - Accent5 4 2 2 6" xfId="3561"/>
    <cellStyle name="40% - Accent5 4 2 3" xfId="3562"/>
    <cellStyle name="40% - Accent5 4 2 3 2" xfId="3563"/>
    <cellStyle name="40% - Accent5 4 2 3 2 2" xfId="21127"/>
    <cellStyle name="40% - Accent5 4 2 3 3" xfId="3564"/>
    <cellStyle name="40% - Accent5 4 2 3 4" xfId="3565"/>
    <cellStyle name="40% - Accent5 4 2 4" xfId="3566"/>
    <cellStyle name="40% - Accent5 4 2 4 2" xfId="3567"/>
    <cellStyle name="40% - Accent5 4 2 4 3" xfId="3568"/>
    <cellStyle name="40% - Accent5 4 2 4 4" xfId="3569"/>
    <cellStyle name="40% - Accent5 4 2 5" xfId="3570"/>
    <cellStyle name="40% - Accent5 4 2 6" xfId="3571"/>
    <cellStyle name="40% - Accent5 4 2 7" xfId="3572"/>
    <cellStyle name="40% - Accent5 4 3" xfId="3573"/>
    <cellStyle name="40% - Accent5 4 3 2" xfId="3574"/>
    <cellStyle name="40% - Accent5 4 3 2 2" xfId="3575"/>
    <cellStyle name="40% - Accent5 4 3 2 2 2" xfId="21128"/>
    <cellStyle name="40% - Accent5 4 3 2 3" xfId="3576"/>
    <cellStyle name="40% - Accent5 4 3 2 4" xfId="3577"/>
    <cellStyle name="40% - Accent5 4 3 3" xfId="3578"/>
    <cellStyle name="40% - Accent5 4 3 3 2" xfId="3579"/>
    <cellStyle name="40% - Accent5 4 3 3 3" xfId="3580"/>
    <cellStyle name="40% - Accent5 4 3 3 4" xfId="3581"/>
    <cellStyle name="40% - Accent5 4 3 4" xfId="3582"/>
    <cellStyle name="40% - Accent5 4 3 5" xfId="3583"/>
    <cellStyle name="40% - Accent5 4 3 6" xfId="3584"/>
    <cellStyle name="40% - Accent5 4 4" xfId="3585"/>
    <cellStyle name="40% - Accent5 4 4 2" xfId="3586"/>
    <cellStyle name="40% - Accent5 4 4 2 2" xfId="21129"/>
    <cellStyle name="40% - Accent5 4 4 3" xfId="3587"/>
    <cellStyle name="40% - Accent5 4 4 4" xfId="3588"/>
    <cellStyle name="40% - Accent5 4 5" xfId="3589"/>
    <cellStyle name="40% - Accent5 4 5 2" xfId="3590"/>
    <cellStyle name="40% - Accent5 4 5 3" xfId="3591"/>
    <cellStyle name="40% - Accent5 4 5 4" xfId="3592"/>
    <cellStyle name="40% - Accent5 4 6" xfId="3593"/>
    <cellStyle name="40% - Accent5 4 7" xfId="3594"/>
    <cellStyle name="40% - Accent5 4 8" xfId="3595"/>
    <cellStyle name="40% - Accent5 5" xfId="3596"/>
    <cellStyle name="40% - Accent5 5 2" xfId="3597"/>
    <cellStyle name="40% - Accent5 5 2 2" xfId="3598"/>
    <cellStyle name="40% - Accent5 5 2 2 2" xfId="3599"/>
    <cellStyle name="40% - Accent5 5 2 2 2 2" xfId="21130"/>
    <cellStyle name="40% - Accent5 5 2 2 3" xfId="3600"/>
    <cellStyle name="40% - Accent5 5 2 2 4" xfId="3601"/>
    <cellStyle name="40% - Accent5 5 2 3" xfId="3602"/>
    <cellStyle name="40% - Accent5 5 2 3 2" xfId="3603"/>
    <cellStyle name="40% - Accent5 5 2 3 3" xfId="3604"/>
    <cellStyle name="40% - Accent5 5 2 3 4" xfId="3605"/>
    <cellStyle name="40% - Accent5 5 2 4" xfId="3606"/>
    <cellStyle name="40% - Accent5 5 2 5" xfId="3607"/>
    <cellStyle name="40% - Accent5 5 2 6" xfId="3608"/>
    <cellStyle name="40% - Accent5 5 2 7" xfId="21131"/>
    <cellStyle name="40% - Accent5 5 2 8" xfId="21132"/>
    <cellStyle name="40% - Accent5 5 3" xfId="3609"/>
    <cellStyle name="40% - Accent5 5 3 2" xfId="3610"/>
    <cellStyle name="40% - Accent5 5 3 2 2" xfId="21133"/>
    <cellStyle name="40% - Accent5 5 3 3" xfId="3611"/>
    <cellStyle name="40% - Accent5 5 3 4" xfId="3612"/>
    <cellStyle name="40% - Accent5 5 4" xfId="3613"/>
    <cellStyle name="40% - Accent5 5 4 2" xfId="3614"/>
    <cellStyle name="40% - Accent5 5 4 3" xfId="3615"/>
    <cellStyle name="40% - Accent5 5 4 4" xfId="3616"/>
    <cellStyle name="40% - Accent5 5 5" xfId="3617"/>
    <cellStyle name="40% - Accent5 5 6" xfId="3618"/>
    <cellStyle name="40% - Accent5 5 7" xfId="3619"/>
    <cellStyle name="40% - Accent5 5 8" xfId="21134"/>
    <cellStyle name="40% - Accent5 5 9" xfId="21135"/>
    <cellStyle name="40% - Accent5 6" xfId="3620"/>
    <cellStyle name="40% - Accent5 6 2" xfId="3621"/>
    <cellStyle name="40% - Accent5 6 2 2" xfId="3622"/>
    <cellStyle name="40% - Accent5 6 2 2 2" xfId="3623"/>
    <cellStyle name="40% - Accent5 6 2 2 3" xfId="3624"/>
    <cellStyle name="40% - Accent5 6 2 2 4" xfId="3625"/>
    <cellStyle name="40% - Accent5 6 2 3" xfId="3626"/>
    <cellStyle name="40% - Accent5 6 2 3 2" xfId="3627"/>
    <cellStyle name="40% - Accent5 6 2 3 3" xfId="3628"/>
    <cellStyle name="40% - Accent5 6 2 3 4" xfId="3629"/>
    <cellStyle name="40% - Accent5 6 2 4" xfId="3630"/>
    <cellStyle name="40% - Accent5 6 2 5" xfId="3631"/>
    <cellStyle name="40% - Accent5 6 2 6" xfId="3632"/>
    <cellStyle name="40% - Accent5 6 3" xfId="3633"/>
    <cellStyle name="40% - Accent5 6 3 2" xfId="3634"/>
    <cellStyle name="40% - Accent5 6 3 3" xfId="3635"/>
    <cellStyle name="40% - Accent5 6 3 4" xfId="3636"/>
    <cellStyle name="40% - Accent5 6 4" xfId="3637"/>
    <cellStyle name="40% - Accent5 6 4 2" xfId="3638"/>
    <cellStyle name="40% - Accent5 6 4 3" xfId="3639"/>
    <cellStyle name="40% - Accent5 6 4 4" xfId="3640"/>
    <cellStyle name="40% - Accent5 6 5" xfId="3641"/>
    <cellStyle name="40% - Accent5 6 6" xfId="3642"/>
    <cellStyle name="40% - Accent5 6 7" xfId="3643"/>
    <cellStyle name="40% - Accent5 7" xfId="3644"/>
    <cellStyle name="40% - Accent5 7 2" xfId="3645"/>
    <cellStyle name="40% - Accent5 7 2 2" xfId="3646"/>
    <cellStyle name="40% - Accent5 7 2 2 2" xfId="3647"/>
    <cellStyle name="40% - Accent5 7 2 2 3" xfId="3648"/>
    <cellStyle name="40% - Accent5 7 2 2 4" xfId="3649"/>
    <cellStyle name="40% - Accent5 7 2 3" xfId="3650"/>
    <cellStyle name="40% - Accent5 7 2 3 2" xfId="3651"/>
    <cellStyle name="40% - Accent5 7 2 3 3" xfId="3652"/>
    <cellStyle name="40% - Accent5 7 2 3 4" xfId="3653"/>
    <cellStyle name="40% - Accent5 7 2 4" xfId="3654"/>
    <cellStyle name="40% - Accent5 7 2 5" xfId="3655"/>
    <cellStyle name="40% - Accent5 7 2 6" xfId="3656"/>
    <cellStyle name="40% - Accent5 7 3" xfId="3657"/>
    <cellStyle name="40% - Accent5 7 3 2" xfId="3658"/>
    <cellStyle name="40% - Accent5 7 3 3" xfId="3659"/>
    <cellStyle name="40% - Accent5 7 3 4" xfId="3660"/>
    <cellStyle name="40% - Accent5 7 4" xfId="3661"/>
    <cellStyle name="40% - Accent5 7 4 2" xfId="3662"/>
    <cellStyle name="40% - Accent5 7 4 3" xfId="3663"/>
    <cellStyle name="40% - Accent5 7 4 4" xfId="3664"/>
    <cellStyle name="40% - Accent5 7 5" xfId="3665"/>
    <cellStyle name="40% - Accent5 7 6" xfId="3666"/>
    <cellStyle name="40% - Accent5 7 7" xfId="3667"/>
    <cellStyle name="40% - Accent5 8" xfId="3668"/>
    <cellStyle name="40% - Accent5 8 2" xfId="3669"/>
    <cellStyle name="40% - Accent5 8 2 2" xfId="3670"/>
    <cellStyle name="40% - Accent5 8 2 3" xfId="3671"/>
    <cellStyle name="40% - Accent5 8 2 4" xfId="3672"/>
    <cellStyle name="40% - Accent5 8 3" xfId="3673"/>
    <cellStyle name="40% - Accent5 8 3 2" xfId="3674"/>
    <cellStyle name="40% - Accent5 8 3 3" xfId="3675"/>
    <cellStyle name="40% - Accent5 8 3 4" xfId="3676"/>
    <cellStyle name="40% - Accent5 8 4" xfId="3677"/>
    <cellStyle name="40% - Accent5 8 5" xfId="3678"/>
    <cellStyle name="40% - Accent5 8 6" xfId="3679"/>
    <cellStyle name="40% - Accent5 9" xfId="3680"/>
    <cellStyle name="40% - Accent5 9 2" xfId="3681"/>
    <cellStyle name="40% - Accent5 9 3" xfId="3682"/>
    <cellStyle name="40% - Accent5 9 4" xfId="3683"/>
    <cellStyle name="40% - Accent6 10" xfId="3684"/>
    <cellStyle name="40% - Accent6 10 2" xfId="3685"/>
    <cellStyle name="40% - Accent6 10 3" xfId="3686"/>
    <cellStyle name="40% - Accent6 10 4" xfId="3687"/>
    <cellStyle name="40% - Accent6 11" xfId="3688"/>
    <cellStyle name="40% - Accent6 11 2" xfId="3689"/>
    <cellStyle name="40% - Accent6 11 3" xfId="3690"/>
    <cellStyle name="40% - Accent6 12" xfId="3691"/>
    <cellStyle name="40% - Accent6 13" xfId="3692"/>
    <cellStyle name="40% - Accent6 14" xfId="3693"/>
    <cellStyle name="40% - Accent6 2" xfId="38"/>
    <cellStyle name="40% - Accent6 2 10" xfId="21136"/>
    <cellStyle name="40% - Accent6 2 10 2" xfId="21137"/>
    <cellStyle name="40% - Accent6 2 11" xfId="21138"/>
    <cellStyle name="40% - Accent6 2 2" xfId="3694"/>
    <cellStyle name="40% - Accent6 2 2 2" xfId="3695"/>
    <cellStyle name="40% - Accent6 2 2 2 2" xfId="3696"/>
    <cellStyle name="40% - Accent6 2 2 2 2 2" xfId="3697"/>
    <cellStyle name="40% - Accent6 2 2 2 2 2 2" xfId="21139"/>
    <cellStyle name="40% - Accent6 2 2 2 2 2 2 2" xfId="21140"/>
    <cellStyle name="40% - Accent6 2 2 2 2 2 2 2 2" xfId="21141"/>
    <cellStyle name="40% - Accent6 2 2 2 2 2 2 3" xfId="21142"/>
    <cellStyle name="40% - Accent6 2 2 2 2 2 3" xfId="21143"/>
    <cellStyle name="40% - Accent6 2 2 2 2 2 3 2" xfId="21144"/>
    <cellStyle name="40% - Accent6 2 2 2 2 2 4" xfId="21145"/>
    <cellStyle name="40% - Accent6 2 2 2 2 2 5" xfId="21146"/>
    <cellStyle name="40% - Accent6 2 2 2 2 3" xfId="3698"/>
    <cellStyle name="40% - Accent6 2 2 2 2 3 2" xfId="21147"/>
    <cellStyle name="40% - Accent6 2 2 2 2 3 2 2" xfId="21148"/>
    <cellStyle name="40% - Accent6 2 2 2 2 3 3" xfId="21149"/>
    <cellStyle name="40% - Accent6 2 2 2 2 4" xfId="21150"/>
    <cellStyle name="40% - Accent6 2 2 2 2 4 2" xfId="21151"/>
    <cellStyle name="40% - Accent6 2 2 2 2 5" xfId="21152"/>
    <cellStyle name="40% - Accent6 2 2 2 2 6" xfId="21153"/>
    <cellStyle name="40% - Accent6 2 2 2 3" xfId="3699"/>
    <cellStyle name="40% - Accent6 2 2 2 3 2" xfId="21154"/>
    <cellStyle name="40% - Accent6 2 2 2 3 2 2" xfId="21155"/>
    <cellStyle name="40% - Accent6 2 2 2 3 2 2 2" xfId="21156"/>
    <cellStyle name="40% - Accent6 2 2 2 3 2 3" xfId="21157"/>
    <cellStyle name="40% - Accent6 2 2 2 3 3" xfId="21158"/>
    <cellStyle name="40% - Accent6 2 2 2 3 3 2" xfId="21159"/>
    <cellStyle name="40% - Accent6 2 2 2 3 4" xfId="21160"/>
    <cellStyle name="40% - Accent6 2 2 2 3 5" xfId="21161"/>
    <cellStyle name="40% - Accent6 2 2 2 4" xfId="3700"/>
    <cellStyle name="40% - Accent6 2 2 2 4 2" xfId="21162"/>
    <cellStyle name="40% - Accent6 2 2 2 4 2 2" xfId="21163"/>
    <cellStyle name="40% - Accent6 2 2 2 4 3" xfId="21164"/>
    <cellStyle name="40% - Accent6 2 2 2 5" xfId="21165"/>
    <cellStyle name="40% - Accent6 2 2 2 5 2" xfId="21166"/>
    <cellStyle name="40% - Accent6 2 2 2 6" xfId="21167"/>
    <cellStyle name="40% - Accent6 2 2 2 7" xfId="21168"/>
    <cellStyle name="40% - Accent6 2 2 3" xfId="3701"/>
    <cellStyle name="40% - Accent6 2 2 3 2" xfId="3702"/>
    <cellStyle name="40% - Accent6 2 2 3 2 2" xfId="21169"/>
    <cellStyle name="40% - Accent6 2 2 3 2 2 2" xfId="21170"/>
    <cellStyle name="40% - Accent6 2 2 3 2 2 2 2" xfId="21171"/>
    <cellStyle name="40% - Accent6 2 2 3 2 2 3" xfId="21172"/>
    <cellStyle name="40% - Accent6 2 2 3 2 3" xfId="21173"/>
    <cellStyle name="40% - Accent6 2 2 3 2 3 2" xfId="21174"/>
    <cellStyle name="40% - Accent6 2 2 3 2 4" xfId="21175"/>
    <cellStyle name="40% - Accent6 2 2 3 2 5" xfId="21176"/>
    <cellStyle name="40% - Accent6 2 2 3 3" xfId="3703"/>
    <cellStyle name="40% - Accent6 2 2 3 3 2" xfId="21177"/>
    <cellStyle name="40% - Accent6 2 2 3 3 2 2" xfId="21178"/>
    <cellStyle name="40% - Accent6 2 2 3 3 3" xfId="21179"/>
    <cellStyle name="40% - Accent6 2 2 3 4" xfId="21180"/>
    <cellStyle name="40% - Accent6 2 2 3 4 2" xfId="21181"/>
    <cellStyle name="40% - Accent6 2 2 3 5" xfId="21182"/>
    <cellStyle name="40% - Accent6 2 2 3 6" xfId="21183"/>
    <cellStyle name="40% - Accent6 2 2 4" xfId="3704"/>
    <cellStyle name="40% - Accent6 2 2 4 2" xfId="21184"/>
    <cellStyle name="40% - Accent6 2 2 4 2 2" xfId="21185"/>
    <cellStyle name="40% - Accent6 2 2 4 2 2 2" xfId="21186"/>
    <cellStyle name="40% - Accent6 2 2 4 2 3" xfId="21187"/>
    <cellStyle name="40% - Accent6 2 2 4 3" xfId="21188"/>
    <cellStyle name="40% - Accent6 2 2 4 3 2" xfId="21189"/>
    <cellStyle name="40% - Accent6 2 2 4 4" xfId="21190"/>
    <cellStyle name="40% - Accent6 2 2 4 5" xfId="21191"/>
    <cellStyle name="40% - Accent6 2 2 5" xfId="3705"/>
    <cellStyle name="40% - Accent6 2 2 5 2" xfId="21192"/>
    <cellStyle name="40% - Accent6 2 2 5 2 2" xfId="21193"/>
    <cellStyle name="40% - Accent6 2 2 5 3" xfId="21194"/>
    <cellStyle name="40% - Accent6 2 2 6" xfId="19104"/>
    <cellStyle name="40% - Accent6 2 2 6 2" xfId="21195"/>
    <cellStyle name="40% - Accent6 2 2 7" xfId="21196"/>
    <cellStyle name="40% - Accent6 2 2 8" xfId="21197"/>
    <cellStyle name="40% - Accent6 2 3" xfId="3706"/>
    <cellStyle name="40% - Accent6 2 3 2" xfId="3707"/>
    <cellStyle name="40% - Accent6 2 3 2 2" xfId="3708"/>
    <cellStyle name="40% - Accent6 2 3 2 2 2" xfId="21198"/>
    <cellStyle name="40% - Accent6 2 3 2 2 2 2" xfId="21199"/>
    <cellStyle name="40% - Accent6 2 3 2 2 2 2 2" xfId="21200"/>
    <cellStyle name="40% - Accent6 2 3 2 2 2 3" xfId="21201"/>
    <cellStyle name="40% - Accent6 2 3 2 2 3" xfId="21202"/>
    <cellStyle name="40% - Accent6 2 3 2 2 3 2" xfId="21203"/>
    <cellStyle name="40% - Accent6 2 3 2 2 4" xfId="21204"/>
    <cellStyle name="40% - Accent6 2 3 2 2 5" xfId="21205"/>
    <cellStyle name="40% - Accent6 2 3 2 3" xfId="3709"/>
    <cellStyle name="40% - Accent6 2 3 2 3 2" xfId="21206"/>
    <cellStyle name="40% - Accent6 2 3 2 3 2 2" xfId="21207"/>
    <cellStyle name="40% - Accent6 2 3 2 3 3" xfId="21208"/>
    <cellStyle name="40% - Accent6 2 3 2 4" xfId="21209"/>
    <cellStyle name="40% - Accent6 2 3 2 4 2" xfId="21210"/>
    <cellStyle name="40% - Accent6 2 3 2 5" xfId="21211"/>
    <cellStyle name="40% - Accent6 2 3 2 6" xfId="21212"/>
    <cellStyle name="40% - Accent6 2 3 3" xfId="3710"/>
    <cellStyle name="40% - Accent6 2 3 3 2" xfId="21213"/>
    <cellStyle name="40% - Accent6 2 3 3 2 2" xfId="21214"/>
    <cellStyle name="40% - Accent6 2 3 3 2 2 2" xfId="21215"/>
    <cellStyle name="40% - Accent6 2 3 3 2 3" xfId="21216"/>
    <cellStyle name="40% - Accent6 2 3 3 3" xfId="21217"/>
    <cellStyle name="40% - Accent6 2 3 3 3 2" xfId="21218"/>
    <cellStyle name="40% - Accent6 2 3 3 4" xfId="21219"/>
    <cellStyle name="40% - Accent6 2 3 3 5" xfId="21220"/>
    <cellStyle name="40% - Accent6 2 3 4" xfId="3711"/>
    <cellStyle name="40% - Accent6 2 3 4 2" xfId="21221"/>
    <cellStyle name="40% - Accent6 2 3 4 2 2" xfId="21222"/>
    <cellStyle name="40% - Accent6 2 3 4 3" xfId="21223"/>
    <cellStyle name="40% - Accent6 2 3 5" xfId="21224"/>
    <cellStyle name="40% - Accent6 2 3 5 2" xfId="21225"/>
    <cellStyle name="40% - Accent6 2 3 6" xfId="21226"/>
    <cellStyle name="40% - Accent6 2 3 7" xfId="21227"/>
    <cellStyle name="40% - Accent6 2 4" xfId="3712"/>
    <cellStyle name="40% - Accent6 2 4 2" xfId="3713"/>
    <cellStyle name="40% - Accent6 2 4 2 2" xfId="21228"/>
    <cellStyle name="40% - Accent6 2 4 2 2 2" xfId="21229"/>
    <cellStyle name="40% - Accent6 2 4 2 2 2 2" xfId="21230"/>
    <cellStyle name="40% - Accent6 2 4 2 2 3" xfId="21231"/>
    <cellStyle name="40% - Accent6 2 4 2 3" xfId="21232"/>
    <cellStyle name="40% - Accent6 2 4 2 3 2" xfId="21233"/>
    <cellStyle name="40% - Accent6 2 4 2 4" xfId="21234"/>
    <cellStyle name="40% - Accent6 2 4 2 5" xfId="21235"/>
    <cellStyle name="40% - Accent6 2 4 3" xfId="3714"/>
    <cellStyle name="40% - Accent6 2 4 3 2" xfId="21236"/>
    <cellStyle name="40% - Accent6 2 4 3 2 2" xfId="21237"/>
    <cellStyle name="40% - Accent6 2 4 3 3" xfId="21238"/>
    <cellStyle name="40% - Accent6 2 4 4" xfId="21239"/>
    <cellStyle name="40% - Accent6 2 4 4 2" xfId="21240"/>
    <cellStyle name="40% - Accent6 2 4 5" xfId="21241"/>
    <cellStyle name="40% - Accent6 2 4 6" xfId="21242"/>
    <cellStyle name="40% - Accent6 2 5" xfId="3715"/>
    <cellStyle name="40% - Accent6 2 5 2" xfId="16686"/>
    <cellStyle name="40% - Accent6 2 5 2 2" xfId="21243"/>
    <cellStyle name="40% - Accent6 2 5 2 2 2" xfId="21244"/>
    <cellStyle name="40% - Accent6 2 5 2 2 2 2" xfId="21245"/>
    <cellStyle name="40% - Accent6 2 5 2 2 3" xfId="21246"/>
    <cellStyle name="40% - Accent6 2 5 2 3" xfId="21247"/>
    <cellStyle name="40% - Accent6 2 5 2 3 2" xfId="21248"/>
    <cellStyle name="40% - Accent6 2 5 2 4" xfId="21249"/>
    <cellStyle name="40% - Accent6 2 5 3" xfId="21250"/>
    <cellStyle name="40% - Accent6 2 5 3 2" xfId="21251"/>
    <cellStyle name="40% - Accent6 2 5 3 2 2" xfId="21252"/>
    <cellStyle name="40% - Accent6 2 5 3 3" xfId="21253"/>
    <cellStyle name="40% - Accent6 2 5 4" xfId="21254"/>
    <cellStyle name="40% - Accent6 2 5 4 2" xfId="21255"/>
    <cellStyle name="40% - Accent6 2 5 5" xfId="21256"/>
    <cellStyle name="40% - Accent6 2 6" xfId="3716"/>
    <cellStyle name="40% - Accent6 2 6 2" xfId="21257"/>
    <cellStyle name="40% - Accent6 2 6 2 2" xfId="21258"/>
    <cellStyle name="40% - Accent6 2 6 2 2 2" xfId="21259"/>
    <cellStyle name="40% - Accent6 2 6 2 3" xfId="21260"/>
    <cellStyle name="40% - Accent6 2 6 3" xfId="21261"/>
    <cellStyle name="40% - Accent6 2 6 3 2" xfId="21262"/>
    <cellStyle name="40% - Accent6 2 6 4" xfId="21263"/>
    <cellStyle name="40% - Accent6 2 6 5" xfId="21264"/>
    <cellStyle name="40% - Accent6 2 7" xfId="3717"/>
    <cellStyle name="40% - Accent6 2 7 2" xfId="21265"/>
    <cellStyle name="40% - Accent6 2 7 2 2" xfId="21266"/>
    <cellStyle name="40% - Accent6 2 7 2 2 2" xfId="21267"/>
    <cellStyle name="40% - Accent6 2 7 2 3" xfId="21268"/>
    <cellStyle name="40% - Accent6 2 7 3" xfId="21269"/>
    <cellStyle name="40% - Accent6 2 7 3 2" xfId="21270"/>
    <cellStyle name="40% - Accent6 2 7 4" xfId="21271"/>
    <cellStyle name="40% - Accent6 2 8" xfId="21272"/>
    <cellStyle name="40% - Accent6 2 8 2" xfId="21273"/>
    <cellStyle name="40% - Accent6 2 8 2 2" xfId="21274"/>
    <cellStyle name="40% - Accent6 2 8 2 2 2" xfId="21275"/>
    <cellStyle name="40% - Accent6 2 8 2 3" xfId="21276"/>
    <cellStyle name="40% - Accent6 2 8 3" xfId="21277"/>
    <cellStyle name="40% - Accent6 2 8 3 2" xfId="21278"/>
    <cellStyle name="40% - Accent6 2 8 4" xfId="21279"/>
    <cellStyle name="40% - Accent6 2 9" xfId="21280"/>
    <cellStyle name="40% - Accent6 2 9 2" xfId="21281"/>
    <cellStyle name="40% - Accent6 2 9 2 2" xfId="21282"/>
    <cellStyle name="40% - Accent6 2 9 3" xfId="21283"/>
    <cellStyle name="40% - Accent6 3" xfId="39"/>
    <cellStyle name="40% - Accent6 3 10" xfId="3718"/>
    <cellStyle name="40% - Accent6 3 11" xfId="3719"/>
    <cellStyle name="40% - Accent6 3 2" xfId="3720"/>
    <cellStyle name="40% - Accent6 3 2 2" xfId="3721"/>
    <cellStyle name="40% - Accent6 3 2 2 2" xfId="3722"/>
    <cellStyle name="40% - Accent6 3 2 2 2 2" xfId="3723"/>
    <cellStyle name="40% - Accent6 3 2 2 2 2 2" xfId="3724"/>
    <cellStyle name="40% - Accent6 3 2 2 2 2 2 2" xfId="21284"/>
    <cellStyle name="40% - Accent6 3 2 2 2 2 3" xfId="3725"/>
    <cellStyle name="40% - Accent6 3 2 2 2 2 4" xfId="3726"/>
    <cellStyle name="40% - Accent6 3 2 2 2 3" xfId="3727"/>
    <cellStyle name="40% - Accent6 3 2 2 2 3 2" xfId="3728"/>
    <cellStyle name="40% - Accent6 3 2 2 2 3 3" xfId="3729"/>
    <cellStyle name="40% - Accent6 3 2 2 2 3 4" xfId="3730"/>
    <cellStyle name="40% - Accent6 3 2 2 2 4" xfId="3731"/>
    <cellStyle name="40% - Accent6 3 2 2 2 5" xfId="3732"/>
    <cellStyle name="40% - Accent6 3 2 2 2 6" xfId="3733"/>
    <cellStyle name="40% - Accent6 3 2 2 3" xfId="3734"/>
    <cellStyle name="40% - Accent6 3 2 2 3 2" xfId="3735"/>
    <cellStyle name="40% - Accent6 3 2 2 3 2 2" xfId="21285"/>
    <cellStyle name="40% - Accent6 3 2 2 3 3" xfId="3736"/>
    <cellStyle name="40% - Accent6 3 2 2 3 4" xfId="3737"/>
    <cellStyle name="40% - Accent6 3 2 2 4" xfId="3738"/>
    <cellStyle name="40% - Accent6 3 2 2 4 2" xfId="3739"/>
    <cellStyle name="40% - Accent6 3 2 2 4 3" xfId="3740"/>
    <cellStyle name="40% - Accent6 3 2 2 4 4" xfId="3741"/>
    <cellStyle name="40% - Accent6 3 2 2 5" xfId="3742"/>
    <cellStyle name="40% - Accent6 3 2 2 6" xfId="3743"/>
    <cellStyle name="40% - Accent6 3 2 2 7" xfId="3744"/>
    <cellStyle name="40% - Accent6 3 2 3" xfId="3745"/>
    <cellStyle name="40% - Accent6 3 2 3 2" xfId="3746"/>
    <cellStyle name="40% - Accent6 3 2 3 2 2" xfId="3747"/>
    <cellStyle name="40% - Accent6 3 2 3 2 2 2" xfId="21286"/>
    <cellStyle name="40% - Accent6 3 2 3 2 3" xfId="3748"/>
    <cellStyle name="40% - Accent6 3 2 3 2 4" xfId="3749"/>
    <cellStyle name="40% - Accent6 3 2 3 3" xfId="3750"/>
    <cellStyle name="40% - Accent6 3 2 3 3 2" xfId="3751"/>
    <cellStyle name="40% - Accent6 3 2 3 3 3" xfId="3752"/>
    <cellStyle name="40% - Accent6 3 2 3 3 4" xfId="3753"/>
    <cellStyle name="40% - Accent6 3 2 3 4" xfId="3754"/>
    <cellStyle name="40% - Accent6 3 2 3 5" xfId="3755"/>
    <cellStyle name="40% - Accent6 3 2 3 6" xfId="3756"/>
    <cellStyle name="40% - Accent6 3 2 4" xfId="3757"/>
    <cellStyle name="40% - Accent6 3 2 4 2" xfId="3758"/>
    <cellStyle name="40% - Accent6 3 2 4 2 2" xfId="21287"/>
    <cellStyle name="40% - Accent6 3 2 4 3" xfId="3759"/>
    <cellStyle name="40% - Accent6 3 2 4 4" xfId="3760"/>
    <cellStyle name="40% - Accent6 3 2 5" xfId="3761"/>
    <cellStyle name="40% - Accent6 3 2 5 2" xfId="3762"/>
    <cellStyle name="40% - Accent6 3 2 5 3" xfId="3763"/>
    <cellStyle name="40% - Accent6 3 2 5 4" xfId="3764"/>
    <cellStyle name="40% - Accent6 3 2 6" xfId="3765"/>
    <cellStyle name="40% - Accent6 3 2 7" xfId="3766"/>
    <cellStyle name="40% - Accent6 3 2 8" xfId="3767"/>
    <cellStyle name="40% - Accent6 3 3" xfId="3768"/>
    <cellStyle name="40% - Accent6 3 3 2" xfId="3769"/>
    <cellStyle name="40% - Accent6 3 3 2 2" xfId="3770"/>
    <cellStyle name="40% - Accent6 3 3 2 2 2" xfId="3771"/>
    <cellStyle name="40% - Accent6 3 3 2 2 2 2" xfId="21288"/>
    <cellStyle name="40% - Accent6 3 3 2 2 3" xfId="3772"/>
    <cellStyle name="40% - Accent6 3 3 2 2 4" xfId="3773"/>
    <cellStyle name="40% - Accent6 3 3 2 3" xfId="3774"/>
    <cellStyle name="40% - Accent6 3 3 2 3 2" xfId="3775"/>
    <cellStyle name="40% - Accent6 3 3 2 3 3" xfId="3776"/>
    <cellStyle name="40% - Accent6 3 3 2 3 4" xfId="3777"/>
    <cellStyle name="40% - Accent6 3 3 2 4" xfId="3778"/>
    <cellStyle name="40% - Accent6 3 3 2 5" xfId="3779"/>
    <cellStyle name="40% - Accent6 3 3 2 6" xfId="3780"/>
    <cellStyle name="40% - Accent6 3 3 3" xfId="3781"/>
    <cellStyle name="40% - Accent6 3 3 3 2" xfId="3782"/>
    <cellStyle name="40% - Accent6 3 3 3 2 2" xfId="21289"/>
    <cellStyle name="40% - Accent6 3 3 3 3" xfId="3783"/>
    <cellStyle name="40% - Accent6 3 3 3 4" xfId="3784"/>
    <cellStyle name="40% - Accent6 3 3 4" xfId="3785"/>
    <cellStyle name="40% - Accent6 3 3 4 2" xfId="3786"/>
    <cellStyle name="40% - Accent6 3 3 4 3" xfId="3787"/>
    <cellStyle name="40% - Accent6 3 3 4 4" xfId="3788"/>
    <cellStyle name="40% - Accent6 3 3 5" xfId="3789"/>
    <cellStyle name="40% - Accent6 3 3 6" xfId="3790"/>
    <cellStyle name="40% - Accent6 3 3 7" xfId="3791"/>
    <cellStyle name="40% - Accent6 3 4" xfId="3792"/>
    <cellStyle name="40% - Accent6 3 4 2" xfId="3793"/>
    <cellStyle name="40% - Accent6 3 4 2 2" xfId="3794"/>
    <cellStyle name="40% - Accent6 3 4 2 2 2" xfId="3795"/>
    <cellStyle name="40% - Accent6 3 4 2 2 2 2" xfId="21290"/>
    <cellStyle name="40% - Accent6 3 4 2 2 3" xfId="3796"/>
    <cellStyle name="40% - Accent6 3 4 2 2 4" xfId="3797"/>
    <cellStyle name="40% - Accent6 3 4 2 3" xfId="3798"/>
    <cellStyle name="40% - Accent6 3 4 2 3 2" xfId="3799"/>
    <cellStyle name="40% - Accent6 3 4 2 3 3" xfId="3800"/>
    <cellStyle name="40% - Accent6 3 4 2 3 4" xfId="3801"/>
    <cellStyle name="40% - Accent6 3 4 2 4" xfId="3802"/>
    <cellStyle name="40% - Accent6 3 4 2 5" xfId="3803"/>
    <cellStyle name="40% - Accent6 3 4 2 6" xfId="3804"/>
    <cellStyle name="40% - Accent6 3 4 2 7" xfId="21291"/>
    <cellStyle name="40% - Accent6 3 4 3" xfId="3805"/>
    <cellStyle name="40% - Accent6 3 4 3 2" xfId="3806"/>
    <cellStyle name="40% - Accent6 3 4 3 2 2" xfId="21292"/>
    <cellStyle name="40% - Accent6 3 4 3 3" xfId="3807"/>
    <cellStyle name="40% - Accent6 3 4 3 4" xfId="3808"/>
    <cellStyle name="40% - Accent6 3 4 4" xfId="3809"/>
    <cellStyle name="40% - Accent6 3 4 4 2" xfId="3810"/>
    <cellStyle name="40% - Accent6 3 4 4 3" xfId="3811"/>
    <cellStyle name="40% - Accent6 3 4 4 4" xfId="3812"/>
    <cellStyle name="40% - Accent6 3 4 5" xfId="3813"/>
    <cellStyle name="40% - Accent6 3 4 6" xfId="3814"/>
    <cellStyle name="40% - Accent6 3 4 7" xfId="3815"/>
    <cellStyle name="40% - Accent6 3 4 8" xfId="21293"/>
    <cellStyle name="40% - Accent6 3 5" xfId="3816"/>
    <cellStyle name="40% - Accent6 3 5 2" xfId="3817"/>
    <cellStyle name="40% - Accent6 3 5 2 2" xfId="3818"/>
    <cellStyle name="40% - Accent6 3 5 2 2 2" xfId="3819"/>
    <cellStyle name="40% - Accent6 3 5 2 2 3" xfId="3820"/>
    <cellStyle name="40% - Accent6 3 5 2 2 4" xfId="3821"/>
    <cellStyle name="40% - Accent6 3 5 2 3" xfId="3822"/>
    <cellStyle name="40% - Accent6 3 5 2 3 2" xfId="3823"/>
    <cellStyle name="40% - Accent6 3 5 2 3 3" xfId="3824"/>
    <cellStyle name="40% - Accent6 3 5 2 3 4" xfId="3825"/>
    <cellStyle name="40% - Accent6 3 5 2 4" xfId="3826"/>
    <cellStyle name="40% - Accent6 3 5 2 5" xfId="3827"/>
    <cellStyle name="40% - Accent6 3 5 2 6" xfId="3828"/>
    <cellStyle name="40% - Accent6 3 5 3" xfId="3829"/>
    <cellStyle name="40% - Accent6 3 5 3 2" xfId="3830"/>
    <cellStyle name="40% - Accent6 3 5 3 3" xfId="3831"/>
    <cellStyle name="40% - Accent6 3 5 3 4" xfId="3832"/>
    <cellStyle name="40% - Accent6 3 5 4" xfId="3833"/>
    <cellStyle name="40% - Accent6 3 5 4 2" xfId="3834"/>
    <cellStyle name="40% - Accent6 3 5 4 3" xfId="3835"/>
    <cellStyle name="40% - Accent6 3 5 4 4" xfId="3836"/>
    <cellStyle name="40% - Accent6 3 5 5" xfId="3837"/>
    <cellStyle name="40% - Accent6 3 5 6" xfId="3838"/>
    <cellStyle name="40% - Accent6 3 5 7" xfId="3839"/>
    <cellStyle name="40% - Accent6 3 6" xfId="3840"/>
    <cellStyle name="40% - Accent6 3 6 2" xfId="3841"/>
    <cellStyle name="40% - Accent6 3 6 2 2" xfId="3842"/>
    <cellStyle name="40% - Accent6 3 6 2 2 2" xfId="21294"/>
    <cellStyle name="40% - Accent6 3 6 2 3" xfId="3843"/>
    <cellStyle name="40% - Accent6 3 6 2 4" xfId="3844"/>
    <cellStyle name="40% - Accent6 3 6 3" xfId="3845"/>
    <cellStyle name="40% - Accent6 3 6 3 2" xfId="3846"/>
    <cellStyle name="40% - Accent6 3 6 3 3" xfId="3847"/>
    <cellStyle name="40% - Accent6 3 6 3 4" xfId="3848"/>
    <cellStyle name="40% - Accent6 3 6 4" xfId="3849"/>
    <cellStyle name="40% - Accent6 3 6 5" xfId="3850"/>
    <cellStyle name="40% - Accent6 3 6 6" xfId="3851"/>
    <cellStyle name="40% - Accent6 3 7" xfId="3852"/>
    <cellStyle name="40% - Accent6 3 7 2" xfId="3853"/>
    <cellStyle name="40% - Accent6 3 7 2 2" xfId="21295"/>
    <cellStyle name="40% - Accent6 3 7 2 2 2" xfId="21296"/>
    <cellStyle name="40% - Accent6 3 7 2 3" xfId="21297"/>
    <cellStyle name="40% - Accent6 3 7 3" xfId="3854"/>
    <cellStyle name="40% - Accent6 3 7 3 2" xfId="21298"/>
    <cellStyle name="40% - Accent6 3 7 4" xfId="3855"/>
    <cellStyle name="40% - Accent6 3 8" xfId="3856"/>
    <cellStyle name="40% - Accent6 3 8 2" xfId="3857"/>
    <cellStyle name="40% - Accent6 3 8 2 2" xfId="21299"/>
    <cellStyle name="40% - Accent6 3 8 3" xfId="3858"/>
    <cellStyle name="40% - Accent6 3 8 4" xfId="3859"/>
    <cellStyle name="40% - Accent6 3 9" xfId="3860"/>
    <cellStyle name="40% - Accent6 3 9 2" xfId="21300"/>
    <cellStyle name="40% - Accent6 4" xfId="40"/>
    <cellStyle name="40% - Accent6 4 2" xfId="3861"/>
    <cellStyle name="40% - Accent6 4 2 2" xfId="3862"/>
    <cellStyle name="40% - Accent6 4 2 2 2" xfId="3863"/>
    <cellStyle name="40% - Accent6 4 2 2 2 2" xfId="3864"/>
    <cellStyle name="40% - Accent6 4 2 2 2 2 2" xfId="21301"/>
    <cellStyle name="40% - Accent6 4 2 2 2 3" xfId="3865"/>
    <cellStyle name="40% - Accent6 4 2 2 2 4" xfId="3866"/>
    <cellStyle name="40% - Accent6 4 2 2 3" xfId="3867"/>
    <cellStyle name="40% - Accent6 4 2 2 3 2" xfId="3868"/>
    <cellStyle name="40% - Accent6 4 2 2 3 3" xfId="3869"/>
    <cellStyle name="40% - Accent6 4 2 2 3 4" xfId="3870"/>
    <cellStyle name="40% - Accent6 4 2 2 4" xfId="3871"/>
    <cellStyle name="40% - Accent6 4 2 2 5" xfId="3872"/>
    <cellStyle name="40% - Accent6 4 2 2 6" xfId="3873"/>
    <cellStyle name="40% - Accent6 4 2 3" xfId="3874"/>
    <cellStyle name="40% - Accent6 4 2 3 2" xfId="3875"/>
    <cellStyle name="40% - Accent6 4 2 3 2 2" xfId="21302"/>
    <cellStyle name="40% - Accent6 4 2 3 3" xfId="3876"/>
    <cellStyle name="40% - Accent6 4 2 3 4" xfId="3877"/>
    <cellStyle name="40% - Accent6 4 2 4" xfId="3878"/>
    <cellStyle name="40% - Accent6 4 2 4 2" xfId="3879"/>
    <cellStyle name="40% - Accent6 4 2 4 3" xfId="3880"/>
    <cellStyle name="40% - Accent6 4 2 4 4" xfId="3881"/>
    <cellStyle name="40% - Accent6 4 2 5" xfId="3882"/>
    <cellStyle name="40% - Accent6 4 2 6" xfId="3883"/>
    <cellStyle name="40% - Accent6 4 2 7" xfId="3884"/>
    <cellStyle name="40% - Accent6 4 3" xfId="3885"/>
    <cellStyle name="40% - Accent6 4 3 2" xfId="3886"/>
    <cellStyle name="40% - Accent6 4 3 2 2" xfId="3887"/>
    <cellStyle name="40% - Accent6 4 3 2 2 2" xfId="21303"/>
    <cellStyle name="40% - Accent6 4 3 2 3" xfId="3888"/>
    <cellStyle name="40% - Accent6 4 3 2 4" xfId="3889"/>
    <cellStyle name="40% - Accent6 4 3 3" xfId="3890"/>
    <cellStyle name="40% - Accent6 4 3 3 2" xfId="3891"/>
    <cellStyle name="40% - Accent6 4 3 3 3" xfId="3892"/>
    <cellStyle name="40% - Accent6 4 3 3 4" xfId="3893"/>
    <cellStyle name="40% - Accent6 4 3 4" xfId="3894"/>
    <cellStyle name="40% - Accent6 4 3 5" xfId="3895"/>
    <cellStyle name="40% - Accent6 4 3 6" xfId="3896"/>
    <cellStyle name="40% - Accent6 4 4" xfId="3897"/>
    <cellStyle name="40% - Accent6 4 4 2" xfId="3898"/>
    <cellStyle name="40% - Accent6 4 4 2 2" xfId="21304"/>
    <cellStyle name="40% - Accent6 4 4 3" xfId="3899"/>
    <cellStyle name="40% - Accent6 4 4 4" xfId="3900"/>
    <cellStyle name="40% - Accent6 4 5" xfId="3901"/>
    <cellStyle name="40% - Accent6 4 5 2" xfId="3902"/>
    <cellStyle name="40% - Accent6 4 5 3" xfId="3903"/>
    <cellStyle name="40% - Accent6 4 5 4" xfId="3904"/>
    <cellStyle name="40% - Accent6 4 6" xfId="3905"/>
    <cellStyle name="40% - Accent6 4 7" xfId="3906"/>
    <cellStyle name="40% - Accent6 4 8" xfId="3907"/>
    <cellStyle name="40% - Accent6 5" xfId="3908"/>
    <cellStyle name="40% - Accent6 5 2" xfId="3909"/>
    <cellStyle name="40% - Accent6 5 2 2" xfId="3910"/>
    <cellStyle name="40% - Accent6 5 2 2 2" xfId="3911"/>
    <cellStyle name="40% - Accent6 5 2 2 2 2" xfId="21305"/>
    <cellStyle name="40% - Accent6 5 2 2 3" xfId="3912"/>
    <cellStyle name="40% - Accent6 5 2 2 4" xfId="3913"/>
    <cellStyle name="40% - Accent6 5 2 3" xfId="3914"/>
    <cellStyle name="40% - Accent6 5 2 3 2" xfId="3915"/>
    <cellStyle name="40% - Accent6 5 2 3 3" xfId="3916"/>
    <cellStyle name="40% - Accent6 5 2 3 4" xfId="3917"/>
    <cellStyle name="40% - Accent6 5 2 4" xfId="3918"/>
    <cellStyle name="40% - Accent6 5 2 5" xfId="3919"/>
    <cellStyle name="40% - Accent6 5 2 6" xfId="3920"/>
    <cellStyle name="40% - Accent6 5 2 7" xfId="21306"/>
    <cellStyle name="40% - Accent6 5 2 8" xfId="21307"/>
    <cellStyle name="40% - Accent6 5 3" xfId="3921"/>
    <cellStyle name="40% - Accent6 5 3 2" xfId="3922"/>
    <cellStyle name="40% - Accent6 5 3 2 2" xfId="21308"/>
    <cellStyle name="40% - Accent6 5 3 3" xfId="3923"/>
    <cellStyle name="40% - Accent6 5 3 4" xfId="3924"/>
    <cellStyle name="40% - Accent6 5 4" xfId="3925"/>
    <cellStyle name="40% - Accent6 5 4 2" xfId="3926"/>
    <cellStyle name="40% - Accent6 5 4 3" xfId="3927"/>
    <cellStyle name="40% - Accent6 5 4 4" xfId="3928"/>
    <cellStyle name="40% - Accent6 5 5" xfId="3929"/>
    <cellStyle name="40% - Accent6 5 6" xfId="3930"/>
    <cellStyle name="40% - Accent6 5 7" xfId="3931"/>
    <cellStyle name="40% - Accent6 5 8" xfId="21309"/>
    <cellStyle name="40% - Accent6 5 9" xfId="21310"/>
    <cellStyle name="40% - Accent6 6" xfId="3932"/>
    <cellStyle name="40% - Accent6 6 2" xfId="3933"/>
    <cellStyle name="40% - Accent6 6 2 2" xfId="3934"/>
    <cellStyle name="40% - Accent6 6 2 2 2" xfId="3935"/>
    <cellStyle name="40% - Accent6 6 2 2 3" xfId="3936"/>
    <cellStyle name="40% - Accent6 6 2 2 4" xfId="3937"/>
    <cellStyle name="40% - Accent6 6 2 3" xfId="3938"/>
    <cellStyle name="40% - Accent6 6 2 3 2" xfId="3939"/>
    <cellStyle name="40% - Accent6 6 2 3 3" xfId="3940"/>
    <cellStyle name="40% - Accent6 6 2 3 4" xfId="3941"/>
    <cellStyle name="40% - Accent6 6 2 4" xfId="3942"/>
    <cellStyle name="40% - Accent6 6 2 5" xfId="3943"/>
    <cellStyle name="40% - Accent6 6 2 6" xfId="3944"/>
    <cellStyle name="40% - Accent6 6 3" xfId="3945"/>
    <cellStyle name="40% - Accent6 6 3 2" xfId="3946"/>
    <cellStyle name="40% - Accent6 6 3 3" xfId="3947"/>
    <cellStyle name="40% - Accent6 6 3 4" xfId="3948"/>
    <cellStyle name="40% - Accent6 6 4" xfId="3949"/>
    <cellStyle name="40% - Accent6 6 4 2" xfId="3950"/>
    <cellStyle name="40% - Accent6 6 4 3" xfId="3951"/>
    <cellStyle name="40% - Accent6 6 4 4" xfId="3952"/>
    <cellStyle name="40% - Accent6 6 5" xfId="3953"/>
    <cellStyle name="40% - Accent6 6 6" xfId="3954"/>
    <cellStyle name="40% - Accent6 6 7" xfId="3955"/>
    <cellStyle name="40% - Accent6 7" xfId="3956"/>
    <cellStyle name="40% - Accent6 7 2" xfId="3957"/>
    <cellStyle name="40% - Accent6 7 2 2" xfId="3958"/>
    <cellStyle name="40% - Accent6 7 2 2 2" xfId="3959"/>
    <cellStyle name="40% - Accent6 7 2 2 3" xfId="3960"/>
    <cellStyle name="40% - Accent6 7 2 2 4" xfId="3961"/>
    <cellStyle name="40% - Accent6 7 2 3" xfId="3962"/>
    <cellStyle name="40% - Accent6 7 2 3 2" xfId="3963"/>
    <cellStyle name="40% - Accent6 7 2 3 3" xfId="3964"/>
    <cellStyle name="40% - Accent6 7 2 3 4" xfId="3965"/>
    <cellStyle name="40% - Accent6 7 2 4" xfId="3966"/>
    <cellStyle name="40% - Accent6 7 2 5" xfId="3967"/>
    <cellStyle name="40% - Accent6 7 2 6" xfId="3968"/>
    <cellStyle name="40% - Accent6 7 3" xfId="3969"/>
    <cellStyle name="40% - Accent6 7 3 2" xfId="3970"/>
    <cellStyle name="40% - Accent6 7 3 3" xfId="3971"/>
    <cellStyle name="40% - Accent6 7 3 4" xfId="3972"/>
    <cellStyle name="40% - Accent6 7 4" xfId="3973"/>
    <cellStyle name="40% - Accent6 7 4 2" xfId="3974"/>
    <cellStyle name="40% - Accent6 7 4 3" xfId="3975"/>
    <cellStyle name="40% - Accent6 7 4 4" xfId="3976"/>
    <cellStyle name="40% - Accent6 7 5" xfId="3977"/>
    <cellStyle name="40% - Accent6 7 6" xfId="3978"/>
    <cellStyle name="40% - Accent6 7 7" xfId="3979"/>
    <cellStyle name="40% - Accent6 8" xfId="3980"/>
    <cellStyle name="40% - Accent6 8 2" xfId="3981"/>
    <cellStyle name="40% - Accent6 8 2 2" xfId="3982"/>
    <cellStyle name="40% - Accent6 8 2 3" xfId="3983"/>
    <cellStyle name="40% - Accent6 8 2 4" xfId="3984"/>
    <cellStyle name="40% - Accent6 8 3" xfId="3985"/>
    <cellStyle name="40% - Accent6 8 3 2" xfId="3986"/>
    <cellStyle name="40% - Accent6 8 3 3" xfId="3987"/>
    <cellStyle name="40% - Accent6 8 3 4" xfId="3988"/>
    <cellStyle name="40% - Accent6 8 4" xfId="3989"/>
    <cellStyle name="40% - Accent6 8 5" xfId="3990"/>
    <cellStyle name="40% - Accent6 8 6" xfId="3991"/>
    <cellStyle name="40% - Accent6 9" xfId="3992"/>
    <cellStyle name="40% - Accent6 9 2" xfId="3993"/>
    <cellStyle name="40% - Accent6 9 3" xfId="3994"/>
    <cellStyle name="40% - Accent6 9 4" xfId="3995"/>
    <cellStyle name="40% - akcent 1" xfId="3996"/>
    <cellStyle name="40% - akcent 2" xfId="3997"/>
    <cellStyle name="40% - akcent 3" xfId="3998"/>
    <cellStyle name="40% - akcent 4" xfId="3999"/>
    <cellStyle name="40% - akcent 5" xfId="4000"/>
    <cellStyle name="40% - akcent 6" xfId="4001"/>
    <cellStyle name="40% - Énfasis1" xfId="4002"/>
    <cellStyle name="40% - Énfasis1 2" xfId="4003"/>
    <cellStyle name="40% - Énfasis1 2 2" xfId="4004"/>
    <cellStyle name="40% - Énfasis1 2 2 2" xfId="4005"/>
    <cellStyle name="40% - Énfasis1 2 2 2 2" xfId="4006"/>
    <cellStyle name="40% - Énfasis1 2 2 2 3" xfId="4007"/>
    <cellStyle name="40% - Énfasis1 2 2 3" xfId="4008"/>
    <cellStyle name="40% - Énfasis1 2 2 4" xfId="4009"/>
    <cellStyle name="40% - Énfasis1 2 3" xfId="4010"/>
    <cellStyle name="40% - Énfasis1 2 3 2" xfId="4011"/>
    <cellStyle name="40% - Énfasis1 2 3 3" xfId="4012"/>
    <cellStyle name="40% - Énfasis1 2 4" xfId="4013"/>
    <cellStyle name="40% - Énfasis1 2 5" xfId="4014"/>
    <cellStyle name="40% - Énfasis1 2 6" xfId="4015"/>
    <cellStyle name="40% - Énfasis1 3" xfId="4016"/>
    <cellStyle name="40% - Énfasis1 3 2" xfId="4017"/>
    <cellStyle name="40% - Énfasis1 3 2 2" xfId="4018"/>
    <cellStyle name="40% - Énfasis1 3 2 3" xfId="4019"/>
    <cellStyle name="40% - Énfasis1 3 3" xfId="4020"/>
    <cellStyle name="40% - Énfasis1 3 4" xfId="4021"/>
    <cellStyle name="40% - Énfasis1 4" xfId="4022"/>
    <cellStyle name="40% - Énfasis1 4 2" xfId="4023"/>
    <cellStyle name="40% - Énfasis1 4 3" xfId="4024"/>
    <cellStyle name="40% - Énfasis1 5" xfId="4025"/>
    <cellStyle name="40% - Énfasis1 6" xfId="4026"/>
    <cellStyle name="40% - Énfasis1 7" xfId="4027"/>
    <cellStyle name="40% - Énfasis2" xfId="4028"/>
    <cellStyle name="40% - Énfasis2 2" xfId="4029"/>
    <cellStyle name="40% - Énfasis2 2 2" xfId="4030"/>
    <cellStyle name="40% - Énfasis2 2 2 2" xfId="4031"/>
    <cellStyle name="40% - Énfasis2 2 2 2 2" xfId="4032"/>
    <cellStyle name="40% - Énfasis2 2 2 2 3" xfId="4033"/>
    <cellStyle name="40% - Énfasis2 2 2 3" xfId="4034"/>
    <cellStyle name="40% - Énfasis2 2 2 4" xfId="4035"/>
    <cellStyle name="40% - Énfasis2 2 3" xfId="4036"/>
    <cellStyle name="40% - Énfasis2 2 3 2" xfId="4037"/>
    <cellStyle name="40% - Énfasis2 2 3 3" xfId="4038"/>
    <cellStyle name="40% - Énfasis2 2 4" xfId="4039"/>
    <cellStyle name="40% - Énfasis2 2 5" xfId="4040"/>
    <cellStyle name="40% - Énfasis2 2 6" xfId="4041"/>
    <cellStyle name="40% - Énfasis2 3" xfId="4042"/>
    <cellStyle name="40% - Énfasis2 3 2" xfId="4043"/>
    <cellStyle name="40% - Énfasis2 3 2 2" xfId="4044"/>
    <cellStyle name="40% - Énfasis2 3 2 3" xfId="4045"/>
    <cellStyle name="40% - Énfasis2 3 3" xfId="4046"/>
    <cellStyle name="40% - Énfasis2 3 4" xfId="4047"/>
    <cellStyle name="40% - Énfasis2 4" xfId="4048"/>
    <cellStyle name="40% - Énfasis2 4 2" xfId="4049"/>
    <cellStyle name="40% - Énfasis2 4 3" xfId="4050"/>
    <cellStyle name="40% - Énfasis2 5" xfId="4051"/>
    <cellStyle name="40% - Énfasis2 6" xfId="4052"/>
    <cellStyle name="40% - Énfasis2 7" xfId="4053"/>
    <cellStyle name="40% - Énfasis3" xfId="4054"/>
    <cellStyle name="40% - Énfasis3 2" xfId="4055"/>
    <cellStyle name="40% - Énfasis3 2 2" xfId="4056"/>
    <cellStyle name="40% - Énfasis3 2 2 2" xfId="4057"/>
    <cellStyle name="40% - Énfasis3 2 2 2 2" xfId="4058"/>
    <cellStyle name="40% - Énfasis3 2 2 2 3" xfId="4059"/>
    <cellStyle name="40% - Énfasis3 2 2 3" xfId="4060"/>
    <cellStyle name="40% - Énfasis3 2 2 4" xfId="4061"/>
    <cellStyle name="40% - Énfasis3 2 3" xfId="4062"/>
    <cellStyle name="40% - Énfasis3 2 3 2" xfId="4063"/>
    <cellStyle name="40% - Énfasis3 2 3 3" xfId="4064"/>
    <cellStyle name="40% - Énfasis3 2 4" xfId="4065"/>
    <cellStyle name="40% - Énfasis3 2 5" xfId="4066"/>
    <cellStyle name="40% - Énfasis3 2 6" xfId="4067"/>
    <cellStyle name="40% - Énfasis3 3" xfId="4068"/>
    <cellStyle name="40% - Énfasis3 3 2" xfId="4069"/>
    <cellStyle name="40% - Énfasis3 3 2 2" xfId="4070"/>
    <cellStyle name="40% - Énfasis3 3 2 3" xfId="4071"/>
    <cellStyle name="40% - Énfasis3 3 3" xfId="4072"/>
    <cellStyle name="40% - Énfasis3 3 4" xfId="4073"/>
    <cellStyle name="40% - Énfasis3 3 4 2" xfId="4074"/>
    <cellStyle name="40% - Énfasis3 4" xfId="4075"/>
    <cellStyle name="40% - Énfasis3 4 2" xfId="4076"/>
    <cellStyle name="40% - Énfasis3 4 2 2" xfId="4077"/>
    <cellStyle name="40% - Énfasis3 4 3" xfId="4078"/>
    <cellStyle name="40% - Énfasis3 4 3 2" xfId="4079"/>
    <cellStyle name="40% - Énfasis3 4 4" xfId="4080"/>
    <cellStyle name="40% - Énfasis3 5" xfId="4081"/>
    <cellStyle name="40% - Énfasis3 5 2" xfId="4082"/>
    <cellStyle name="40% - Énfasis3 6" xfId="4083"/>
    <cellStyle name="40% - Énfasis3 6 2" xfId="4084"/>
    <cellStyle name="40% - Énfasis3 7" xfId="4085"/>
    <cellStyle name="40% - Énfasis3 7 2" xfId="4086"/>
    <cellStyle name="40% - Énfasis4" xfId="4087"/>
    <cellStyle name="40% - Énfasis4 2" xfId="4088"/>
    <cellStyle name="40% - Énfasis4 2 2" xfId="4089"/>
    <cellStyle name="40% - Énfasis4 2 2 2" xfId="4090"/>
    <cellStyle name="40% - Énfasis4 2 2 2 2" xfId="4091"/>
    <cellStyle name="40% - Énfasis4 2 2 2 2 2" xfId="4092"/>
    <cellStyle name="40% - Énfasis4 2 2 2 3" xfId="4093"/>
    <cellStyle name="40% - Énfasis4 2 2 2 3 2" xfId="4094"/>
    <cellStyle name="40% - Énfasis4 2 2 2 4" xfId="4095"/>
    <cellStyle name="40% - Énfasis4 2 2 3" xfId="4096"/>
    <cellStyle name="40% - Énfasis4 2 2 3 2" xfId="4097"/>
    <cellStyle name="40% - Énfasis4 2 2 4" xfId="4098"/>
    <cellStyle name="40% - Énfasis4 2 2 4 2" xfId="4099"/>
    <cellStyle name="40% - Énfasis4 2 2 5" xfId="4100"/>
    <cellStyle name="40% - Énfasis4 2 3" xfId="4101"/>
    <cellStyle name="40% - Énfasis4 2 3 2" xfId="4102"/>
    <cellStyle name="40% - Énfasis4 2 3 2 2" xfId="4103"/>
    <cellStyle name="40% - Énfasis4 2 3 3" xfId="4104"/>
    <cellStyle name="40% - Énfasis4 2 3 3 2" xfId="4105"/>
    <cellStyle name="40% - Énfasis4 2 3 4" xfId="4106"/>
    <cellStyle name="40% - Énfasis4 2 4" xfId="4107"/>
    <cellStyle name="40% - Énfasis4 2 4 2" xfId="4108"/>
    <cellStyle name="40% - Énfasis4 2 5" xfId="4109"/>
    <cellStyle name="40% - Énfasis4 2 5 2" xfId="4110"/>
    <cellStyle name="40% - Énfasis4 2 6" xfId="4111"/>
    <cellStyle name="40% - Énfasis4 2 6 2" xfId="4112"/>
    <cellStyle name="40% - Énfasis4 2 7" xfId="4113"/>
    <cellStyle name="40% - Énfasis4 3" xfId="4114"/>
    <cellStyle name="40% - Énfasis4 3 2" xfId="4115"/>
    <cellStyle name="40% - Énfasis4 3 2 2" xfId="4116"/>
    <cellStyle name="40% - Énfasis4 3 2 2 2" xfId="4117"/>
    <cellStyle name="40% - Énfasis4 3 2 3" xfId="4118"/>
    <cellStyle name="40% - Énfasis4 3 2 3 2" xfId="4119"/>
    <cellStyle name="40% - Énfasis4 3 2 4" xfId="4120"/>
    <cellStyle name="40% - Énfasis4 3 3" xfId="4121"/>
    <cellStyle name="40% - Énfasis4 3 3 2" xfId="4122"/>
    <cellStyle name="40% - Énfasis4 3 4" xfId="4123"/>
    <cellStyle name="40% - Énfasis4 3 4 2" xfId="4124"/>
    <cellStyle name="40% - Énfasis4 3 5" xfId="4125"/>
    <cellStyle name="40% - Énfasis4 4" xfId="4126"/>
    <cellStyle name="40% - Énfasis4 4 2" xfId="4127"/>
    <cellStyle name="40% - Énfasis4 4 2 2" xfId="4128"/>
    <cellStyle name="40% - Énfasis4 4 3" xfId="4129"/>
    <cellStyle name="40% - Énfasis4 4 3 2" xfId="4130"/>
    <cellStyle name="40% - Énfasis4 4 4" xfId="4131"/>
    <cellStyle name="40% - Énfasis4 5" xfId="4132"/>
    <cellStyle name="40% - Énfasis4 5 2" xfId="4133"/>
    <cellStyle name="40% - Énfasis4 6" xfId="4134"/>
    <cellStyle name="40% - Énfasis4 6 2" xfId="4135"/>
    <cellStyle name="40% - Énfasis4 7" xfId="4136"/>
    <cellStyle name="40% - Énfasis4 7 2" xfId="4137"/>
    <cellStyle name="40% - Énfasis4 8" xfId="4138"/>
    <cellStyle name="40% - Énfasis5" xfId="4139"/>
    <cellStyle name="40% - Énfasis5 2" xfId="4140"/>
    <cellStyle name="40% - Énfasis5 2 2" xfId="4141"/>
    <cellStyle name="40% - Énfasis5 2 2 2" xfId="4142"/>
    <cellStyle name="40% - Énfasis5 2 2 2 2" xfId="4143"/>
    <cellStyle name="40% - Énfasis5 2 2 2 2 2" xfId="4144"/>
    <cellStyle name="40% - Énfasis5 2 2 2 3" xfId="4145"/>
    <cellStyle name="40% - Énfasis5 2 2 2 3 2" xfId="4146"/>
    <cellStyle name="40% - Énfasis5 2 2 2 4" xfId="4147"/>
    <cellStyle name="40% - Énfasis5 2 2 3" xfId="4148"/>
    <cellStyle name="40% - Énfasis5 2 2 3 2" xfId="4149"/>
    <cellStyle name="40% - Énfasis5 2 2 4" xfId="4150"/>
    <cellStyle name="40% - Énfasis5 2 2 4 2" xfId="4151"/>
    <cellStyle name="40% - Énfasis5 2 2 5" xfId="4152"/>
    <cellStyle name="40% - Énfasis5 2 3" xfId="4153"/>
    <cellStyle name="40% - Énfasis5 2 3 2" xfId="4154"/>
    <cellStyle name="40% - Énfasis5 2 3 2 2" xfId="4155"/>
    <cellStyle name="40% - Énfasis5 2 3 3" xfId="4156"/>
    <cellStyle name="40% - Énfasis5 2 3 3 2" xfId="4157"/>
    <cellStyle name="40% - Énfasis5 2 3 4" xfId="4158"/>
    <cellStyle name="40% - Énfasis5 2 4" xfId="4159"/>
    <cellStyle name="40% - Énfasis5 2 4 2" xfId="4160"/>
    <cellStyle name="40% - Énfasis5 2 5" xfId="4161"/>
    <cellStyle name="40% - Énfasis5 2 5 2" xfId="4162"/>
    <cellStyle name="40% - Énfasis5 2 6" xfId="4163"/>
    <cellStyle name="40% - Énfasis5 2 6 2" xfId="4164"/>
    <cellStyle name="40% - Énfasis5 2 7" xfId="4165"/>
    <cellStyle name="40% - Énfasis5 3" xfId="4166"/>
    <cellStyle name="40% - Énfasis5 3 2" xfId="4167"/>
    <cellStyle name="40% - Énfasis5 3 2 2" xfId="4168"/>
    <cellStyle name="40% - Énfasis5 3 2 2 2" xfId="4169"/>
    <cellStyle name="40% - Énfasis5 3 2 3" xfId="4170"/>
    <cellStyle name="40% - Énfasis5 3 2 3 2" xfId="4171"/>
    <cellStyle name="40% - Énfasis5 3 2 4" xfId="4172"/>
    <cellStyle name="40% - Énfasis5 3 3" xfId="4173"/>
    <cellStyle name="40% - Énfasis5 3 3 2" xfId="4174"/>
    <cellStyle name="40% - Énfasis5 3 4" xfId="4175"/>
    <cellStyle name="40% - Énfasis5 3 4 2" xfId="4176"/>
    <cellStyle name="40% - Énfasis5 3 5" xfId="4177"/>
    <cellStyle name="40% - Énfasis5 4" xfId="4178"/>
    <cellStyle name="40% - Énfasis5 4 2" xfId="4179"/>
    <cellStyle name="40% - Énfasis5 4 2 2" xfId="4180"/>
    <cellStyle name="40% - Énfasis5 4 3" xfId="4181"/>
    <cellStyle name="40% - Énfasis5 4 3 2" xfId="4182"/>
    <cellStyle name="40% - Énfasis5 4 4" xfId="4183"/>
    <cellStyle name="40% - Énfasis5 5" xfId="4184"/>
    <cellStyle name="40% - Énfasis5 5 2" xfId="4185"/>
    <cellStyle name="40% - Énfasis5 6" xfId="4186"/>
    <cellStyle name="40% - Énfasis5 6 2" xfId="4187"/>
    <cellStyle name="40% - Énfasis5 7" xfId="4188"/>
    <cellStyle name="40% - Énfasis5 7 2" xfId="4189"/>
    <cellStyle name="40% - Énfasis5 8" xfId="4190"/>
    <cellStyle name="40% - Énfasis6" xfId="4191"/>
    <cellStyle name="40% - Énfasis6 2" xfId="4192"/>
    <cellStyle name="40% - Énfasis6 2 2" xfId="4193"/>
    <cellStyle name="40% - Énfasis6 2 2 2" xfId="4194"/>
    <cellStyle name="40% - Énfasis6 2 2 2 2" xfId="4195"/>
    <cellStyle name="40% - Énfasis6 2 2 2 2 2" xfId="4196"/>
    <cellStyle name="40% - Énfasis6 2 2 2 3" xfId="4197"/>
    <cellStyle name="40% - Énfasis6 2 2 2 3 2" xfId="4198"/>
    <cellStyle name="40% - Énfasis6 2 2 2 4" xfId="4199"/>
    <cellStyle name="40% - Énfasis6 2 2 3" xfId="4200"/>
    <cellStyle name="40% - Énfasis6 2 2 3 2" xfId="4201"/>
    <cellStyle name="40% - Énfasis6 2 2 4" xfId="4202"/>
    <cellStyle name="40% - Énfasis6 2 2 4 2" xfId="4203"/>
    <cellStyle name="40% - Énfasis6 2 2 5" xfId="4204"/>
    <cellStyle name="40% - Énfasis6 2 3" xfId="4205"/>
    <cellStyle name="40% - Énfasis6 2 3 2" xfId="4206"/>
    <cellStyle name="40% - Énfasis6 2 3 2 2" xfId="4207"/>
    <cellStyle name="40% - Énfasis6 2 3 3" xfId="4208"/>
    <cellStyle name="40% - Énfasis6 2 3 3 2" xfId="4209"/>
    <cellStyle name="40% - Énfasis6 2 3 4" xfId="4210"/>
    <cellStyle name="40% - Énfasis6 2 4" xfId="4211"/>
    <cellStyle name="40% - Énfasis6 2 4 2" xfId="4212"/>
    <cellStyle name="40% - Énfasis6 2 5" xfId="4213"/>
    <cellStyle name="40% - Énfasis6 2 5 2" xfId="4214"/>
    <cellStyle name="40% - Énfasis6 2 6" xfId="4215"/>
    <cellStyle name="40% - Énfasis6 2 6 2" xfId="4216"/>
    <cellStyle name="40% - Énfasis6 2 7" xfId="4217"/>
    <cellStyle name="40% - Énfasis6 3" xfId="4218"/>
    <cellStyle name="40% - Énfasis6 3 2" xfId="4219"/>
    <cellStyle name="40% - Énfasis6 3 2 2" xfId="4220"/>
    <cellStyle name="40% - Énfasis6 3 2 2 2" xfId="4221"/>
    <cellStyle name="40% - Énfasis6 3 2 3" xfId="4222"/>
    <cellStyle name="40% - Énfasis6 3 2 3 2" xfId="4223"/>
    <cellStyle name="40% - Énfasis6 3 2 4" xfId="4224"/>
    <cellStyle name="40% - Énfasis6 3 3" xfId="4225"/>
    <cellStyle name="40% - Énfasis6 3 3 2" xfId="4226"/>
    <cellStyle name="40% - Énfasis6 3 4" xfId="4227"/>
    <cellStyle name="40% - Énfasis6 3 4 2" xfId="4228"/>
    <cellStyle name="40% - Énfasis6 3 5" xfId="4229"/>
    <cellStyle name="40% - Énfasis6 4" xfId="4230"/>
    <cellStyle name="40% - Énfasis6 4 2" xfId="4231"/>
    <cellStyle name="40% - Énfasis6 4 2 2" xfId="4232"/>
    <cellStyle name="40% - Énfasis6 4 3" xfId="4233"/>
    <cellStyle name="40% - Énfasis6 4 3 2" xfId="4234"/>
    <cellStyle name="40% - Énfasis6 4 4" xfId="4235"/>
    <cellStyle name="40% - Énfasis6 5" xfId="4236"/>
    <cellStyle name="40% - Énfasis6 5 2" xfId="4237"/>
    <cellStyle name="40% - Énfasis6 6" xfId="4238"/>
    <cellStyle name="40% - Énfasis6 6 2" xfId="4239"/>
    <cellStyle name="40% - Énfasis6 7" xfId="4240"/>
    <cellStyle name="40% - Énfasis6 7 2" xfId="4241"/>
    <cellStyle name="40% - Énfasis6 8" xfId="4242"/>
    <cellStyle name="60% - Accent1 2" xfId="4243"/>
    <cellStyle name="60% - Accent1 2 2" xfId="4244"/>
    <cellStyle name="60% - Accent1 2 2 2" xfId="4245"/>
    <cellStyle name="60% - Accent1 2 2 2 2" xfId="4246"/>
    <cellStyle name="60% - Accent1 2 2 3" xfId="4247"/>
    <cellStyle name="60% - Accent1 2 3" xfId="4248"/>
    <cellStyle name="60% - Accent1 2 3 2" xfId="4249"/>
    <cellStyle name="60% - Accent1 2 4" xfId="4250"/>
    <cellStyle name="60% - Accent1 2 4 2" xfId="4251"/>
    <cellStyle name="60% - Accent1 2 5" xfId="4252"/>
    <cellStyle name="60% - Accent1 2 6" xfId="21311"/>
    <cellStyle name="60% - Accent1 2 7" xfId="21312"/>
    <cellStyle name="60% - Accent1 2 8" xfId="21313"/>
    <cellStyle name="60% - Accent1 3" xfId="4253"/>
    <cellStyle name="60% - Accent1 3 2" xfId="4254"/>
    <cellStyle name="60% - Accent1 3 3" xfId="21314"/>
    <cellStyle name="60% - Accent1 4" xfId="21315"/>
    <cellStyle name="60% - Accent1 5" xfId="21316"/>
    <cellStyle name="60% - Accent1 6" xfId="21317"/>
    <cellStyle name="60% - Accent1 7" xfId="21318"/>
    <cellStyle name="60% - Accent2 2" xfId="4255"/>
    <cellStyle name="60% - Accent2 2 2" xfId="4256"/>
    <cellStyle name="60% - Accent2 2 2 2" xfId="4257"/>
    <cellStyle name="60% - Accent2 2 2 2 2" xfId="4258"/>
    <cellStyle name="60% - Accent2 2 2 3" xfId="4259"/>
    <cellStyle name="60% - Accent2 2 3" xfId="4260"/>
    <cellStyle name="60% - Accent2 2 3 2" xfId="4261"/>
    <cellStyle name="60% - Accent2 2 4" xfId="4262"/>
    <cellStyle name="60% - Accent2 2 4 2" xfId="4263"/>
    <cellStyle name="60% - Accent2 2 5" xfId="4264"/>
    <cellStyle name="60% - Accent2 2 6" xfId="21319"/>
    <cellStyle name="60% - Accent2 2 7" xfId="21320"/>
    <cellStyle name="60% - Accent2 3" xfId="4265"/>
    <cellStyle name="60% - Accent2 3 2" xfId="4266"/>
    <cellStyle name="60% - Accent2 4" xfId="21321"/>
    <cellStyle name="60% - Accent2 5" xfId="21322"/>
    <cellStyle name="60% - Accent3 2" xfId="4267"/>
    <cellStyle name="60% - Accent3 2 2" xfId="4268"/>
    <cellStyle name="60% - Accent3 2 2 2" xfId="4269"/>
    <cellStyle name="60% - Accent3 2 2 2 2" xfId="4270"/>
    <cellStyle name="60% - Accent3 2 2 3" xfId="4271"/>
    <cellStyle name="60% - Accent3 2 3" xfId="4272"/>
    <cellStyle name="60% - Accent3 2 3 2" xfId="4273"/>
    <cellStyle name="60% - Accent3 2 4" xfId="4274"/>
    <cellStyle name="60% - Accent3 2 4 2" xfId="4275"/>
    <cellStyle name="60% - Accent3 2 5" xfId="4276"/>
    <cellStyle name="60% - Accent3 2 6" xfId="21323"/>
    <cellStyle name="60% - Accent3 2 7" xfId="21324"/>
    <cellStyle name="60% - Accent3 2 8" xfId="21325"/>
    <cellStyle name="60% - Accent3 3" xfId="4277"/>
    <cellStyle name="60% - Accent3 3 2" xfId="4278"/>
    <cellStyle name="60% - Accent3 3 3" xfId="21326"/>
    <cellStyle name="60% - Accent3 4" xfId="21327"/>
    <cellStyle name="60% - Accent3 5" xfId="21328"/>
    <cellStyle name="60% - Accent3 6" xfId="21329"/>
    <cellStyle name="60% - Accent3 7" xfId="21330"/>
    <cellStyle name="60% - Accent3 8" xfId="21331"/>
    <cellStyle name="60% - Accent4 2" xfId="4279"/>
    <cellStyle name="60% - Accent4 2 2" xfId="4280"/>
    <cellStyle name="60% - Accent4 2 2 2" xfId="4281"/>
    <cellStyle name="60% - Accent4 2 2 2 2" xfId="4282"/>
    <cellStyle name="60% - Accent4 2 2 3" xfId="4283"/>
    <cellStyle name="60% - Accent4 2 3" xfId="4284"/>
    <cellStyle name="60% - Accent4 2 3 2" xfId="4285"/>
    <cellStyle name="60% - Accent4 2 4" xfId="4286"/>
    <cellStyle name="60% - Accent4 2 4 2" xfId="4287"/>
    <cellStyle name="60% - Accent4 2 5" xfId="4288"/>
    <cellStyle name="60% - Accent4 2 6" xfId="21332"/>
    <cellStyle name="60% - Accent4 2 7" xfId="21333"/>
    <cellStyle name="60% - Accent4 2 8" xfId="21334"/>
    <cellStyle name="60% - Accent4 3" xfId="4289"/>
    <cellStyle name="60% - Accent4 3 2" xfId="4290"/>
    <cellStyle name="60% - Accent4 3 3" xfId="21335"/>
    <cellStyle name="60% - Accent4 4" xfId="21336"/>
    <cellStyle name="60% - Accent4 5" xfId="21337"/>
    <cellStyle name="60% - Accent4 6" xfId="21338"/>
    <cellStyle name="60% - Accent4 7" xfId="21339"/>
    <cellStyle name="60% - Accent4 8" xfId="21340"/>
    <cellStyle name="60% - Accent5 2" xfId="4291"/>
    <cellStyle name="60% - Accent5 2 2" xfId="4292"/>
    <cellStyle name="60% - Accent5 2 2 2" xfId="4293"/>
    <cellStyle name="60% - Accent5 2 2 2 2" xfId="4294"/>
    <cellStyle name="60% - Accent5 2 2 3" xfId="4295"/>
    <cellStyle name="60% - Accent5 2 3" xfId="4296"/>
    <cellStyle name="60% - Accent5 2 3 2" xfId="4297"/>
    <cellStyle name="60% - Accent5 2 4" xfId="4298"/>
    <cellStyle name="60% - Accent5 2 4 2" xfId="4299"/>
    <cellStyle name="60% - Accent5 2 5" xfId="4300"/>
    <cellStyle name="60% - Accent5 2 6" xfId="21341"/>
    <cellStyle name="60% - Accent5 2 7" xfId="21342"/>
    <cellStyle name="60% - Accent5 3" xfId="4301"/>
    <cellStyle name="60% - Accent5 3 2" xfId="4302"/>
    <cellStyle name="60% - Accent5 4" xfId="21343"/>
    <cellStyle name="60% - Accent5 5" xfId="21344"/>
    <cellStyle name="60% - Accent6 2" xfId="4303"/>
    <cellStyle name="60% - Accent6 2 2" xfId="4304"/>
    <cellStyle name="60% - Accent6 2 2 2" xfId="4305"/>
    <cellStyle name="60% - Accent6 2 2 2 2" xfId="4306"/>
    <cellStyle name="60% - Accent6 2 2 3" xfId="4307"/>
    <cellStyle name="60% - Accent6 2 3" xfId="4308"/>
    <cellStyle name="60% - Accent6 2 3 2" xfId="4309"/>
    <cellStyle name="60% - Accent6 2 4" xfId="4310"/>
    <cellStyle name="60% - Accent6 2 4 2" xfId="4311"/>
    <cellStyle name="60% - Accent6 2 5" xfId="4312"/>
    <cellStyle name="60% - Accent6 2 6" xfId="21345"/>
    <cellStyle name="60% - Accent6 2 7" xfId="21346"/>
    <cellStyle name="60% - Accent6 2 8" xfId="21347"/>
    <cellStyle name="60% - Accent6 3" xfId="4313"/>
    <cellStyle name="60% - Accent6 3 2" xfId="4314"/>
    <cellStyle name="60% - Accent6 3 3" xfId="21348"/>
    <cellStyle name="60% - Accent6 4" xfId="21349"/>
    <cellStyle name="60% - Accent6 5" xfId="21350"/>
    <cellStyle name="60% - Accent6 6" xfId="21351"/>
    <cellStyle name="60% - Accent6 7" xfId="21352"/>
    <cellStyle name="60% - Accent6 8" xfId="21353"/>
    <cellStyle name="60% - akcent 1" xfId="4315"/>
    <cellStyle name="60% - akcent 1 2" xfId="4316"/>
    <cellStyle name="60% - akcent 2" xfId="4317"/>
    <cellStyle name="60% - akcent 2 2" xfId="4318"/>
    <cellStyle name="60% - akcent 3" xfId="4319"/>
    <cellStyle name="60% - akcent 3 2" xfId="4320"/>
    <cellStyle name="60% - akcent 4" xfId="4321"/>
    <cellStyle name="60% - akcent 4 2" xfId="4322"/>
    <cellStyle name="60% - akcent 5" xfId="4323"/>
    <cellStyle name="60% - akcent 5 2" xfId="4324"/>
    <cellStyle name="60% - akcent 6" xfId="4325"/>
    <cellStyle name="60% - akcent 6 2" xfId="4326"/>
    <cellStyle name="60% - Énfasis1" xfId="4327"/>
    <cellStyle name="60% - Énfasis1 2" xfId="4328"/>
    <cellStyle name="60% - Énfasis1 2 2" xfId="4329"/>
    <cellStyle name="60% - Énfasis1 3" xfId="4330"/>
    <cellStyle name="60% - Énfasis2" xfId="4331"/>
    <cellStyle name="60% - Énfasis2 2" xfId="4332"/>
    <cellStyle name="60% - Énfasis2 2 2" xfId="4333"/>
    <cellStyle name="60% - Énfasis2 3" xfId="4334"/>
    <cellStyle name="60% - Énfasis3" xfId="4335"/>
    <cellStyle name="60% - Énfasis3 2" xfId="4336"/>
    <cellStyle name="60% - Énfasis3 2 2" xfId="4337"/>
    <cellStyle name="60% - Énfasis3 3" xfId="4338"/>
    <cellStyle name="60% - Énfasis4" xfId="4339"/>
    <cellStyle name="60% - Énfasis4 2" xfId="4340"/>
    <cellStyle name="60% - Énfasis4 2 2" xfId="4341"/>
    <cellStyle name="60% - Énfasis4 3" xfId="4342"/>
    <cellStyle name="60% - Énfasis5" xfId="4343"/>
    <cellStyle name="60% - Énfasis5 2" xfId="4344"/>
    <cellStyle name="60% - Énfasis5 2 2" xfId="4345"/>
    <cellStyle name="60% - Énfasis5 3" xfId="4346"/>
    <cellStyle name="60% - Énfasis6" xfId="4347"/>
    <cellStyle name="60% - Énfasis6 2" xfId="4348"/>
    <cellStyle name="60% - Énfasis6 2 2" xfId="4349"/>
    <cellStyle name="60% - Énfasis6 3" xfId="4350"/>
    <cellStyle name="Accent1 2" xfId="4351"/>
    <cellStyle name="Accent1 2 2" xfId="4352"/>
    <cellStyle name="Accent1 2 2 2" xfId="4353"/>
    <cellStyle name="Accent1 2 2 2 2" xfId="4354"/>
    <cellStyle name="Accent1 2 2 3" xfId="4355"/>
    <cellStyle name="Accent1 2 3" xfId="4356"/>
    <cellStyle name="Accent1 2 3 2" xfId="4357"/>
    <cellStyle name="Accent1 2 4" xfId="4358"/>
    <cellStyle name="Accent1 2 4 2" xfId="4359"/>
    <cellStyle name="Accent1 2 5" xfId="4360"/>
    <cellStyle name="Accent1 2 6" xfId="21354"/>
    <cellStyle name="Accent1 2 7" xfId="21355"/>
    <cellStyle name="Accent1 2 8" xfId="21356"/>
    <cellStyle name="Accent1 3" xfId="4361"/>
    <cellStyle name="Accent1 3 2" xfId="4362"/>
    <cellStyle name="Accent1 3 3" xfId="21357"/>
    <cellStyle name="Accent1 4" xfId="21358"/>
    <cellStyle name="Accent1 5" xfId="21359"/>
    <cellStyle name="Accent1 6" xfId="21360"/>
    <cellStyle name="Accent1 7" xfId="21361"/>
    <cellStyle name="Accent2 2" xfId="4363"/>
    <cellStyle name="Accent2 2 2" xfId="4364"/>
    <cellStyle name="Accent2 2 2 2" xfId="4365"/>
    <cellStyle name="Accent2 2 2 2 2" xfId="4366"/>
    <cellStyle name="Accent2 2 2 3" xfId="4367"/>
    <cellStyle name="Accent2 2 3" xfId="4368"/>
    <cellStyle name="Accent2 2 3 2" xfId="4369"/>
    <cellStyle name="Accent2 2 4" xfId="4370"/>
    <cellStyle name="Accent2 2 4 2" xfId="4371"/>
    <cellStyle name="Accent2 2 5" xfId="4372"/>
    <cellStyle name="Accent2 2 6" xfId="21362"/>
    <cellStyle name="Accent2 2 7" xfId="21363"/>
    <cellStyle name="Accent2 3" xfId="4373"/>
    <cellStyle name="Accent2 3 2" xfId="4374"/>
    <cellStyle name="Accent2 4" xfId="21364"/>
    <cellStyle name="Accent2 5" xfId="21365"/>
    <cellStyle name="Accent3 2" xfId="4375"/>
    <cellStyle name="Accent3 2 2" xfId="4376"/>
    <cellStyle name="Accent3 2 2 2" xfId="4377"/>
    <cellStyle name="Accent3 2 2 2 2" xfId="4378"/>
    <cellStyle name="Accent3 2 2 3" xfId="4379"/>
    <cellStyle name="Accent3 2 3" xfId="4380"/>
    <cellStyle name="Accent3 2 3 2" xfId="4381"/>
    <cellStyle name="Accent3 2 4" xfId="4382"/>
    <cellStyle name="Accent3 2 4 2" xfId="4383"/>
    <cellStyle name="Accent3 2 5" xfId="4384"/>
    <cellStyle name="Accent3 2 6" xfId="21366"/>
    <cellStyle name="Accent3 2 7" xfId="21367"/>
    <cellStyle name="Accent3 3" xfId="4385"/>
    <cellStyle name="Accent3 3 2" xfId="4386"/>
    <cellStyle name="Accent3 4" xfId="21368"/>
    <cellStyle name="Accent3 5" xfId="21369"/>
    <cellStyle name="Accent4 2" xfId="4387"/>
    <cellStyle name="Accent4 2 2" xfId="4388"/>
    <cellStyle name="Accent4 2 2 2" xfId="4389"/>
    <cellStyle name="Accent4 2 2 2 2" xfId="4390"/>
    <cellStyle name="Accent4 2 2 3" xfId="4391"/>
    <cellStyle name="Accent4 2 3" xfId="4392"/>
    <cellStyle name="Accent4 2 3 2" xfId="4393"/>
    <cellStyle name="Accent4 2 4" xfId="4394"/>
    <cellStyle name="Accent4 2 4 2" xfId="4395"/>
    <cellStyle name="Accent4 2 5" xfId="4396"/>
    <cellStyle name="Accent4 2 6" xfId="21370"/>
    <cellStyle name="Accent4 2 7" xfId="21371"/>
    <cellStyle name="Accent4 2 8" xfId="21372"/>
    <cellStyle name="Accent4 3" xfId="4397"/>
    <cellStyle name="Accent4 3 2" xfId="4398"/>
    <cellStyle name="Accent4 3 3" xfId="21373"/>
    <cellStyle name="Accent4 4" xfId="21374"/>
    <cellStyle name="Accent4 5" xfId="21375"/>
    <cellStyle name="Accent4 6" xfId="21376"/>
    <cellStyle name="Accent4 7" xfId="21377"/>
    <cellStyle name="Accent5 2" xfId="4399"/>
    <cellStyle name="Accent5 2 2" xfId="4400"/>
    <cellStyle name="Accent5 2 2 2" xfId="4401"/>
    <cellStyle name="Accent5 2 2 2 2" xfId="4402"/>
    <cellStyle name="Accent5 2 2 3" xfId="4403"/>
    <cellStyle name="Accent5 2 3" xfId="4404"/>
    <cellStyle name="Accent5 2 3 2" xfId="4405"/>
    <cellStyle name="Accent5 2 4" xfId="4406"/>
    <cellStyle name="Accent5 2 4 2" xfId="4407"/>
    <cellStyle name="Accent5 2 5" xfId="4408"/>
    <cellStyle name="Accent5 2 6" xfId="21378"/>
    <cellStyle name="Accent5 2 7" xfId="21379"/>
    <cellStyle name="Accent5 3" xfId="4409"/>
    <cellStyle name="Accent5 3 2" xfId="4410"/>
    <cellStyle name="Accent5 4" xfId="21380"/>
    <cellStyle name="Accent5 5" xfId="21381"/>
    <cellStyle name="Accent6 2" xfId="4411"/>
    <cellStyle name="Accent6 2 2" xfId="4412"/>
    <cellStyle name="Accent6 2 2 2" xfId="4413"/>
    <cellStyle name="Accent6 2 2 2 2" xfId="4414"/>
    <cellStyle name="Accent6 2 2 3" xfId="4415"/>
    <cellStyle name="Accent6 2 3" xfId="4416"/>
    <cellStyle name="Accent6 2 3 2" xfId="4417"/>
    <cellStyle name="Accent6 2 4" xfId="4418"/>
    <cellStyle name="Accent6 2 4 2" xfId="4419"/>
    <cellStyle name="Accent6 2 5" xfId="4420"/>
    <cellStyle name="Accent6 2 6" xfId="21382"/>
    <cellStyle name="Accent6 2 7" xfId="21383"/>
    <cellStyle name="Accent6 3" xfId="4421"/>
    <cellStyle name="Accent6 3 2" xfId="4422"/>
    <cellStyle name="Accent6 4" xfId="21384"/>
    <cellStyle name="Accent6 5" xfId="21385"/>
    <cellStyle name="Akcent 1" xfId="4423"/>
    <cellStyle name="Akcent 1 2" xfId="4424"/>
    <cellStyle name="Akcent 2" xfId="4425"/>
    <cellStyle name="Akcent 2 2" xfId="4426"/>
    <cellStyle name="Akcent 3" xfId="4427"/>
    <cellStyle name="Akcent 3 2" xfId="4428"/>
    <cellStyle name="Akcent 4" xfId="4429"/>
    <cellStyle name="Akcent 4 2" xfId="4430"/>
    <cellStyle name="Akcent 5" xfId="4431"/>
    <cellStyle name="Akcent 5 2" xfId="4432"/>
    <cellStyle name="Akcent 6" xfId="4433"/>
    <cellStyle name="Akcent 6 2" xfId="4434"/>
    <cellStyle name="args.style" xfId="21386"/>
    <cellStyle name="Bad 2" xfId="4435"/>
    <cellStyle name="Bad 2 2" xfId="4436"/>
    <cellStyle name="Bad 2 2 2" xfId="4437"/>
    <cellStyle name="Bad 2 2 2 2" xfId="4438"/>
    <cellStyle name="Bad 2 2 3" xfId="4439"/>
    <cellStyle name="Bad 2 3" xfId="4440"/>
    <cellStyle name="Bad 2 3 2" xfId="4441"/>
    <cellStyle name="Bad 2 4" xfId="4442"/>
    <cellStyle name="Bad 2 4 2" xfId="4443"/>
    <cellStyle name="Bad 2 5" xfId="4444"/>
    <cellStyle name="Bad 2 6" xfId="21387"/>
    <cellStyle name="Bad 2 7" xfId="21388"/>
    <cellStyle name="Bad 3" xfId="4445"/>
    <cellStyle name="Bad 3 2" xfId="4446"/>
    <cellStyle name="Bad 4" xfId="4447"/>
    <cellStyle name="Bad 4 2" xfId="21389"/>
    <cellStyle name="Bad 5" xfId="21390"/>
    <cellStyle name="biu" xfId="21391"/>
    <cellStyle name="Blank" xfId="4448"/>
    <cellStyle name="Blank 2" xfId="4449"/>
    <cellStyle name="Body" xfId="21392"/>
    <cellStyle name="Border" xfId="4450"/>
    <cellStyle name="Border 2" xfId="4451"/>
    <cellStyle name="Border 3" xfId="19105"/>
    <cellStyle name="Border 4" xfId="21393"/>
    <cellStyle name="Buena" xfId="4452"/>
    <cellStyle name="Buena 2" xfId="4453"/>
    <cellStyle name="Buena 2 2" xfId="4454"/>
    <cellStyle name="Buena 3" xfId="4455"/>
    <cellStyle name="Calc Currency (0)" xfId="21394"/>
    <cellStyle name="Calc Currency (0) 2" xfId="21395"/>
    <cellStyle name="Calc Currency (0) 2 2" xfId="21396"/>
    <cellStyle name="Calc Currency (0) 3" xfId="21397"/>
    <cellStyle name="Calc Currency (2)" xfId="21398"/>
    <cellStyle name="Calc Currency (2) 2" xfId="21399"/>
    <cellStyle name="Calc Currency (2) 2 2" xfId="21400"/>
    <cellStyle name="Calc Currency (2) 3" xfId="21401"/>
    <cellStyle name="Calc Percent (0)" xfId="21402"/>
    <cellStyle name="Calc Percent (0) 2" xfId="21403"/>
    <cellStyle name="Calc Percent (0) 2 2" xfId="21404"/>
    <cellStyle name="Calc Percent (0) 3" xfId="21405"/>
    <cellStyle name="Calc Percent (1)" xfId="21406"/>
    <cellStyle name="Calc Percent (1) 2" xfId="21407"/>
    <cellStyle name="Calc Percent (1) 2 2" xfId="21408"/>
    <cellStyle name="Calc Percent (1) 3" xfId="21409"/>
    <cellStyle name="Calc Percent (2)" xfId="21410"/>
    <cellStyle name="Calc Percent (2) 2" xfId="21411"/>
    <cellStyle name="Calc Percent (2) 2 2" xfId="21412"/>
    <cellStyle name="Calc Percent (2) 3" xfId="21413"/>
    <cellStyle name="Calc Units (0)" xfId="21414"/>
    <cellStyle name="Calc Units (0) 2" xfId="21415"/>
    <cellStyle name="Calc Units (0) 2 2" xfId="21416"/>
    <cellStyle name="Calc Units (0) 3" xfId="21417"/>
    <cellStyle name="Calc Units (1)" xfId="21418"/>
    <cellStyle name="Calc Units (1) 2" xfId="21419"/>
    <cellStyle name="Calc Units (1) 2 2" xfId="21420"/>
    <cellStyle name="Calc Units (1) 3" xfId="21421"/>
    <cellStyle name="Calc Units (2)" xfId="21422"/>
    <cellStyle name="Calc Units (2) 2" xfId="21423"/>
    <cellStyle name="Calc Units (2) 2 2" xfId="21424"/>
    <cellStyle name="Calc Units (2) 3" xfId="21425"/>
    <cellStyle name="Calculation 2" xfId="4456"/>
    <cellStyle name="Calculation 2 2" xfId="4457"/>
    <cellStyle name="Calculation 2 2 2" xfId="4458"/>
    <cellStyle name="Calculation 2 2 2 2" xfId="4459"/>
    <cellStyle name="Calculation 2 2 3" xfId="4460"/>
    <cellStyle name="Calculation 2 3" xfId="4461"/>
    <cellStyle name="Calculation 2 3 2" xfId="4462"/>
    <cellStyle name="Calculation 2 4" xfId="4463"/>
    <cellStyle name="Calculation 2 4 2" xfId="4464"/>
    <cellStyle name="Calculation 2 5" xfId="4465"/>
    <cellStyle name="Calculation 2 6" xfId="21426"/>
    <cellStyle name="Calculation 2 7" xfId="21427"/>
    <cellStyle name="Calculation 2 8" xfId="21428"/>
    <cellStyle name="Calculation 3" xfId="4466"/>
    <cellStyle name="Calculation 3 2" xfId="4467"/>
    <cellStyle name="Calculation 3 3" xfId="21429"/>
    <cellStyle name="Calculation 4" xfId="21430"/>
    <cellStyle name="Calculation 5" xfId="21431"/>
    <cellStyle name="Calculation 6" xfId="21432"/>
    <cellStyle name="Calculation 7" xfId="21433"/>
    <cellStyle name="Cálculo" xfId="4468"/>
    <cellStyle name="Cálculo 2" xfId="4469"/>
    <cellStyle name="Cálculo 2 2" xfId="4470"/>
    <cellStyle name="Cálculo 2 2 2" xfId="4471"/>
    <cellStyle name="Cálculo 2 3" xfId="4472"/>
    <cellStyle name="Cálculo 3" xfId="4473"/>
    <cellStyle name="Cálculo 3 2" xfId="4474"/>
    <cellStyle name="Cálculo 4" xfId="4475"/>
    <cellStyle name="Cálculo 4 2" xfId="4476"/>
    <cellStyle name="Cálculo 5" xfId="4477"/>
    <cellStyle name="Cambiar to&amp;do" xfId="21434"/>
    <cellStyle name="Cambiar to&amp;do 2" xfId="21435"/>
    <cellStyle name="Celda de comprobación" xfId="4478"/>
    <cellStyle name="Celda de comprobación 2" xfId="4479"/>
    <cellStyle name="Celda de comprobación 2 2" xfId="4480"/>
    <cellStyle name="Celda de comprobación 3" xfId="4481"/>
    <cellStyle name="Celda vinculada" xfId="4482"/>
    <cellStyle name="Celda vinculada 2" xfId="4483"/>
    <cellStyle name="Celda vinculada 2 2" xfId="4484"/>
    <cellStyle name="Celda vinculada 2 2 2" xfId="4485"/>
    <cellStyle name="Celda vinculada 2 3" xfId="4486"/>
    <cellStyle name="Celda vinculada 3" xfId="4487"/>
    <cellStyle name="Celda vinculada 3 2" xfId="4488"/>
    <cellStyle name="Celda vinculada 4" xfId="4489"/>
    <cellStyle name="Centered Heading" xfId="4490"/>
    <cellStyle name="Centered Heading 2" xfId="4491"/>
    <cellStyle name="Centered Heading Notes" xfId="4492"/>
    <cellStyle name="Centered Heading Notes 2" xfId="4493"/>
    <cellStyle name="Centered Heading_fs cs rv" xfId="4494"/>
    <cellStyle name="Check Cell 2" xfId="4495"/>
    <cellStyle name="Check Cell 2 2" xfId="4496"/>
    <cellStyle name="Check Cell 2 2 2" xfId="4497"/>
    <cellStyle name="Check Cell 2 2 2 2" xfId="4498"/>
    <cellStyle name="Check Cell 2 2 3" xfId="4499"/>
    <cellStyle name="Check Cell 2 3" xfId="4500"/>
    <cellStyle name="Check Cell 2 3 2" xfId="4501"/>
    <cellStyle name="Check Cell 2 4" xfId="4502"/>
    <cellStyle name="Check Cell 2 4 2" xfId="4503"/>
    <cellStyle name="Check Cell 2 5" xfId="4504"/>
    <cellStyle name="Check Cell 2 6" xfId="21436"/>
    <cellStyle name="Check Cell 2 7" xfId="21437"/>
    <cellStyle name="Check Cell 3" xfId="4505"/>
    <cellStyle name="Check Cell 3 2" xfId="4506"/>
    <cellStyle name="Check Cell 4" xfId="21438"/>
    <cellStyle name="Check Cell 5" xfId="21439"/>
    <cellStyle name="Comma" xfId="2" builtinId="3"/>
    <cellStyle name="Comma  - Style1" xfId="4507"/>
    <cellStyle name="Comma  - Style1 2" xfId="4508"/>
    <cellStyle name="Comma  - Style2" xfId="4509"/>
    <cellStyle name="Comma  - Style2 2" xfId="4510"/>
    <cellStyle name="Comma  - Style3" xfId="4511"/>
    <cellStyle name="Comma  - Style3 2" xfId="4512"/>
    <cellStyle name="Comma  - Style4" xfId="4513"/>
    <cellStyle name="Comma  - Style4 2" xfId="4514"/>
    <cellStyle name="Comma  - Style5" xfId="4515"/>
    <cellStyle name="Comma  - Style5 2" xfId="4516"/>
    <cellStyle name="Comma  - Style6" xfId="4517"/>
    <cellStyle name="Comma  - Style6 2" xfId="4518"/>
    <cellStyle name="Comma  - Style7" xfId="4519"/>
    <cellStyle name="Comma  - Style7 2" xfId="4520"/>
    <cellStyle name="Comma  - Style8" xfId="4521"/>
    <cellStyle name="Comma  - Style8 2" xfId="4522"/>
    <cellStyle name="Comma [00]" xfId="21440"/>
    <cellStyle name="Comma [00] 2" xfId="21441"/>
    <cellStyle name="Comma [00] 2 2" xfId="21442"/>
    <cellStyle name="Comma [00] 3" xfId="21443"/>
    <cellStyle name="Comma 10" xfId="41"/>
    <cellStyle name="Comma 10 10" xfId="4523"/>
    <cellStyle name="Comma 10 10 2" xfId="4524"/>
    <cellStyle name="Comma 10 10 2 2" xfId="21444"/>
    <cellStyle name="Comma 10 10 2 2 2" xfId="21445"/>
    <cellStyle name="Comma 10 10 2 3" xfId="21446"/>
    <cellStyle name="Comma 10 10 3" xfId="21447"/>
    <cellStyle name="Comma 10 10 3 2" xfId="21448"/>
    <cellStyle name="Comma 10 10 4" xfId="21449"/>
    <cellStyle name="Comma 10 11" xfId="4525"/>
    <cellStyle name="Comma 10 11 2" xfId="21450"/>
    <cellStyle name="Comma 10 11 2 2" xfId="21451"/>
    <cellStyle name="Comma 10 11 3" xfId="21452"/>
    <cellStyle name="Comma 10 12" xfId="16677"/>
    <cellStyle name="Comma 10 12 2" xfId="21453"/>
    <cellStyle name="Comma 10 13" xfId="19106"/>
    <cellStyle name="Comma 10 14" xfId="21454"/>
    <cellStyle name="Comma 10 2" xfId="4526"/>
    <cellStyle name="Comma 10 2 10" xfId="19107"/>
    <cellStyle name="Comma 10 2 11" xfId="21455"/>
    <cellStyle name="Comma 10 2 12" xfId="21456"/>
    <cellStyle name="Comma 10 2 2" xfId="4527"/>
    <cellStyle name="Comma 10 2 2 10" xfId="21457"/>
    <cellStyle name="Comma 10 2 2 2" xfId="4528"/>
    <cellStyle name="Comma 10 2 2 2 2" xfId="4529"/>
    <cellStyle name="Comma 10 2 2 2 2 2" xfId="4530"/>
    <cellStyle name="Comma 10 2 2 2 2 2 2" xfId="21458"/>
    <cellStyle name="Comma 10 2 2 2 2 2 2 2" xfId="21459"/>
    <cellStyle name="Comma 10 2 2 2 2 2 2 2 2" xfId="21460"/>
    <cellStyle name="Comma 10 2 2 2 2 2 2 3" xfId="21461"/>
    <cellStyle name="Comma 10 2 2 2 2 2 3" xfId="21462"/>
    <cellStyle name="Comma 10 2 2 2 2 2 3 2" xfId="21463"/>
    <cellStyle name="Comma 10 2 2 2 2 2 4" xfId="21464"/>
    <cellStyle name="Comma 10 2 2 2 2 2 5" xfId="21465"/>
    <cellStyle name="Comma 10 2 2 2 2 3" xfId="21466"/>
    <cellStyle name="Comma 10 2 2 2 2 3 2" xfId="21467"/>
    <cellStyle name="Comma 10 2 2 2 2 3 2 2" xfId="21468"/>
    <cellStyle name="Comma 10 2 2 2 2 3 3" xfId="21469"/>
    <cellStyle name="Comma 10 2 2 2 2 4" xfId="21470"/>
    <cellStyle name="Comma 10 2 2 2 2 4 2" xfId="21471"/>
    <cellStyle name="Comma 10 2 2 2 2 5" xfId="21472"/>
    <cellStyle name="Comma 10 2 2 2 2 6" xfId="21473"/>
    <cellStyle name="Comma 10 2 2 2 3" xfId="4531"/>
    <cellStyle name="Comma 10 2 2 2 3 2" xfId="4532"/>
    <cellStyle name="Comma 10 2 2 2 3 2 2" xfId="21474"/>
    <cellStyle name="Comma 10 2 2 2 3 2 2 2" xfId="21475"/>
    <cellStyle name="Comma 10 2 2 2 3 2 3" xfId="21476"/>
    <cellStyle name="Comma 10 2 2 2 3 3" xfId="21477"/>
    <cellStyle name="Comma 10 2 2 2 3 3 2" xfId="21478"/>
    <cellStyle name="Comma 10 2 2 2 3 4" xfId="21479"/>
    <cellStyle name="Comma 10 2 2 2 3 5" xfId="21480"/>
    <cellStyle name="Comma 10 2 2 2 4" xfId="4533"/>
    <cellStyle name="Comma 10 2 2 2 4 2" xfId="4534"/>
    <cellStyle name="Comma 10 2 2 2 4 2 2" xfId="21481"/>
    <cellStyle name="Comma 10 2 2 2 4 3" xfId="21482"/>
    <cellStyle name="Comma 10 2 2 2 5" xfId="4535"/>
    <cellStyle name="Comma 10 2 2 2 5 2" xfId="21483"/>
    <cellStyle name="Comma 10 2 2 2 6" xfId="21484"/>
    <cellStyle name="Comma 10 2 2 2 7" xfId="21485"/>
    <cellStyle name="Comma 10 2 2 3" xfId="4536"/>
    <cellStyle name="Comma 10 2 2 3 2" xfId="4537"/>
    <cellStyle name="Comma 10 2 2 3 2 2" xfId="21486"/>
    <cellStyle name="Comma 10 2 2 3 2 2 2" xfId="21487"/>
    <cellStyle name="Comma 10 2 2 3 2 2 2 2" xfId="21488"/>
    <cellStyle name="Comma 10 2 2 3 2 2 3" xfId="21489"/>
    <cellStyle name="Comma 10 2 2 3 2 3" xfId="21490"/>
    <cellStyle name="Comma 10 2 2 3 2 3 2" xfId="21491"/>
    <cellStyle name="Comma 10 2 2 3 2 4" xfId="21492"/>
    <cellStyle name="Comma 10 2 2 3 2 5" xfId="21493"/>
    <cellStyle name="Comma 10 2 2 3 3" xfId="21494"/>
    <cellStyle name="Comma 10 2 2 3 3 2" xfId="21495"/>
    <cellStyle name="Comma 10 2 2 3 3 2 2" xfId="21496"/>
    <cellStyle name="Comma 10 2 2 3 3 3" xfId="21497"/>
    <cellStyle name="Comma 10 2 2 3 4" xfId="21498"/>
    <cellStyle name="Comma 10 2 2 3 4 2" xfId="21499"/>
    <cellStyle name="Comma 10 2 2 3 5" xfId="21500"/>
    <cellStyle name="Comma 10 2 2 3 6" xfId="21501"/>
    <cellStyle name="Comma 10 2 2 4" xfId="4538"/>
    <cellStyle name="Comma 10 2 2 4 2" xfId="4539"/>
    <cellStyle name="Comma 10 2 2 4 2 2" xfId="4540"/>
    <cellStyle name="Comma 10 2 2 4 2 2 2" xfId="21502"/>
    <cellStyle name="Comma 10 2 2 4 2 3" xfId="21503"/>
    <cellStyle name="Comma 10 2 2 4 3" xfId="4541"/>
    <cellStyle name="Comma 10 2 2 4 3 2" xfId="4542"/>
    <cellStyle name="Comma 10 2 2 4 4" xfId="4543"/>
    <cellStyle name="Comma 10 2 2 4 5" xfId="21504"/>
    <cellStyle name="Comma 10 2 2 5" xfId="4544"/>
    <cellStyle name="Comma 10 2 2 5 2" xfId="4545"/>
    <cellStyle name="Comma 10 2 2 6" xfId="4546"/>
    <cellStyle name="Comma 10 2 2 6 2" xfId="4547"/>
    <cellStyle name="Comma 10 2 2 6 2 2" xfId="21505"/>
    <cellStyle name="Comma 10 2 2 6 3" xfId="21506"/>
    <cellStyle name="Comma 10 2 2 7" xfId="4548"/>
    <cellStyle name="Comma 10 2 2 7 2" xfId="21507"/>
    <cellStyle name="Comma 10 2 2 8" xfId="19108"/>
    <cellStyle name="Comma 10 2 2 9" xfId="21508"/>
    <cellStyle name="Comma 10 2 3" xfId="4549"/>
    <cellStyle name="Comma 10 2 3 2" xfId="4550"/>
    <cellStyle name="Comma 10 2 3 2 2" xfId="4551"/>
    <cellStyle name="Comma 10 2 3 2 2 2" xfId="4552"/>
    <cellStyle name="Comma 10 2 3 2 2 2 2" xfId="21509"/>
    <cellStyle name="Comma 10 2 3 2 2 2 2 2" xfId="21510"/>
    <cellStyle name="Comma 10 2 3 2 2 2 3" xfId="21511"/>
    <cellStyle name="Comma 10 2 3 2 2 3" xfId="21512"/>
    <cellStyle name="Comma 10 2 3 2 2 3 2" xfId="21513"/>
    <cellStyle name="Comma 10 2 3 2 2 4" xfId="21514"/>
    <cellStyle name="Comma 10 2 3 2 2 5" xfId="21515"/>
    <cellStyle name="Comma 10 2 3 2 3" xfId="4553"/>
    <cellStyle name="Comma 10 2 3 2 3 2" xfId="4554"/>
    <cellStyle name="Comma 10 2 3 2 3 2 2" xfId="21516"/>
    <cellStyle name="Comma 10 2 3 2 3 3" xfId="21517"/>
    <cellStyle name="Comma 10 2 3 2 4" xfId="4555"/>
    <cellStyle name="Comma 10 2 3 2 4 2" xfId="4556"/>
    <cellStyle name="Comma 10 2 3 2 5" xfId="4557"/>
    <cellStyle name="Comma 10 2 3 2 6" xfId="21518"/>
    <cellStyle name="Comma 10 2 3 3" xfId="4558"/>
    <cellStyle name="Comma 10 2 3 3 2" xfId="4559"/>
    <cellStyle name="Comma 10 2 3 3 2 2" xfId="21519"/>
    <cellStyle name="Comma 10 2 3 3 2 2 2" xfId="21520"/>
    <cellStyle name="Comma 10 2 3 3 2 3" xfId="21521"/>
    <cellStyle name="Comma 10 2 3 3 3" xfId="21522"/>
    <cellStyle name="Comma 10 2 3 3 3 2" xfId="21523"/>
    <cellStyle name="Comma 10 2 3 3 4" xfId="21524"/>
    <cellStyle name="Comma 10 2 3 3 5" xfId="21525"/>
    <cellStyle name="Comma 10 2 3 4" xfId="4560"/>
    <cellStyle name="Comma 10 2 3 4 2" xfId="4561"/>
    <cellStyle name="Comma 10 2 3 4 2 2" xfId="4562"/>
    <cellStyle name="Comma 10 2 3 4 3" xfId="4563"/>
    <cellStyle name="Comma 10 2 3 4 3 2" xfId="4564"/>
    <cellStyle name="Comma 10 2 3 4 4" xfId="4565"/>
    <cellStyle name="Comma 10 2 3 5" xfId="4566"/>
    <cellStyle name="Comma 10 2 3 5 2" xfId="4567"/>
    <cellStyle name="Comma 10 2 3 6" xfId="4568"/>
    <cellStyle name="Comma 10 2 3 6 2" xfId="4569"/>
    <cellStyle name="Comma 10 2 3 7" xfId="4570"/>
    <cellStyle name="Comma 10 2 3 8" xfId="21526"/>
    <cellStyle name="Comma 10 2 4" xfId="4571"/>
    <cellStyle name="Comma 10 2 4 2" xfId="4572"/>
    <cellStyle name="Comma 10 2 4 2 2" xfId="4573"/>
    <cellStyle name="Comma 10 2 4 2 2 2" xfId="21527"/>
    <cellStyle name="Comma 10 2 4 2 2 2 2" xfId="21528"/>
    <cellStyle name="Comma 10 2 4 2 2 3" xfId="21529"/>
    <cellStyle name="Comma 10 2 4 2 3" xfId="21530"/>
    <cellStyle name="Comma 10 2 4 2 3 2" xfId="21531"/>
    <cellStyle name="Comma 10 2 4 2 4" xfId="21532"/>
    <cellStyle name="Comma 10 2 4 2 5" xfId="21533"/>
    <cellStyle name="Comma 10 2 4 3" xfId="4574"/>
    <cellStyle name="Comma 10 2 4 3 2" xfId="4575"/>
    <cellStyle name="Comma 10 2 4 3 2 2" xfId="21534"/>
    <cellStyle name="Comma 10 2 4 3 3" xfId="21535"/>
    <cellStyle name="Comma 10 2 4 4" xfId="4576"/>
    <cellStyle name="Comma 10 2 4 4 2" xfId="4577"/>
    <cellStyle name="Comma 10 2 4 5" xfId="4578"/>
    <cellStyle name="Comma 10 2 4 6" xfId="21536"/>
    <cellStyle name="Comma 10 2 5" xfId="4579"/>
    <cellStyle name="Comma 10 2 5 2" xfId="4580"/>
    <cellStyle name="Comma 10 2 5 3" xfId="21537"/>
    <cellStyle name="Comma 10 2 6" xfId="4581"/>
    <cellStyle name="Comma 10 2 6 2" xfId="4582"/>
    <cellStyle name="Comma 10 2 6 2 2" xfId="4583"/>
    <cellStyle name="Comma 10 2 6 2 2 2" xfId="21538"/>
    <cellStyle name="Comma 10 2 6 2 3" xfId="21539"/>
    <cellStyle name="Comma 10 2 6 3" xfId="4584"/>
    <cellStyle name="Comma 10 2 6 3 2" xfId="4585"/>
    <cellStyle name="Comma 10 2 6 4" xfId="4586"/>
    <cellStyle name="Comma 10 2 6 5" xfId="21540"/>
    <cellStyle name="Comma 10 2 7" xfId="4587"/>
    <cellStyle name="Comma 10 2 7 2" xfId="4588"/>
    <cellStyle name="Comma 10 2 7 2 2" xfId="21541"/>
    <cellStyle name="Comma 10 2 7 3" xfId="21542"/>
    <cellStyle name="Comma 10 2 8" xfId="4589"/>
    <cellStyle name="Comma 10 2 8 2" xfId="4590"/>
    <cellStyle name="Comma 10 2 9" xfId="4591"/>
    <cellStyle name="Comma 10 3" xfId="4592"/>
    <cellStyle name="Comma 10 3 2" xfId="4593"/>
    <cellStyle name="Comma 10 3 2 2" xfId="4594"/>
    <cellStyle name="Comma 10 3 2 2 2" xfId="4595"/>
    <cellStyle name="Comma 10 3 2 2 2 2" xfId="16687"/>
    <cellStyle name="Comma 10 3 2 2 2 2 2" xfId="21543"/>
    <cellStyle name="Comma 10 3 2 2 2 2 2 2" xfId="21544"/>
    <cellStyle name="Comma 10 3 2 2 2 2 2 2 2" xfId="21545"/>
    <cellStyle name="Comma 10 3 2 2 2 2 2 3" xfId="21546"/>
    <cellStyle name="Comma 10 3 2 2 2 2 3" xfId="21547"/>
    <cellStyle name="Comma 10 3 2 2 2 2 3 2" xfId="21548"/>
    <cellStyle name="Comma 10 3 2 2 2 2 4" xfId="21549"/>
    <cellStyle name="Comma 10 3 2 2 2 3" xfId="21550"/>
    <cellStyle name="Comma 10 3 2 2 2 3 2" xfId="21551"/>
    <cellStyle name="Comma 10 3 2 2 2 3 2 2" xfId="21552"/>
    <cellStyle name="Comma 10 3 2 2 2 3 3" xfId="21553"/>
    <cellStyle name="Comma 10 3 2 2 2 4" xfId="21554"/>
    <cellStyle name="Comma 10 3 2 2 2 4 2" xfId="21555"/>
    <cellStyle name="Comma 10 3 2 2 2 5" xfId="21556"/>
    <cellStyle name="Comma 10 3 2 2 3" xfId="16688"/>
    <cellStyle name="Comma 10 3 2 2 3 2" xfId="21557"/>
    <cellStyle name="Comma 10 3 2 2 3 2 2" xfId="21558"/>
    <cellStyle name="Comma 10 3 2 2 3 2 2 2" xfId="21559"/>
    <cellStyle name="Comma 10 3 2 2 3 2 3" xfId="21560"/>
    <cellStyle name="Comma 10 3 2 2 3 3" xfId="21561"/>
    <cellStyle name="Comma 10 3 2 2 3 3 2" xfId="21562"/>
    <cellStyle name="Comma 10 3 2 2 3 4" xfId="21563"/>
    <cellStyle name="Comma 10 3 2 2 4" xfId="21564"/>
    <cellStyle name="Comma 10 3 2 2 4 2" xfId="21565"/>
    <cellStyle name="Comma 10 3 2 2 4 2 2" xfId="21566"/>
    <cellStyle name="Comma 10 3 2 2 4 3" xfId="21567"/>
    <cellStyle name="Comma 10 3 2 2 5" xfId="21568"/>
    <cellStyle name="Comma 10 3 2 2 5 2" xfId="21569"/>
    <cellStyle name="Comma 10 3 2 2 6" xfId="21570"/>
    <cellStyle name="Comma 10 3 2 3" xfId="4596"/>
    <cellStyle name="Comma 10 3 2 3 2" xfId="4597"/>
    <cellStyle name="Comma 10 3 2 3 2 2" xfId="21571"/>
    <cellStyle name="Comma 10 3 2 3 2 2 2" xfId="21572"/>
    <cellStyle name="Comma 10 3 2 3 2 2 2 2" xfId="21573"/>
    <cellStyle name="Comma 10 3 2 3 2 2 3" xfId="21574"/>
    <cellStyle name="Comma 10 3 2 3 2 3" xfId="21575"/>
    <cellStyle name="Comma 10 3 2 3 2 3 2" xfId="21576"/>
    <cellStyle name="Comma 10 3 2 3 2 4" xfId="21577"/>
    <cellStyle name="Comma 10 3 2 3 2 5" xfId="21578"/>
    <cellStyle name="Comma 10 3 2 3 3" xfId="21579"/>
    <cellStyle name="Comma 10 3 2 3 3 2" xfId="21580"/>
    <cellStyle name="Comma 10 3 2 3 3 2 2" xfId="21581"/>
    <cellStyle name="Comma 10 3 2 3 3 3" xfId="21582"/>
    <cellStyle name="Comma 10 3 2 3 4" xfId="21583"/>
    <cellStyle name="Comma 10 3 2 3 4 2" xfId="21584"/>
    <cellStyle name="Comma 10 3 2 3 5" xfId="21585"/>
    <cellStyle name="Comma 10 3 2 3 6" xfId="21586"/>
    <cellStyle name="Comma 10 3 2 4" xfId="4598"/>
    <cellStyle name="Comma 10 3 2 4 2" xfId="4599"/>
    <cellStyle name="Comma 10 3 2 4 2 2" xfId="21587"/>
    <cellStyle name="Comma 10 3 2 4 2 2 2" xfId="21588"/>
    <cellStyle name="Comma 10 3 2 4 2 3" xfId="21589"/>
    <cellStyle name="Comma 10 3 2 4 3" xfId="21590"/>
    <cellStyle name="Comma 10 3 2 4 3 2" xfId="21591"/>
    <cellStyle name="Comma 10 3 2 4 4" xfId="21592"/>
    <cellStyle name="Comma 10 3 2 4 5" xfId="21593"/>
    <cellStyle name="Comma 10 3 2 5" xfId="4600"/>
    <cellStyle name="Comma 10 3 2 5 2" xfId="21594"/>
    <cellStyle name="Comma 10 3 2 5 2 2" xfId="21595"/>
    <cellStyle name="Comma 10 3 2 5 3" xfId="21596"/>
    <cellStyle name="Comma 10 3 2 6" xfId="19110"/>
    <cellStyle name="Comma 10 3 2 6 2" xfId="21597"/>
    <cellStyle name="Comma 10 3 2 7" xfId="21598"/>
    <cellStyle name="Comma 10 3 3" xfId="4601"/>
    <cellStyle name="Comma 10 3 3 2" xfId="4602"/>
    <cellStyle name="Comma 10 3 3 2 2" xfId="16689"/>
    <cellStyle name="Comma 10 3 3 2 2 2" xfId="21599"/>
    <cellStyle name="Comma 10 3 3 2 2 2 2" xfId="21600"/>
    <cellStyle name="Comma 10 3 3 2 2 2 2 2" xfId="21601"/>
    <cellStyle name="Comma 10 3 3 2 2 2 3" xfId="21602"/>
    <cellStyle name="Comma 10 3 3 2 2 3" xfId="21603"/>
    <cellStyle name="Comma 10 3 3 2 2 3 2" xfId="21604"/>
    <cellStyle name="Comma 10 3 3 2 2 4" xfId="21605"/>
    <cellStyle name="Comma 10 3 3 2 3" xfId="21606"/>
    <cellStyle name="Comma 10 3 3 2 3 2" xfId="21607"/>
    <cellStyle name="Comma 10 3 3 2 3 2 2" xfId="21608"/>
    <cellStyle name="Comma 10 3 3 2 3 3" xfId="21609"/>
    <cellStyle name="Comma 10 3 3 2 4" xfId="21610"/>
    <cellStyle name="Comma 10 3 3 2 4 2" xfId="21611"/>
    <cellStyle name="Comma 10 3 3 2 5" xfId="21612"/>
    <cellStyle name="Comma 10 3 3 3" xfId="16690"/>
    <cellStyle name="Comma 10 3 3 3 2" xfId="21613"/>
    <cellStyle name="Comma 10 3 3 3 2 2" xfId="21614"/>
    <cellStyle name="Comma 10 3 3 3 2 2 2" xfId="21615"/>
    <cellStyle name="Comma 10 3 3 3 2 3" xfId="21616"/>
    <cellStyle name="Comma 10 3 3 3 3" xfId="21617"/>
    <cellStyle name="Comma 10 3 3 3 3 2" xfId="21618"/>
    <cellStyle name="Comma 10 3 3 3 4" xfId="21619"/>
    <cellStyle name="Comma 10 3 3 4" xfId="21620"/>
    <cellStyle name="Comma 10 3 3 4 2" xfId="21621"/>
    <cellStyle name="Comma 10 3 3 4 2 2" xfId="21622"/>
    <cellStyle name="Comma 10 3 3 4 3" xfId="21623"/>
    <cellStyle name="Comma 10 3 3 5" xfId="21624"/>
    <cellStyle name="Comma 10 3 3 5 2" xfId="21625"/>
    <cellStyle name="Comma 10 3 3 6" xfId="21626"/>
    <cellStyle name="Comma 10 3 4" xfId="4603"/>
    <cellStyle name="Comma 10 3 4 2" xfId="4604"/>
    <cellStyle name="Comma 10 3 4 2 2" xfId="4605"/>
    <cellStyle name="Comma 10 3 4 2 2 2" xfId="21627"/>
    <cellStyle name="Comma 10 3 4 2 2 2 2" xfId="21628"/>
    <cellStyle name="Comma 10 3 4 2 2 3" xfId="21629"/>
    <cellStyle name="Comma 10 3 4 2 3" xfId="21630"/>
    <cellStyle name="Comma 10 3 4 2 3 2" xfId="21631"/>
    <cellStyle name="Comma 10 3 4 2 4" xfId="21632"/>
    <cellStyle name="Comma 10 3 4 2 5" xfId="21633"/>
    <cellStyle name="Comma 10 3 4 3" xfId="4606"/>
    <cellStyle name="Comma 10 3 4 3 2" xfId="4607"/>
    <cellStyle name="Comma 10 3 4 3 2 2" xfId="21634"/>
    <cellStyle name="Comma 10 3 4 3 3" xfId="21635"/>
    <cellStyle name="Comma 10 3 4 4" xfId="4608"/>
    <cellStyle name="Comma 10 3 4 4 2" xfId="21636"/>
    <cellStyle name="Comma 10 3 4 5" xfId="21637"/>
    <cellStyle name="Comma 10 3 4 6" xfId="21638"/>
    <cellStyle name="Comma 10 3 5" xfId="4609"/>
    <cellStyle name="Comma 10 3 5 2" xfId="4610"/>
    <cellStyle name="Comma 10 3 5 2 2" xfId="21639"/>
    <cellStyle name="Comma 10 3 5 2 2 2" xfId="21640"/>
    <cellStyle name="Comma 10 3 5 2 3" xfId="21641"/>
    <cellStyle name="Comma 10 3 5 3" xfId="21642"/>
    <cellStyle name="Comma 10 3 5 3 2" xfId="21643"/>
    <cellStyle name="Comma 10 3 5 4" xfId="21644"/>
    <cellStyle name="Comma 10 3 5 5" xfId="21645"/>
    <cellStyle name="Comma 10 3 6" xfId="4611"/>
    <cellStyle name="Comma 10 3 6 2" xfId="4612"/>
    <cellStyle name="Comma 10 3 7" xfId="4613"/>
    <cellStyle name="Comma 10 3 7 2" xfId="21646"/>
    <cellStyle name="Comma 10 3 7 2 2" xfId="21647"/>
    <cellStyle name="Comma 10 3 7 3" xfId="21648"/>
    <cellStyle name="Comma 10 3 8" xfId="19109"/>
    <cellStyle name="Comma 10 3 8 2" xfId="21649"/>
    <cellStyle name="Comma 10 3 9" xfId="21650"/>
    <cellStyle name="Comma 10 4" xfId="4614"/>
    <cellStyle name="Comma 10 4 2" xfId="4615"/>
    <cellStyle name="Comma 10 4 2 2" xfId="4616"/>
    <cellStyle name="Comma 10 4 2 2 2" xfId="4617"/>
    <cellStyle name="Comma 10 4 2 2 2 2" xfId="21651"/>
    <cellStyle name="Comma 10 4 2 2 2 2 2" xfId="21652"/>
    <cellStyle name="Comma 10 4 2 2 2 2 2 2" xfId="21653"/>
    <cellStyle name="Comma 10 4 2 2 2 2 3" xfId="21654"/>
    <cellStyle name="Comma 10 4 2 2 2 3" xfId="21655"/>
    <cellStyle name="Comma 10 4 2 2 2 3 2" xfId="21656"/>
    <cellStyle name="Comma 10 4 2 2 2 4" xfId="21657"/>
    <cellStyle name="Comma 10 4 2 2 2 5" xfId="21658"/>
    <cellStyle name="Comma 10 4 2 2 3" xfId="21659"/>
    <cellStyle name="Comma 10 4 2 2 3 2" xfId="21660"/>
    <cellStyle name="Comma 10 4 2 2 3 2 2" xfId="21661"/>
    <cellStyle name="Comma 10 4 2 2 3 3" xfId="21662"/>
    <cellStyle name="Comma 10 4 2 2 4" xfId="21663"/>
    <cellStyle name="Comma 10 4 2 2 4 2" xfId="21664"/>
    <cellStyle name="Comma 10 4 2 2 5" xfId="21665"/>
    <cellStyle name="Comma 10 4 2 2 6" xfId="21666"/>
    <cellStyle name="Comma 10 4 2 3" xfId="4618"/>
    <cellStyle name="Comma 10 4 2 3 2" xfId="4619"/>
    <cellStyle name="Comma 10 4 2 3 2 2" xfId="21667"/>
    <cellStyle name="Comma 10 4 2 3 2 2 2" xfId="21668"/>
    <cellStyle name="Comma 10 4 2 3 2 3" xfId="21669"/>
    <cellStyle name="Comma 10 4 2 3 3" xfId="21670"/>
    <cellStyle name="Comma 10 4 2 3 3 2" xfId="21671"/>
    <cellStyle name="Comma 10 4 2 3 4" xfId="21672"/>
    <cellStyle name="Comma 10 4 2 3 5" xfId="21673"/>
    <cellStyle name="Comma 10 4 2 4" xfId="4620"/>
    <cellStyle name="Comma 10 4 2 4 2" xfId="4621"/>
    <cellStyle name="Comma 10 4 2 4 2 2" xfId="21674"/>
    <cellStyle name="Comma 10 4 2 4 3" xfId="21675"/>
    <cellStyle name="Comma 10 4 2 5" xfId="4622"/>
    <cellStyle name="Comma 10 4 2 5 2" xfId="21676"/>
    <cellStyle name="Comma 10 4 2 6" xfId="21677"/>
    <cellStyle name="Comma 10 4 2 7" xfId="21678"/>
    <cellStyle name="Comma 10 4 3" xfId="4623"/>
    <cellStyle name="Comma 10 4 3 2" xfId="4624"/>
    <cellStyle name="Comma 10 4 3 2 2" xfId="21679"/>
    <cellStyle name="Comma 10 4 3 2 2 2" xfId="21680"/>
    <cellStyle name="Comma 10 4 3 2 2 2 2" xfId="21681"/>
    <cellStyle name="Comma 10 4 3 2 2 3" xfId="21682"/>
    <cellStyle name="Comma 10 4 3 2 3" xfId="21683"/>
    <cellStyle name="Comma 10 4 3 2 3 2" xfId="21684"/>
    <cellStyle name="Comma 10 4 3 2 4" xfId="21685"/>
    <cellStyle name="Comma 10 4 3 2 5" xfId="21686"/>
    <cellStyle name="Comma 10 4 3 3" xfId="21687"/>
    <cellStyle name="Comma 10 4 3 3 2" xfId="21688"/>
    <cellStyle name="Comma 10 4 3 3 2 2" xfId="21689"/>
    <cellStyle name="Comma 10 4 3 3 3" xfId="21690"/>
    <cellStyle name="Comma 10 4 3 4" xfId="21691"/>
    <cellStyle name="Comma 10 4 3 4 2" xfId="21692"/>
    <cellStyle name="Comma 10 4 3 5" xfId="21693"/>
    <cellStyle name="Comma 10 4 3 6" xfId="21694"/>
    <cellStyle name="Comma 10 4 4" xfId="4625"/>
    <cellStyle name="Comma 10 4 4 2" xfId="4626"/>
    <cellStyle name="Comma 10 4 4 2 2" xfId="4627"/>
    <cellStyle name="Comma 10 4 4 2 2 2" xfId="21695"/>
    <cellStyle name="Comma 10 4 4 2 3" xfId="21696"/>
    <cellStyle name="Comma 10 4 4 3" xfId="4628"/>
    <cellStyle name="Comma 10 4 4 3 2" xfId="4629"/>
    <cellStyle name="Comma 10 4 4 4" xfId="4630"/>
    <cellStyle name="Comma 10 4 4 5" xfId="21697"/>
    <cellStyle name="Comma 10 4 5" xfId="4631"/>
    <cellStyle name="Comma 10 4 5 2" xfId="4632"/>
    <cellStyle name="Comma 10 4 5 2 2" xfId="21698"/>
    <cellStyle name="Comma 10 4 5 3" xfId="21699"/>
    <cellStyle name="Comma 10 4 6" xfId="4633"/>
    <cellStyle name="Comma 10 4 6 2" xfId="4634"/>
    <cellStyle name="Comma 10 4 7" xfId="4635"/>
    <cellStyle name="Comma 10 4 8" xfId="19111"/>
    <cellStyle name="Comma 10 5" xfId="4636"/>
    <cellStyle name="Comma 10 5 2" xfId="4637"/>
    <cellStyle name="Comma 10 5 2 2" xfId="4638"/>
    <cellStyle name="Comma 10 5 2 2 2" xfId="16691"/>
    <cellStyle name="Comma 10 5 2 2 2 2" xfId="21700"/>
    <cellStyle name="Comma 10 5 2 2 2 2 2" xfId="21701"/>
    <cellStyle name="Comma 10 5 2 2 2 2 2 2" xfId="21702"/>
    <cellStyle name="Comma 10 5 2 2 2 2 3" xfId="21703"/>
    <cellStyle name="Comma 10 5 2 2 2 3" xfId="21704"/>
    <cellStyle name="Comma 10 5 2 2 2 3 2" xfId="21705"/>
    <cellStyle name="Comma 10 5 2 2 2 4" xfId="21706"/>
    <cellStyle name="Comma 10 5 2 2 3" xfId="21707"/>
    <cellStyle name="Comma 10 5 2 2 3 2" xfId="21708"/>
    <cellStyle name="Comma 10 5 2 2 3 2 2" xfId="21709"/>
    <cellStyle name="Comma 10 5 2 2 3 3" xfId="21710"/>
    <cellStyle name="Comma 10 5 2 2 4" xfId="21711"/>
    <cellStyle name="Comma 10 5 2 2 4 2" xfId="21712"/>
    <cellStyle name="Comma 10 5 2 2 5" xfId="21713"/>
    <cellStyle name="Comma 10 5 2 3" xfId="16692"/>
    <cellStyle name="Comma 10 5 2 3 2" xfId="21714"/>
    <cellStyle name="Comma 10 5 2 3 2 2" xfId="21715"/>
    <cellStyle name="Comma 10 5 2 3 2 2 2" xfId="21716"/>
    <cellStyle name="Comma 10 5 2 3 2 3" xfId="21717"/>
    <cellStyle name="Comma 10 5 2 3 3" xfId="21718"/>
    <cellStyle name="Comma 10 5 2 3 3 2" xfId="21719"/>
    <cellStyle name="Comma 10 5 2 3 4" xfId="21720"/>
    <cellStyle name="Comma 10 5 2 4" xfId="21721"/>
    <cellStyle name="Comma 10 5 2 4 2" xfId="21722"/>
    <cellStyle name="Comma 10 5 2 4 2 2" xfId="21723"/>
    <cellStyle name="Comma 10 5 2 4 3" xfId="21724"/>
    <cellStyle name="Comma 10 5 2 5" xfId="21725"/>
    <cellStyle name="Comma 10 5 2 5 2" xfId="21726"/>
    <cellStyle name="Comma 10 5 2 6" xfId="21727"/>
    <cellStyle name="Comma 10 5 3" xfId="4639"/>
    <cellStyle name="Comma 10 5 3 2" xfId="4640"/>
    <cellStyle name="Comma 10 5 3 2 2" xfId="21728"/>
    <cellStyle name="Comma 10 5 3 2 2 2" xfId="21729"/>
    <cellStyle name="Comma 10 5 3 2 2 2 2" xfId="21730"/>
    <cellStyle name="Comma 10 5 3 2 2 3" xfId="21731"/>
    <cellStyle name="Comma 10 5 3 2 3" xfId="21732"/>
    <cellStyle name="Comma 10 5 3 2 3 2" xfId="21733"/>
    <cellStyle name="Comma 10 5 3 2 4" xfId="21734"/>
    <cellStyle name="Comma 10 5 3 2 5" xfId="21735"/>
    <cellStyle name="Comma 10 5 3 3" xfId="21736"/>
    <cellStyle name="Comma 10 5 3 3 2" xfId="21737"/>
    <cellStyle name="Comma 10 5 3 3 2 2" xfId="21738"/>
    <cellStyle name="Comma 10 5 3 3 3" xfId="21739"/>
    <cellStyle name="Comma 10 5 3 4" xfId="21740"/>
    <cellStyle name="Comma 10 5 3 4 2" xfId="21741"/>
    <cellStyle name="Comma 10 5 3 5" xfId="21742"/>
    <cellStyle name="Comma 10 5 3 6" xfId="21743"/>
    <cellStyle name="Comma 10 5 4" xfId="4641"/>
    <cellStyle name="Comma 10 5 4 2" xfId="4642"/>
    <cellStyle name="Comma 10 5 4 2 2" xfId="21744"/>
    <cellStyle name="Comma 10 5 4 2 2 2" xfId="21745"/>
    <cellStyle name="Comma 10 5 4 2 3" xfId="21746"/>
    <cellStyle name="Comma 10 5 4 3" xfId="21747"/>
    <cellStyle name="Comma 10 5 4 3 2" xfId="21748"/>
    <cellStyle name="Comma 10 5 4 4" xfId="21749"/>
    <cellStyle name="Comma 10 5 4 5" xfId="21750"/>
    <cellStyle name="Comma 10 5 5" xfId="4643"/>
    <cellStyle name="Comma 10 5 5 2" xfId="21751"/>
    <cellStyle name="Comma 10 5 5 2 2" xfId="21752"/>
    <cellStyle name="Comma 10 5 5 3" xfId="21753"/>
    <cellStyle name="Comma 10 5 6" xfId="19112"/>
    <cellStyle name="Comma 10 5 6 2" xfId="21754"/>
    <cellStyle name="Comma 10 5 7" xfId="21755"/>
    <cellStyle name="Comma 10 6" xfId="4644"/>
    <cellStyle name="Comma 10 6 2" xfId="4645"/>
    <cellStyle name="Comma 10 6 2 2" xfId="16693"/>
    <cellStyle name="Comma 10 6 2 2 2" xfId="21756"/>
    <cellStyle name="Comma 10 6 2 2 2 2" xfId="21757"/>
    <cellStyle name="Comma 10 6 2 2 2 2 2" xfId="21758"/>
    <cellStyle name="Comma 10 6 2 2 2 3" xfId="21759"/>
    <cellStyle name="Comma 10 6 2 2 3" xfId="21760"/>
    <cellStyle name="Comma 10 6 2 2 3 2" xfId="21761"/>
    <cellStyle name="Comma 10 6 2 2 4" xfId="21762"/>
    <cellStyle name="Comma 10 6 2 3" xfId="21763"/>
    <cellStyle name="Comma 10 6 2 3 2" xfId="21764"/>
    <cellStyle name="Comma 10 6 2 3 2 2" xfId="21765"/>
    <cellStyle name="Comma 10 6 2 3 3" xfId="21766"/>
    <cellStyle name="Comma 10 6 2 4" xfId="21767"/>
    <cellStyle name="Comma 10 6 2 4 2" xfId="21768"/>
    <cellStyle name="Comma 10 6 2 5" xfId="21769"/>
    <cellStyle name="Comma 10 6 3" xfId="16694"/>
    <cellStyle name="Comma 10 6 3 2" xfId="21770"/>
    <cellStyle name="Comma 10 6 3 2 2" xfId="21771"/>
    <cellStyle name="Comma 10 6 3 2 2 2" xfId="21772"/>
    <cellStyle name="Comma 10 6 3 2 3" xfId="21773"/>
    <cellStyle name="Comma 10 6 3 3" xfId="21774"/>
    <cellStyle name="Comma 10 6 3 3 2" xfId="21775"/>
    <cellStyle name="Comma 10 6 3 4" xfId="21776"/>
    <cellStyle name="Comma 10 6 4" xfId="21777"/>
    <cellStyle name="Comma 10 6 4 2" xfId="21778"/>
    <cellStyle name="Comma 10 6 4 2 2" xfId="21779"/>
    <cellStyle name="Comma 10 6 4 3" xfId="21780"/>
    <cellStyle name="Comma 10 6 5" xfId="21781"/>
    <cellStyle name="Comma 10 6 5 2" xfId="21782"/>
    <cellStyle name="Comma 10 6 6" xfId="21783"/>
    <cellStyle name="Comma 10 7" xfId="4646"/>
    <cellStyle name="Comma 10 7 2" xfId="4647"/>
    <cellStyle name="Comma 10 7 2 2" xfId="4648"/>
    <cellStyle name="Comma 10 7 2 2 2" xfId="21784"/>
    <cellStyle name="Comma 10 7 2 2 2 2" xfId="21785"/>
    <cellStyle name="Comma 10 7 2 2 3" xfId="21786"/>
    <cellStyle name="Comma 10 7 2 3" xfId="21787"/>
    <cellStyle name="Comma 10 7 2 3 2" xfId="21788"/>
    <cellStyle name="Comma 10 7 2 4" xfId="21789"/>
    <cellStyle name="Comma 10 7 2 5" xfId="21790"/>
    <cellStyle name="Comma 10 7 3" xfId="4649"/>
    <cellStyle name="Comma 10 7 3 2" xfId="4650"/>
    <cellStyle name="Comma 10 7 3 2 2" xfId="21791"/>
    <cellStyle name="Comma 10 7 3 3" xfId="21792"/>
    <cellStyle name="Comma 10 7 4" xfId="4651"/>
    <cellStyle name="Comma 10 7 4 2" xfId="21793"/>
    <cellStyle name="Comma 10 7 5" xfId="21794"/>
    <cellStyle name="Comma 10 7 6" xfId="21795"/>
    <cellStyle name="Comma 10 8" xfId="4652"/>
    <cellStyle name="Comma 10 8 2" xfId="4653"/>
    <cellStyle name="Comma 10 8 3" xfId="21796"/>
    <cellStyle name="Comma 10 9" xfId="4654"/>
    <cellStyle name="Comma 10 9 2" xfId="4655"/>
    <cellStyle name="Comma 10 9 2 2" xfId="21797"/>
    <cellStyle name="Comma 10 9 2 2 2" xfId="21798"/>
    <cellStyle name="Comma 10 9 2 3" xfId="21799"/>
    <cellStyle name="Comma 10 9 3" xfId="21800"/>
    <cellStyle name="Comma 10 9 3 2" xfId="21801"/>
    <cellStyle name="Comma 10 9 4" xfId="21802"/>
    <cellStyle name="Comma 10 9 5" xfId="21803"/>
    <cellStyle name="Comma 11" xfId="42"/>
    <cellStyle name="Comma 11 10" xfId="4656"/>
    <cellStyle name="Comma 11 10 2" xfId="4657"/>
    <cellStyle name="Comma 11 10 2 2" xfId="21804"/>
    <cellStyle name="Comma 11 10 3" xfId="21805"/>
    <cellStyle name="Comma 11 11" xfId="4658"/>
    <cellStyle name="Comma 11 11 2" xfId="21806"/>
    <cellStyle name="Comma 11 12" xfId="19113"/>
    <cellStyle name="Comma 11 13" xfId="21807"/>
    <cellStyle name="Comma 11 2" xfId="43"/>
    <cellStyle name="Comma 11 2 10" xfId="19114"/>
    <cellStyle name="Comma 11 2 11" xfId="21808"/>
    <cellStyle name="Comma 11 2 12" xfId="21809"/>
    <cellStyle name="Comma 11 2 2" xfId="4659"/>
    <cellStyle name="Comma 11 2 2 2" xfId="4660"/>
    <cellStyle name="Comma 11 2 2 2 2" xfId="4661"/>
    <cellStyle name="Comma 11 2 2 2 2 2" xfId="4662"/>
    <cellStyle name="Comma 11 2 2 2 2 2 2" xfId="21810"/>
    <cellStyle name="Comma 11 2 2 2 2 2 2 2" xfId="21811"/>
    <cellStyle name="Comma 11 2 2 2 2 2 2 2 2" xfId="21812"/>
    <cellStyle name="Comma 11 2 2 2 2 2 2 3" xfId="21813"/>
    <cellStyle name="Comma 11 2 2 2 2 2 3" xfId="21814"/>
    <cellStyle name="Comma 11 2 2 2 2 2 3 2" xfId="21815"/>
    <cellStyle name="Comma 11 2 2 2 2 2 4" xfId="21816"/>
    <cellStyle name="Comma 11 2 2 2 2 2 5" xfId="21817"/>
    <cellStyle name="Comma 11 2 2 2 2 3" xfId="21818"/>
    <cellStyle name="Comma 11 2 2 2 2 3 2" xfId="21819"/>
    <cellStyle name="Comma 11 2 2 2 2 3 2 2" xfId="21820"/>
    <cellStyle name="Comma 11 2 2 2 2 3 3" xfId="21821"/>
    <cellStyle name="Comma 11 2 2 2 2 4" xfId="21822"/>
    <cellStyle name="Comma 11 2 2 2 2 4 2" xfId="21823"/>
    <cellStyle name="Comma 11 2 2 2 2 5" xfId="21824"/>
    <cellStyle name="Comma 11 2 2 2 2 6" xfId="21825"/>
    <cellStyle name="Comma 11 2 2 2 3" xfId="4663"/>
    <cellStyle name="Comma 11 2 2 2 3 2" xfId="4664"/>
    <cellStyle name="Comma 11 2 2 2 3 2 2" xfId="21826"/>
    <cellStyle name="Comma 11 2 2 2 3 2 2 2" xfId="21827"/>
    <cellStyle name="Comma 11 2 2 2 3 2 3" xfId="21828"/>
    <cellStyle name="Comma 11 2 2 2 3 3" xfId="21829"/>
    <cellStyle name="Comma 11 2 2 2 3 3 2" xfId="21830"/>
    <cellStyle name="Comma 11 2 2 2 3 4" xfId="21831"/>
    <cellStyle name="Comma 11 2 2 2 3 5" xfId="21832"/>
    <cellStyle name="Comma 11 2 2 2 4" xfId="4665"/>
    <cellStyle name="Comma 11 2 2 2 4 2" xfId="4666"/>
    <cellStyle name="Comma 11 2 2 2 4 2 2" xfId="21833"/>
    <cellStyle name="Comma 11 2 2 2 4 3" xfId="21834"/>
    <cellStyle name="Comma 11 2 2 2 5" xfId="4667"/>
    <cellStyle name="Comma 11 2 2 2 5 2" xfId="21835"/>
    <cellStyle name="Comma 11 2 2 2 6" xfId="21836"/>
    <cellStyle name="Comma 11 2 2 2 7" xfId="21837"/>
    <cellStyle name="Comma 11 2 2 3" xfId="4668"/>
    <cellStyle name="Comma 11 2 2 3 2" xfId="4669"/>
    <cellStyle name="Comma 11 2 2 3 2 2" xfId="21838"/>
    <cellStyle name="Comma 11 2 2 3 2 2 2" xfId="21839"/>
    <cellStyle name="Comma 11 2 2 3 2 2 2 2" xfId="21840"/>
    <cellStyle name="Comma 11 2 2 3 2 2 3" xfId="21841"/>
    <cellStyle name="Comma 11 2 2 3 2 3" xfId="21842"/>
    <cellStyle name="Comma 11 2 2 3 2 3 2" xfId="21843"/>
    <cellStyle name="Comma 11 2 2 3 2 4" xfId="21844"/>
    <cellStyle name="Comma 11 2 2 3 2 5" xfId="21845"/>
    <cellStyle name="Comma 11 2 2 3 3" xfId="21846"/>
    <cellStyle name="Comma 11 2 2 3 3 2" xfId="21847"/>
    <cellStyle name="Comma 11 2 2 3 3 2 2" xfId="21848"/>
    <cellStyle name="Comma 11 2 2 3 3 3" xfId="21849"/>
    <cellStyle name="Comma 11 2 2 3 4" xfId="21850"/>
    <cellStyle name="Comma 11 2 2 3 4 2" xfId="21851"/>
    <cellStyle name="Comma 11 2 2 3 5" xfId="21852"/>
    <cellStyle name="Comma 11 2 2 3 6" xfId="21853"/>
    <cellStyle name="Comma 11 2 2 4" xfId="4670"/>
    <cellStyle name="Comma 11 2 2 4 2" xfId="4671"/>
    <cellStyle name="Comma 11 2 2 4 2 2" xfId="4672"/>
    <cellStyle name="Comma 11 2 2 4 2 2 2" xfId="21854"/>
    <cellStyle name="Comma 11 2 2 4 2 3" xfId="21855"/>
    <cellStyle name="Comma 11 2 2 4 3" xfId="4673"/>
    <cellStyle name="Comma 11 2 2 4 3 2" xfId="4674"/>
    <cellStyle name="Comma 11 2 2 4 4" xfId="4675"/>
    <cellStyle name="Comma 11 2 2 4 5" xfId="21856"/>
    <cellStyle name="Comma 11 2 2 5" xfId="4676"/>
    <cellStyle name="Comma 11 2 2 5 2" xfId="4677"/>
    <cellStyle name="Comma 11 2 2 6" xfId="4678"/>
    <cellStyle name="Comma 11 2 2 6 2" xfId="4679"/>
    <cellStyle name="Comma 11 2 2 6 2 2" xfId="21857"/>
    <cellStyle name="Comma 11 2 2 6 3" xfId="21858"/>
    <cellStyle name="Comma 11 2 2 7" xfId="4680"/>
    <cellStyle name="Comma 11 2 2 7 2" xfId="21859"/>
    <cellStyle name="Comma 11 2 2 8" xfId="19115"/>
    <cellStyle name="Comma 11 2 2 8 2" xfId="21860"/>
    <cellStyle name="Comma 11 2 2 9" xfId="21861"/>
    <cellStyle name="Comma 11 2 3" xfId="4681"/>
    <cellStyle name="Comma 11 2 3 2" xfId="4682"/>
    <cellStyle name="Comma 11 2 3 2 2" xfId="4683"/>
    <cellStyle name="Comma 11 2 3 2 2 2" xfId="4684"/>
    <cellStyle name="Comma 11 2 3 2 2 2 2" xfId="21862"/>
    <cellStyle name="Comma 11 2 3 2 2 2 2 2" xfId="21863"/>
    <cellStyle name="Comma 11 2 3 2 2 2 3" xfId="21864"/>
    <cellStyle name="Comma 11 2 3 2 2 3" xfId="21865"/>
    <cellStyle name="Comma 11 2 3 2 2 3 2" xfId="21866"/>
    <cellStyle name="Comma 11 2 3 2 2 4" xfId="21867"/>
    <cellStyle name="Comma 11 2 3 2 2 5" xfId="21868"/>
    <cellStyle name="Comma 11 2 3 2 3" xfId="4685"/>
    <cellStyle name="Comma 11 2 3 2 3 2" xfId="4686"/>
    <cellStyle name="Comma 11 2 3 2 3 2 2" xfId="21869"/>
    <cellStyle name="Comma 11 2 3 2 3 3" xfId="21870"/>
    <cellStyle name="Comma 11 2 3 2 4" xfId="4687"/>
    <cellStyle name="Comma 11 2 3 2 4 2" xfId="4688"/>
    <cellStyle name="Comma 11 2 3 2 5" xfId="4689"/>
    <cellStyle name="Comma 11 2 3 2 6" xfId="21871"/>
    <cellStyle name="Comma 11 2 3 3" xfId="4690"/>
    <cellStyle name="Comma 11 2 3 3 2" xfId="4691"/>
    <cellStyle name="Comma 11 2 3 3 2 2" xfId="21872"/>
    <cellStyle name="Comma 11 2 3 3 2 2 2" xfId="21873"/>
    <cellStyle name="Comma 11 2 3 3 2 3" xfId="21874"/>
    <cellStyle name="Comma 11 2 3 3 3" xfId="21875"/>
    <cellStyle name="Comma 11 2 3 3 3 2" xfId="21876"/>
    <cellStyle name="Comma 11 2 3 3 4" xfId="21877"/>
    <cellStyle name="Comma 11 2 3 3 5" xfId="21878"/>
    <cellStyle name="Comma 11 2 3 4" xfId="4692"/>
    <cellStyle name="Comma 11 2 3 4 2" xfId="4693"/>
    <cellStyle name="Comma 11 2 3 4 2 2" xfId="4694"/>
    <cellStyle name="Comma 11 2 3 4 3" xfId="4695"/>
    <cellStyle name="Comma 11 2 3 4 3 2" xfId="4696"/>
    <cellStyle name="Comma 11 2 3 4 4" xfId="4697"/>
    <cellStyle name="Comma 11 2 3 5" xfId="4698"/>
    <cellStyle name="Comma 11 2 3 5 2" xfId="4699"/>
    <cellStyle name="Comma 11 2 3 6" xfId="4700"/>
    <cellStyle name="Comma 11 2 3 6 2" xfId="4701"/>
    <cellStyle name="Comma 11 2 3 7" xfId="4702"/>
    <cellStyle name="Comma 11 2 3 8" xfId="21879"/>
    <cellStyle name="Comma 11 2 4" xfId="4703"/>
    <cellStyle name="Comma 11 2 4 2" xfId="4704"/>
    <cellStyle name="Comma 11 2 4 2 2" xfId="4705"/>
    <cellStyle name="Comma 11 2 4 2 2 2" xfId="21880"/>
    <cellStyle name="Comma 11 2 4 2 2 2 2" xfId="21881"/>
    <cellStyle name="Comma 11 2 4 2 2 3" xfId="21882"/>
    <cellStyle name="Comma 11 2 4 2 3" xfId="21883"/>
    <cellStyle name="Comma 11 2 4 2 3 2" xfId="21884"/>
    <cellStyle name="Comma 11 2 4 2 4" xfId="21885"/>
    <cellStyle name="Comma 11 2 4 2 5" xfId="21886"/>
    <cellStyle name="Comma 11 2 4 3" xfId="4706"/>
    <cellStyle name="Comma 11 2 4 3 2" xfId="4707"/>
    <cellStyle name="Comma 11 2 4 3 2 2" xfId="21887"/>
    <cellStyle name="Comma 11 2 4 3 3" xfId="21888"/>
    <cellStyle name="Comma 11 2 4 4" xfId="4708"/>
    <cellStyle name="Comma 11 2 4 4 2" xfId="4709"/>
    <cellStyle name="Comma 11 2 4 5" xfId="4710"/>
    <cellStyle name="Comma 11 2 4 6" xfId="21889"/>
    <cellStyle name="Comma 11 2 5" xfId="4711"/>
    <cellStyle name="Comma 11 2 5 2" xfId="4712"/>
    <cellStyle name="Comma 11 2 5 3" xfId="21890"/>
    <cellStyle name="Comma 11 2 6" xfId="4713"/>
    <cellStyle name="Comma 11 2 6 2" xfId="4714"/>
    <cellStyle name="Comma 11 2 6 2 2" xfId="4715"/>
    <cellStyle name="Comma 11 2 6 2 2 2" xfId="21891"/>
    <cellStyle name="Comma 11 2 6 2 3" xfId="21892"/>
    <cellStyle name="Comma 11 2 6 3" xfId="4716"/>
    <cellStyle name="Comma 11 2 6 3 2" xfId="4717"/>
    <cellStyle name="Comma 11 2 6 4" xfId="4718"/>
    <cellStyle name="Comma 11 2 6 5" xfId="21893"/>
    <cellStyle name="Comma 11 2 7" xfId="4719"/>
    <cellStyle name="Comma 11 2 7 2" xfId="4720"/>
    <cellStyle name="Comma 11 2 7 2 2" xfId="21894"/>
    <cellStyle name="Comma 11 2 7 3" xfId="21895"/>
    <cellStyle name="Comma 11 2 8" xfId="4721"/>
    <cellStyle name="Comma 11 2 8 2" xfId="4722"/>
    <cellStyle name="Comma 11 2 9" xfId="4723"/>
    <cellStyle name="Comma 11 3" xfId="4724"/>
    <cellStyle name="Comma 11 3 2" xfId="4725"/>
    <cellStyle name="Comma 11 3 2 2" xfId="4726"/>
    <cellStyle name="Comma 11 3 2 2 2" xfId="4727"/>
    <cellStyle name="Comma 11 3 2 2 2 2" xfId="16695"/>
    <cellStyle name="Comma 11 3 2 2 2 2 2" xfId="21896"/>
    <cellStyle name="Comma 11 3 2 2 2 2 2 2" xfId="21897"/>
    <cellStyle name="Comma 11 3 2 2 2 2 2 2 2" xfId="21898"/>
    <cellStyle name="Comma 11 3 2 2 2 2 2 3" xfId="21899"/>
    <cellStyle name="Comma 11 3 2 2 2 2 3" xfId="21900"/>
    <cellStyle name="Comma 11 3 2 2 2 2 3 2" xfId="21901"/>
    <cellStyle name="Comma 11 3 2 2 2 2 4" xfId="21902"/>
    <cellStyle name="Comma 11 3 2 2 2 3" xfId="21903"/>
    <cellStyle name="Comma 11 3 2 2 2 3 2" xfId="21904"/>
    <cellStyle name="Comma 11 3 2 2 2 3 2 2" xfId="21905"/>
    <cellStyle name="Comma 11 3 2 2 2 3 3" xfId="21906"/>
    <cellStyle name="Comma 11 3 2 2 2 4" xfId="21907"/>
    <cellStyle name="Comma 11 3 2 2 2 4 2" xfId="21908"/>
    <cellStyle name="Comma 11 3 2 2 2 5" xfId="21909"/>
    <cellStyle name="Comma 11 3 2 2 3" xfId="16696"/>
    <cellStyle name="Comma 11 3 2 2 3 2" xfId="21910"/>
    <cellStyle name="Comma 11 3 2 2 3 2 2" xfId="21911"/>
    <cellStyle name="Comma 11 3 2 2 3 2 2 2" xfId="21912"/>
    <cellStyle name="Comma 11 3 2 2 3 2 3" xfId="21913"/>
    <cellStyle name="Comma 11 3 2 2 3 3" xfId="21914"/>
    <cellStyle name="Comma 11 3 2 2 3 3 2" xfId="21915"/>
    <cellStyle name="Comma 11 3 2 2 3 4" xfId="21916"/>
    <cellStyle name="Comma 11 3 2 2 4" xfId="21917"/>
    <cellStyle name="Comma 11 3 2 2 4 2" xfId="21918"/>
    <cellStyle name="Comma 11 3 2 2 4 2 2" xfId="21919"/>
    <cellStyle name="Comma 11 3 2 2 4 3" xfId="21920"/>
    <cellStyle name="Comma 11 3 2 2 5" xfId="21921"/>
    <cellStyle name="Comma 11 3 2 2 5 2" xfId="21922"/>
    <cellStyle name="Comma 11 3 2 2 6" xfId="21923"/>
    <cellStyle name="Comma 11 3 2 3" xfId="4728"/>
    <cellStyle name="Comma 11 3 2 3 2" xfId="4729"/>
    <cellStyle name="Comma 11 3 2 3 2 2" xfId="21924"/>
    <cellStyle name="Comma 11 3 2 3 2 2 2" xfId="21925"/>
    <cellStyle name="Comma 11 3 2 3 2 2 2 2" xfId="21926"/>
    <cellStyle name="Comma 11 3 2 3 2 2 3" xfId="21927"/>
    <cellStyle name="Comma 11 3 2 3 2 3" xfId="21928"/>
    <cellStyle name="Comma 11 3 2 3 2 3 2" xfId="21929"/>
    <cellStyle name="Comma 11 3 2 3 2 4" xfId="21930"/>
    <cellStyle name="Comma 11 3 2 3 2 5" xfId="21931"/>
    <cellStyle name="Comma 11 3 2 3 3" xfId="21932"/>
    <cellStyle name="Comma 11 3 2 3 3 2" xfId="21933"/>
    <cellStyle name="Comma 11 3 2 3 3 2 2" xfId="21934"/>
    <cellStyle name="Comma 11 3 2 3 3 3" xfId="21935"/>
    <cellStyle name="Comma 11 3 2 3 4" xfId="21936"/>
    <cellStyle name="Comma 11 3 2 3 4 2" xfId="21937"/>
    <cellStyle name="Comma 11 3 2 3 5" xfId="21938"/>
    <cellStyle name="Comma 11 3 2 3 6" xfId="21939"/>
    <cellStyle name="Comma 11 3 2 4" xfId="4730"/>
    <cellStyle name="Comma 11 3 2 4 2" xfId="4731"/>
    <cellStyle name="Comma 11 3 2 4 2 2" xfId="21940"/>
    <cellStyle name="Comma 11 3 2 4 2 2 2" xfId="21941"/>
    <cellStyle name="Comma 11 3 2 4 2 3" xfId="21942"/>
    <cellStyle name="Comma 11 3 2 4 3" xfId="21943"/>
    <cellStyle name="Comma 11 3 2 4 3 2" xfId="21944"/>
    <cellStyle name="Comma 11 3 2 4 4" xfId="21945"/>
    <cellStyle name="Comma 11 3 2 4 5" xfId="21946"/>
    <cellStyle name="Comma 11 3 2 5" xfId="4732"/>
    <cellStyle name="Comma 11 3 2 5 2" xfId="21947"/>
    <cellStyle name="Comma 11 3 2 5 2 2" xfId="21948"/>
    <cellStyle name="Comma 11 3 2 5 3" xfId="21949"/>
    <cellStyle name="Comma 11 3 2 6" xfId="19117"/>
    <cellStyle name="Comma 11 3 2 6 2" xfId="21950"/>
    <cellStyle name="Comma 11 3 2 7" xfId="21951"/>
    <cellStyle name="Comma 11 3 3" xfId="4733"/>
    <cellStyle name="Comma 11 3 3 2" xfId="4734"/>
    <cellStyle name="Comma 11 3 3 2 2" xfId="16697"/>
    <cellStyle name="Comma 11 3 3 2 2 2" xfId="21952"/>
    <cellStyle name="Comma 11 3 3 2 2 2 2" xfId="21953"/>
    <cellStyle name="Comma 11 3 3 2 2 2 2 2" xfId="21954"/>
    <cellStyle name="Comma 11 3 3 2 2 2 3" xfId="21955"/>
    <cellStyle name="Comma 11 3 3 2 2 3" xfId="21956"/>
    <cellStyle name="Comma 11 3 3 2 2 3 2" xfId="21957"/>
    <cellStyle name="Comma 11 3 3 2 2 4" xfId="21958"/>
    <cellStyle name="Comma 11 3 3 2 3" xfId="21959"/>
    <cellStyle name="Comma 11 3 3 2 3 2" xfId="21960"/>
    <cellStyle name="Comma 11 3 3 2 3 2 2" xfId="21961"/>
    <cellStyle name="Comma 11 3 3 2 3 3" xfId="21962"/>
    <cellStyle name="Comma 11 3 3 2 4" xfId="21963"/>
    <cellStyle name="Comma 11 3 3 2 4 2" xfId="21964"/>
    <cellStyle name="Comma 11 3 3 2 5" xfId="21965"/>
    <cellStyle name="Comma 11 3 3 3" xfId="16698"/>
    <cellStyle name="Comma 11 3 3 3 2" xfId="21966"/>
    <cellStyle name="Comma 11 3 3 3 2 2" xfId="21967"/>
    <cellStyle name="Comma 11 3 3 3 2 2 2" xfId="21968"/>
    <cellStyle name="Comma 11 3 3 3 2 3" xfId="21969"/>
    <cellStyle name="Comma 11 3 3 3 3" xfId="21970"/>
    <cellStyle name="Comma 11 3 3 3 3 2" xfId="21971"/>
    <cellStyle name="Comma 11 3 3 3 4" xfId="21972"/>
    <cellStyle name="Comma 11 3 3 4" xfId="21973"/>
    <cellStyle name="Comma 11 3 3 4 2" xfId="21974"/>
    <cellStyle name="Comma 11 3 3 4 2 2" xfId="21975"/>
    <cellStyle name="Comma 11 3 3 4 3" xfId="21976"/>
    <cellStyle name="Comma 11 3 3 5" xfId="21977"/>
    <cellStyle name="Comma 11 3 3 5 2" xfId="21978"/>
    <cellStyle name="Comma 11 3 3 6" xfId="21979"/>
    <cellStyle name="Comma 11 3 4" xfId="4735"/>
    <cellStyle name="Comma 11 3 4 2" xfId="4736"/>
    <cellStyle name="Comma 11 3 4 2 2" xfId="4737"/>
    <cellStyle name="Comma 11 3 4 2 2 2" xfId="21980"/>
    <cellStyle name="Comma 11 3 4 2 2 2 2" xfId="21981"/>
    <cellStyle name="Comma 11 3 4 2 2 3" xfId="21982"/>
    <cellStyle name="Comma 11 3 4 2 3" xfId="21983"/>
    <cellStyle name="Comma 11 3 4 2 3 2" xfId="21984"/>
    <cellStyle name="Comma 11 3 4 2 4" xfId="21985"/>
    <cellStyle name="Comma 11 3 4 2 5" xfId="21986"/>
    <cellStyle name="Comma 11 3 4 3" xfId="4738"/>
    <cellStyle name="Comma 11 3 4 3 2" xfId="4739"/>
    <cellStyle name="Comma 11 3 4 3 2 2" xfId="21987"/>
    <cellStyle name="Comma 11 3 4 3 3" xfId="21988"/>
    <cellStyle name="Comma 11 3 4 4" xfId="4740"/>
    <cellStyle name="Comma 11 3 4 4 2" xfId="21989"/>
    <cellStyle name="Comma 11 3 4 5" xfId="21990"/>
    <cellStyle name="Comma 11 3 4 6" xfId="21991"/>
    <cellStyle name="Comma 11 3 5" xfId="4741"/>
    <cellStyle name="Comma 11 3 5 2" xfId="4742"/>
    <cellStyle name="Comma 11 3 5 2 2" xfId="21992"/>
    <cellStyle name="Comma 11 3 5 2 2 2" xfId="21993"/>
    <cellStyle name="Comma 11 3 5 2 3" xfId="21994"/>
    <cellStyle name="Comma 11 3 5 3" xfId="21995"/>
    <cellStyle name="Comma 11 3 5 3 2" xfId="21996"/>
    <cellStyle name="Comma 11 3 5 4" xfId="21997"/>
    <cellStyle name="Comma 11 3 5 5" xfId="21998"/>
    <cellStyle name="Comma 11 3 6" xfId="4743"/>
    <cellStyle name="Comma 11 3 6 2" xfId="4744"/>
    <cellStyle name="Comma 11 3 7" xfId="4745"/>
    <cellStyle name="Comma 11 3 7 2" xfId="21999"/>
    <cellStyle name="Comma 11 3 7 2 2" xfId="22000"/>
    <cellStyle name="Comma 11 3 7 3" xfId="22001"/>
    <cellStyle name="Comma 11 3 8" xfId="19116"/>
    <cellStyle name="Comma 11 3 8 2" xfId="22002"/>
    <cellStyle name="Comma 11 3 9" xfId="22003"/>
    <cellStyle name="Comma 11 4" xfId="4746"/>
    <cellStyle name="Comma 11 4 2" xfId="4747"/>
    <cellStyle name="Comma 11 4 2 2" xfId="4748"/>
    <cellStyle name="Comma 11 4 2 2 2" xfId="4749"/>
    <cellStyle name="Comma 11 4 2 2 2 2" xfId="22004"/>
    <cellStyle name="Comma 11 4 2 2 2 2 2" xfId="22005"/>
    <cellStyle name="Comma 11 4 2 2 2 2 2 2" xfId="22006"/>
    <cellStyle name="Comma 11 4 2 2 2 2 3" xfId="22007"/>
    <cellStyle name="Comma 11 4 2 2 2 3" xfId="22008"/>
    <cellStyle name="Comma 11 4 2 2 2 3 2" xfId="22009"/>
    <cellStyle name="Comma 11 4 2 2 2 4" xfId="22010"/>
    <cellStyle name="Comma 11 4 2 2 2 5" xfId="22011"/>
    <cellStyle name="Comma 11 4 2 2 3" xfId="22012"/>
    <cellStyle name="Comma 11 4 2 2 3 2" xfId="22013"/>
    <cellStyle name="Comma 11 4 2 2 3 2 2" xfId="22014"/>
    <cellStyle name="Comma 11 4 2 2 3 3" xfId="22015"/>
    <cellStyle name="Comma 11 4 2 2 4" xfId="22016"/>
    <cellStyle name="Comma 11 4 2 2 4 2" xfId="22017"/>
    <cellStyle name="Comma 11 4 2 2 5" xfId="22018"/>
    <cellStyle name="Comma 11 4 2 2 6" xfId="22019"/>
    <cellStyle name="Comma 11 4 2 3" xfId="4750"/>
    <cellStyle name="Comma 11 4 2 3 2" xfId="4751"/>
    <cellStyle name="Comma 11 4 2 3 2 2" xfId="22020"/>
    <cellStyle name="Comma 11 4 2 3 2 2 2" xfId="22021"/>
    <cellStyle name="Comma 11 4 2 3 2 3" xfId="22022"/>
    <cellStyle name="Comma 11 4 2 3 3" xfId="22023"/>
    <cellStyle name="Comma 11 4 2 3 3 2" xfId="22024"/>
    <cellStyle name="Comma 11 4 2 3 4" xfId="22025"/>
    <cellStyle name="Comma 11 4 2 3 5" xfId="22026"/>
    <cellStyle name="Comma 11 4 2 4" xfId="4752"/>
    <cellStyle name="Comma 11 4 2 4 2" xfId="4753"/>
    <cellStyle name="Comma 11 4 2 4 2 2" xfId="22027"/>
    <cellStyle name="Comma 11 4 2 4 3" xfId="22028"/>
    <cellStyle name="Comma 11 4 2 5" xfId="4754"/>
    <cellStyle name="Comma 11 4 2 5 2" xfId="22029"/>
    <cellStyle name="Comma 11 4 2 6" xfId="22030"/>
    <cellStyle name="Comma 11 4 2 7" xfId="22031"/>
    <cellStyle name="Comma 11 4 3" xfId="4755"/>
    <cellStyle name="Comma 11 4 3 2" xfId="4756"/>
    <cellStyle name="Comma 11 4 3 2 2" xfId="22032"/>
    <cellStyle name="Comma 11 4 3 2 2 2" xfId="22033"/>
    <cellStyle name="Comma 11 4 3 2 2 2 2" xfId="22034"/>
    <cellStyle name="Comma 11 4 3 2 2 3" xfId="22035"/>
    <cellStyle name="Comma 11 4 3 2 3" xfId="22036"/>
    <cellStyle name="Comma 11 4 3 2 3 2" xfId="22037"/>
    <cellStyle name="Comma 11 4 3 2 4" xfId="22038"/>
    <cellStyle name="Comma 11 4 3 2 5" xfId="22039"/>
    <cellStyle name="Comma 11 4 3 3" xfId="22040"/>
    <cellStyle name="Comma 11 4 3 3 2" xfId="22041"/>
    <cellStyle name="Comma 11 4 3 3 2 2" xfId="22042"/>
    <cellStyle name="Comma 11 4 3 3 3" xfId="22043"/>
    <cellStyle name="Comma 11 4 3 4" xfId="22044"/>
    <cellStyle name="Comma 11 4 3 4 2" xfId="22045"/>
    <cellStyle name="Comma 11 4 3 5" xfId="22046"/>
    <cellStyle name="Comma 11 4 3 6" xfId="22047"/>
    <cellStyle name="Comma 11 4 4" xfId="4757"/>
    <cellStyle name="Comma 11 4 4 2" xfId="4758"/>
    <cellStyle name="Comma 11 4 4 2 2" xfId="4759"/>
    <cellStyle name="Comma 11 4 4 2 2 2" xfId="22048"/>
    <cellStyle name="Comma 11 4 4 2 3" xfId="22049"/>
    <cellStyle name="Comma 11 4 4 3" xfId="4760"/>
    <cellStyle name="Comma 11 4 4 3 2" xfId="4761"/>
    <cellStyle name="Comma 11 4 4 4" xfId="4762"/>
    <cellStyle name="Comma 11 4 4 5" xfId="22050"/>
    <cellStyle name="Comma 11 4 5" xfId="4763"/>
    <cellStyle name="Comma 11 4 5 2" xfId="4764"/>
    <cellStyle name="Comma 11 4 5 2 2" xfId="22051"/>
    <cellStyle name="Comma 11 4 5 3" xfId="22052"/>
    <cellStyle name="Comma 11 4 6" xfId="4765"/>
    <cellStyle name="Comma 11 4 6 2" xfId="4766"/>
    <cellStyle name="Comma 11 4 7" xfId="4767"/>
    <cellStyle name="Comma 11 4 8" xfId="19118"/>
    <cellStyle name="Comma 11 5" xfId="4768"/>
    <cellStyle name="Comma 11 5 2" xfId="4769"/>
    <cellStyle name="Comma 11 5 2 2" xfId="4770"/>
    <cellStyle name="Comma 11 5 2 2 2" xfId="22053"/>
    <cellStyle name="Comma 11 5 2 2 2 2" xfId="22054"/>
    <cellStyle name="Comma 11 5 2 2 2 2 2" xfId="22055"/>
    <cellStyle name="Comma 11 5 2 2 2 3" xfId="22056"/>
    <cellStyle name="Comma 11 5 2 2 3" xfId="22057"/>
    <cellStyle name="Comma 11 5 2 2 3 2" xfId="22058"/>
    <cellStyle name="Comma 11 5 2 2 4" xfId="22059"/>
    <cellStyle name="Comma 11 5 2 2 5" xfId="22060"/>
    <cellStyle name="Comma 11 5 2 3" xfId="22061"/>
    <cellStyle name="Comma 11 5 2 3 2" xfId="22062"/>
    <cellStyle name="Comma 11 5 2 3 2 2" xfId="22063"/>
    <cellStyle name="Comma 11 5 2 3 3" xfId="22064"/>
    <cellStyle name="Comma 11 5 2 4" xfId="22065"/>
    <cellStyle name="Comma 11 5 2 4 2" xfId="22066"/>
    <cellStyle name="Comma 11 5 2 5" xfId="22067"/>
    <cellStyle name="Comma 11 5 2 6" xfId="22068"/>
    <cellStyle name="Comma 11 5 3" xfId="4771"/>
    <cellStyle name="Comma 11 5 3 2" xfId="4772"/>
    <cellStyle name="Comma 11 5 3 2 2" xfId="22069"/>
    <cellStyle name="Comma 11 5 3 2 2 2" xfId="22070"/>
    <cellStyle name="Comma 11 5 3 2 3" xfId="22071"/>
    <cellStyle name="Comma 11 5 3 3" xfId="22072"/>
    <cellStyle name="Comma 11 5 3 3 2" xfId="22073"/>
    <cellStyle name="Comma 11 5 3 4" xfId="22074"/>
    <cellStyle name="Comma 11 5 3 5" xfId="22075"/>
    <cellStyle name="Comma 11 5 4" xfId="4773"/>
    <cellStyle name="Comma 11 5 4 2" xfId="4774"/>
    <cellStyle name="Comma 11 5 4 2 2" xfId="22076"/>
    <cellStyle name="Comma 11 5 4 3" xfId="22077"/>
    <cellStyle name="Comma 11 5 5" xfId="4775"/>
    <cellStyle name="Comma 11 5 5 2" xfId="22078"/>
    <cellStyle name="Comma 11 5 6" xfId="22079"/>
    <cellStyle name="Comma 11 5 7" xfId="22080"/>
    <cellStyle name="Comma 11 6" xfId="4776"/>
    <cellStyle name="Comma 11 6 2" xfId="4777"/>
    <cellStyle name="Comma 11 6 2 2" xfId="22081"/>
    <cellStyle name="Comma 11 6 2 2 2" xfId="22082"/>
    <cellStyle name="Comma 11 6 2 2 2 2" xfId="22083"/>
    <cellStyle name="Comma 11 6 2 2 3" xfId="22084"/>
    <cellStyle name="Comma 11 6 2 3" xfId="22085"/>
    <cellStyle name="Comma 11 6 2 3 2" xfId="22086"/>
    <cellStyle name="Comma 11 6 2 4" xfId="22087"/>
    <cellStyle name="Comma 11 6 2 5" xfId="22088"/>
    <cellStyle name="Comma 11 6 3" xfId="22089"/>
    <cellStyle name="Comma 11 6 3 2" xfId="22090"/>
    <cellStyle name="Comma 11 6 3 2 2" xfId="22091"/>
    <cellStyle name="Comma 11 6 3 3" xfId="22092"/>
    <cellStyle name="Comma 11 6 4" xfId="22093"/>
    <cellStyle name="Comma 11 6 4 2" xfId="22094"/>
    <cellStyle name="Comma 11 6 5" xfId="22095"/>
    <cellStyle name="Comma 11 6 6" xfId="22096"/>
    <cellStyle name="Comma 11 7" xfId="4778"/>
    <cellStyle name="Comma 11 7 2" xfId="4779"/>
    <cellStyle name="Comma 11 7 2 2" xfId="4780"/>
    <cellStyle name="Comma 11 7 3" xfId="4781"/>
    <cellStyle name="Comma 11 7 3 2" xfId="4782"/>
    <cellStyle name="Comma 11 7 4" xfId="4783"/>
    <cellStyle name="Comma 11 7 5" xfId="22097"/>
    <cellStyle name="Comma 11 8" xfId="4784"/>
    <cellStyle name="Comma 11 8 2" xfId="4785"/>
    <cellStyle name="Comma 11 8 2 2" xfId="22098"/>
    <cellStyle name="Comma 11 8 2 2 2" xfId="22099"/>
    <cellStyle name="Comma 11 8 2 3" xfId="22100"/>
    <cellStyle name="Comma 11 8 3" xfId="22101"/>
    <cellStyle name="Comma 11 8 3 2" xfId="22102"/>
    <cellStyle name="Comma 11 8 4" xfId="22103"/>
    <cellStyle name="Comma 11 8 5" xfId="22104"/>
    <cellStyle name="Comma 11 9" xfId="4786"/>
    <cellStyle name="Comma 11 9 2" xfId="4787"/>
    <cellStyle name="Comma 11 9 3" xfId="22105"/>
    <cellStyle name="Comma 12" xfId="4788"/>
    <cellStyle name="Comma 12 10" xfId="4789"/>
    <cellStyle name="Comma 12 10 2" xfId="22106"/>
    <cellStyle name="Comma 12 10 2 2" xfId="22107"/>
    <cellStyle name="Comma 12 11" xfId="4790"/>
    <cellStyle name="Comma 12 12" xfId="22108"/>
    <cellStyle name="Comma 12 13" xfId="22109"/>
    <cellStyle name="Comma 12 2" xfId="4791"/>
    <cellStyle name="Comma 12 2 10" xfId="22110"/>
    <cellStyle name="Comma 12 2 11" xfId="22111"/>
    <cellStyle name="Comma 12 2 2" xfId="4792"/>
    <cellStyle name="Comma 12 2 2 2" xfId="4793"/>
    <cellStyle name="Comma 12 2 2 2 2" xfId="4794"/>
    <cellStyle name="Comma 12 2 2 2 2 2" xfId="4795"/>
    <cellStyle name="Comma 12 2 2 2 2 2 2" xfId="22112"/>
    <cellStyle name="Comma 12 2 2 2 2 2 2 2" xfId="22113"/>
    <cellStyle name="Comma 12 2 2 2 2 2 2 2 2" xfId="22114"/>
    <cellStyle name="Comma 12 2 2 2 2 2 2 3" xfId="22115"/>
    <cellStyle name="Comma 12 2 2 2 2 2 3" xfId="22116"/>
    <cellStyle name="Comma 12 2 2 2 2 2 3 2" xfId="22117"/>
    <cellStyle name="Comma 12 2 2 2 2 2 4" xfId="22118"/>
    <cellStyle name="Comma 12 2 2 2 2 2 5" xfId="22119"/>
    <cellStyle name="Comma 12 2 2 2 2 3" xfId="22120"/>
    <cellStyle name="Comma 12 2 2 2 2 3 2" xfId="22121"/>
    <cellStyle name="Comma 12 2 2 2 2 3 2 2" xfId="22122"/>
    <cellStyle name="Comma 12 2 2 2 2 3 3" xfId="22123"/>
    <cellStyle name="Comma 12 2 2 2 2 4" xfId="22124"/>
    <cellStyle name="Comma 12 2 2 2 2 4 2" xfId="22125"/>
    <cellStyle name="Comma 12 2 2 2 2 5" xfId="22126"/>
    <cellStyle name="Comma 12 2 2 2 2 6" xfId="22127"/>
    <cellStyle name="Comma 12 2 2 2 3" xfId="4796"/>
    <cellStyle name="Comma 12 2 2 2 3 2" xfId="4797"/>
    <cellStyle name="Comma 12 2 2 2 3 2 2" xfId="22128"/>
    <cellStyle name="Comma 12 2 2 2 3 2 2 2" xfId="22129"/>
    <cellStyle name="Comma 12 2 2 2 3 2 3" xfId="22130"/>
    <cellStyle name="Comma 12 2 2 2 3 3" xfId="22131"/>
    <cellStyle name="Comma 12 2 2 2 3 3 2" xfId="22132"/>
    <cellStyle name="Comma 12 2 2 2 3 4" xfId="22133"/>
    <cellStyle name="Comma 12 2 2 2 3 5" xfId="22134"/>
    <cellStyle name="Comma 12 2 2 2 4" xfId="4798"/>
    <cellStyle name="Comma 12 2 2 2 4 2" xfId="4799"/>
    <cellStyle name="Comma 12 2 2 2 4 2 2" xfId="22135"/>
    <cellStyle name="Comma 12 2 2 2 4 3" xfId="22136"/>
    <cellStyle name="Comma 12 2 2 2 5" xfId="4800"/>
    <cellStyle name="Comma 12 2 2 2 5 2" xfId="22137"/>
    <cellStyle name="Comma 12 2 2 2 6" xfId="22138"/>
    <cellStyle name="Comma 12 2 2 2 7" xfId="22139"/>
    <cellStyle name="Comma 12 2 2 3" xfId="4801"/>
    <cellStyle name="Comma 12 2 2 3 2" xfId="4802"/>
    <cellStyle name="Comma 12 2 2 3 2 2" xfId="22140"/>
    <cellStyle name="Comma 12 2 2 3 2 2 2" xfId="22141"/>
    <cellStyle name="Comma 12 2 2 3 2 2 2 2" xfId="22142"/>
    <cellStyle name="Comma 12 2 2 3 2 2 3" xfId="22143"/>
    <cellStyle name="Comma 12 2 2 3 2 3" xfId="22144"/>
    <cellStyle name="Comma 12 2 2 3 2 3 2" xfId="22145"/>
    <cellStyle name="Comma 12 2 2 3 2 4" xfId="22146"/>
    <cellStyle name="Comma 12 2 2 3 2 5" xfId="22147"/>
    <cellStyle name="Comma 12 2 2 3 3" xfId="22148"/>
    <cellStyle name="Comma 12 2 2 3 3 2" xfId="22149"/>
    <cellStyle name="Comma 12 2 2 3 3 2 2" xfId="22150"/>
    <cellStyle name="Comma 12 2 2 3 3 3" xfId="22151"/>
    <cellStyle name="Comma 12 2 2 3 4" xfId="22152"/>
    <cellStyle name="Comma 12 2 2 3 4 2" xfId="22153"/>
    <cellStyle name="Comma 12 2 2 3 5" xfId="22154"/>
    <cellStyle name="Comma 12 2 2 3 6" xfId="22155"/>
    <cellStyle name="Comma 12 2 2 4" xfId="4803"/>
    <cellStyle name="Comma 12 2 2 4 2" xfId="4804"/>
    <cellStyle name="Comma 12 2 2 4 2 2" xfId="4805"/>
    <cellStyle name="Comma 12 2 2 4 2 2 2" xfId="22156"/>
    <cellStyle name="Comma 12 2 2 4 2 3" xfId="22157"/>
    <cellStyle name="Comma 12 2 2 4 3" xfId="4806"/>
    <cellStyle name="Comma 12 2 2 4 3 2" xfId="4807"/>
    <cellStyle name="Comma 12 2 2 4 4" xfId="4808"/>
    <cellStyle name="Comma 12 2 2 4 5" xfId="22158"/>
    <cellStyle name="Comma 12 2 2 5" xfId="4809"/>
    <cellStyle name="Comma 12 2 2 5 2" xfId="4810"/>
    <cellStyle name="Comma 12 2 2 6" xfId="4811"/>
    <cellStyle name="Comma 12 2 2 6 2" xfId="4812"/>
    <cellStyle name="Comma 12 2 2 6 2 2" xfId="22159"/>
    <cellStyle name="Comma 12 2 2 6 3" xfId="22160"/>
    <cellStyle name="Comma 12 2 2 7" xfId="4813"/>
    <cellStyle name="Comma 12 2 2 7 2" xfId="22161"/>
    <cellStyle name="Comma 12 2 2 8" xfId="19120"/>
    <cellStyle name="Comma 12 2 2 9" xfId="22162"/>
    <cellStyle name="Comma 12 2 3" xfId="4814"/>
    <cellStyle name="Comma 12 2 3 2" xfId="4815"/>
    <cellStyle name="Comma 12 2 3 2 2" xfId="4816"/>
    <cellStyle name="Comma 12 2 3 2 2 2" xfId="22163"/>
    <cellStyle name="Comma 12 2 3 2 2 2 2" xfId="22164"/>
    <cellStyle name="Comma 12 2 3 2 2 2 2 2" xfId="22165"/>
    <cellStyle name="Comma 12 2 3 2 2 2 3" xfId="22166"/>
    <cellStyle name="Comma 12 2 3 2 2 3" xfId="22167"/>
    <cellStyle name="Comma 12 2 3 2 2 3 2" xfId="22168"/>
    <cellStyle name="Comma 12 2 3 2 2 4" xfId="22169"/>
    <cellStyle name="Comma 12 2 3 2 2 5" xfId="22170"/>
    <cellStyle name="Comma 12 2 3 2 3" xfId="22171"/>
    <cellStyle name="Comma 12 2 3 2 3 2" xfId="22172"/>
    <cellStyle name="Comma 12 2 3 2 3 2 2" xfId="22173"/>
    <cellStyle name="Comma 12 2 3 2 3 3" xfId="22174"/>
    <cellStyle name="Comma 12 2 3 2 4" xfId="22175"/>
    <cellStyle name="Comma 12 2 3 2 4 2" xfId="22176"/>
    <cellStyle name="Comma 12 2 3 2 5" xfId="22177"/>
    <cellStyle name="Comma 12 2 3 2 6" xfId="22178"/>
    <cellStyle name="Comma 12 2 3 3" xfId="4817"/>
    <cellStyle name="Comma 12 2 3 3 2" xfId="4818"/>
    <cellStyle name="Comma 12 2 3 3 2 2" xfId="22179"/>
    <cellStyle name="Comma 12 2 3 3 2 2 2" xfId="22180"/>
    <cellStyle name="Comma 12 2 3 3 2 3" xfId="22181"/>
    <cellStyle name="Comma 12 2 3 3 3" xfId="22182"/>
    <cellStyle name="Comma 12 2 3 3 3 2" xfId="22183"/>
    <cellStyle name="Comma 12 2 3 3 4" xfId="22184"/>
    <cellStyle name="Comma 12 2 3 3 5" xfId="22185"/>
    <cellStyle name="Comma 12 2 3 4" xfId="4819"/>
    <cellStyle name="Comma 12 2 3 4 2" xfId="4820"/>
    <cellStyle name="Comma 12 2 3 4 2 2" xfId="22186"/>
    <cellStyle name="Comma 12 2 3 4 3" xfId="22187"/>
    <cellStyle name="Comma 12 2 3 5" xfId="4821"/>
    <cellStyle name="Comma 12 2 3 5 2" xfId="22188"/>
    <cellStyle name="Comma 12 2 3 6" xfId="22189"/>
    <cellStyle name="Comma 12 2 3 7" xfId="22190"/>
    <cellStyle name="Comma 12 2 4" xfId="4822"/>
    <cellStyle name="Comma 12 2 4 2" xfId="4823"/>
    <cellStyle name="Comma 12 2 4 2 2" xfId="22191"/>
    <cellStyle name="Comma 12 2 4 2 2 2" xfId="22192"/>
    <cellStyle name="Comma 12 2 4 2 2 2 2" xfId="22193"/>
    <cellStyle name="Comma 12 2 4 2 2 3" xfId="22194"/>
    <cellStyle name="Comma 12 2 4 2 3" xfId="22195"/>
    <cellStyle name="Comma 12 2 4 2 3 2" xfId="22196"/>
    <cellStyle name="Comma 12 2 4 2 4" xfId="22197"/>
    <cellStyle name="Comma 12 2 4 2 5" xfId="22198"/>
    <cellStyle name="Comma 12 2 4 3" xfId="22199"/>
    <cellStyle name="Comma 12 2 4 3 2" xfId="22200"/>
    <cellStyle name="Comma 12 2 4 3 2 2" xfId="22201"/>
    <cellStyle name="Comma 12 2 4 3 3" xfId="22202"/>
    <cellStyle name="Comma 12 2 4 4" xfId="22203"/>
    <cellStyle name="Comma 12 2 4 4 2" xfId="22204"/>
    <cellStyle name="Comma 12 2 4 5" xfId="22205"/>
    <cellStyle name="Comma 12 2 4 6" xfId="22206"/>
    <cellStyle name="Comma 12 2 5" xfId="4824"/>
    <cellStyle name="Comma 12 2 5 2" xfId="4825"/>
    <cellStyle name="Comma 12 2 5 2 2" xfId="4826"/>
    <cellStyle name="Comma 12 2 5 3" xfId="4827"/>
    <cellStyle name="Comma 12 2 5 3 2" xfId="4828"/>
    <cellStyle name="Comma 12 2 5 4" xfId="4829"/>
    <cellStyle name="Comma 12 2 5 5" xfId="22207"/>
    <cellStyle name="Comma 12 2 6" xfId="4830"/>
    <cellStyle name="Comma 12 2 6 2" xfId="4831"/>
    <cellStyle name="Comma 12 2 6 2 2" xfId="22208"/>
    <cellStyle name="Comma 12 2 6 2 2 2" xfId="22209"/>
    <cellStyle name="Comma 12 2 6 2 3" xfId="22210"/>
    <cellStyle name="Comma 12 2 6 3" xfId="22211"/>
    <cellStyle name="Comma 12 2 6 3 2" xfId="22212"/>
    <cellStyle name="Comma 12 2 6 4" xfId="22213"/>
    <cellStyle name="Comma 12 2 6 5" xfId="22214"/>
    <cellStyle name="Comma 12 2 7" xfId="4832"/>
    <cellStyle name="Comma 12 2 7 2" xfId="4833"/>
    <cellStyle name="Comma 12 2 7 2 2" xfId="22215"/>
    <cellStyle name="Comma 12 2 7 3" xfId="22216"/>
    <cellStyle name="Comma 12 2 8" xfId="4834"/>
    <cellStyle name="Comma 12 2 8 2" xfId="22217"/>
    <cellStyle name="Comma 12 2 9" xfId="19119"/>
    <cellStyle name="Comma 12 3" xfId="4835"/>
    <cellStyle name="Comma 12 3 10" xfId="22218"/>
    <cellStyle name="Comma 12 3 2" xfId="4836"/>
    <cellStyle name="Comma 12 3 2 2" xfId="4837"/>
    <cellStyle name="Comma 12 3 2 2 2" xfId="16699"/>
    <cellStyle name="Comma 12 3 2 2 2 2" xfId="16700"/>
    <cellStyle name="Comma 12 3 2 2 2 2 2" xfId="22219"/>
    <cellStyle name="Comma 12 3 2 2 2 2 2 2" xfId="22220"/>
    <cellStyle name="Comma 12 3 2 2 2 2 2 2 2" xfId="22221"/>
    <cellStyle name="Comma 12 3 2 2 2 2 2 3" xfId="22222"/>
    <cellStyle name="Comma 12 3 2 2 2 2 3" xfId="22223"/>
    <cellStyle name="Comma 12 3 2 2 2 2 3 2" xfId="22224"/>
    <cellStyle name="Comma 12 3 2 2 2 2 4" xfId="22225"/>
    <cellStyle name="Comma 12 3 2 2 2 3" xfId="22226"/>
    <cellStyle name="Comma 12 3 2 2 2 3 2" xfId="22227"/>
    <cellStyle name="Comma 12 3 2 2 2 3 2 2" xfId="22228"/>
    <cellStyle name="Comma 12 3 2 2 2 3 3" xfId="22229"/>
    <cellStyle name="Comma 12 3 2 2 2 4" xfId="22230"/>
    <cellStyle name="Comma 12 3 2 2 2 4 2" xfId="22231"/>
    <cellStyle name="Comma 12 3 2 2 2 5" xfId="22232"/>
    <cellStyle name="Comma 12 3 2 2 3" xfId="16701"/>
    <cellStyle name="Comma 12 3 2 2 3 2" xfId="22233"/>
    <cellStyle name="Comma 12 3 2 2 3 2 2" xfId="22234"/>
    <cellStyle name="Comma 12 3 2 2 3 2 2 2" xfId="22235"/>
    <cellStyle name="Comma 12 3 2 2 3 2 3" xfId="22236"/>
    <cellStyle name="Comma 12 3 2 2 3 3" xfId="22237"/>
    <cellStyle name="Comma 12 3 2 2 3 3 2" xfId="22238"/>
    <cellStyle name="Comma 12 3 2 2 3 4" xfId="22239"/>
    <cellStyle name="Comma 12 3 2 2 4" xfId="22240"/>
    <cellStyle name="Comma 12 3 2 2 4 2" xfId="22241"/>
    <cellStyle name="Comma 12 3 2 2 4 2 2" xfId="22242"/>
    <cellStyle name="Comma 12 3 2 2 4 3" xfId="22243"/>
    <cellStyle name="Comma 12 3 2 2 5" xfId="22244"/>
    <cellStyle name="Comma 12 3 2 2 5 2" xfId="22245"/>
    <cellStyle name="Comma 12 3 2 2 6" xfId="22246"/>
    <cellStyle name="Comma 12 3 2 3" xfId="16702"/>
    <cellStyle name="Comma 12 3 2 3 2" xfId="16703"/>
    <cellStyle name="Comma 12 3 2 3 2 2" xfId="22247"/>
    <cellStyle name="Comma 12 3 2 3 2 2 2" xfId="22248"/>
    <cellStyle name="Comma 12 3 2 3 2 2 2 2" xfId="22249"/>
    <cellStyle name="Comma 12 3 2 3 2 2 3" xfId="22250"/>
    <cellStyle name="Comma 12 3 2 3 2 3" xfId="22251"/>
    <cellStyle name="Comma 12 3 2 3 2 3 2" xfId="22252"/>
    <cellStyle name="Comma 12 3 2 3 2 4" xfId="22253"/>
    <cellStyle name="Comma 12 3 2 3 3" xfId="22254"/>
    <cellStyle name="Comma 12 3 2 3 3 2" xfId="22255"/>
    <cellStyle name="Comma 12 3 2 3 3 2 2" xfId="22256"/>
    <cellStyle name="Comma 12 3 2 3 3 3" xfId="22257"/>
    <cellStyle name="Comma 12 3 2 3 4" xfId="22258"/>
    <cellStyle name="Comma 12 3 2 3 4 2" xfId="22259"/>
    <cellStyle name="Comma 12 3 2 3 5" xfId="22260"/>
    <cellStyle name="Comma 12 3 2 4" xfId="16704"/>
    <cellStyle name="Comma 12 3 2 4 2" xfId="22261"/>
    <cellStyle name="Comma 12 3 2 4 2 2" xfId="22262"/>
    <cellStyle name="Comma 12 3 2 4 2 2 2" xfId="22263"/>
    <cellStyle name="Comma 12 3 2 4 2 3" xfId="22264"/>
    <cellStyle name="Comma 12 3 2 4 3" xfId="22265"/>
    <cellStyle name="Comma 12 3 2 4 3 2" xfId="22266"/>
    <cellStyle name="Comma 12 3 2 4 4" xfId="22267"/>
    <cellStyle name="Comma 12 3 2 5" xfId="16705"/>
    <cellStyle name="Comma 12 3 2 5 2" xfId="22268"/>
    <cellStyle name="Comma 12 3 2 5 2 2" xfId="22269"/>
    <cellStyle name="Comma 12 3 2 5 3" xfId="22270"/>
    <cellStyle name="Comma 12 3 2 6" xfId="19122"/>
    <cellStyle name="Comma 12 3 2 6 2" xfId="22271"/>
    <cellStyle name="Comma 12 3 2 7" xfId="22272"/>
    <cellStyle name="Comma 12 3 3" xfId="4838"/>
    <cellStyle name="Comma 12 3 3 2" xfId="16706"/>
    <cellStyle name="Comma 12 3 3 2 2" xfId="16707"/>
    <cellStyle name="Comma 12 3 3 2 2 2" xfId="22273"/>
    <cellStyle name="Comma 12 3 3 2 2 2 2" xfId="22274"/>
    <cellStyle name="Comma 12 3 3 2 2 2 2 2" xfId="22275"/>
    <cellStyle name="Comma 12 3 3 2 2 2 3" xfId="22276"/>
    <cellStyle name="Comma 12 3 3 2 2 3" xfId="22277"/>
    <cellStyle name="Comma 12 3 3 2 2 3 2" xfId="22278"/>
    <cellStyle name="Comma 12 3 3 2 2 4" xfId="22279"/>
    <cellStyle name="Comma 12 3 3 2 3" xfId="22280"/>
    <cellStyle name="Comma 12 3 3 2 3 2" xfId="22281"/>
    <cellStyle name="Comma 12 3 3 2 3 2 2" xfId="22282"/>
    <cellStyle name="Comma 12 3 3 2 3 3" xfId="22283"/>
    <cellStyle name="Comma 12 3 3 2 4" xfId="22284"/>
    <cellStyle name="Comma 12 3 3 2 4 2" xfId="22285"/>
    <cellStyle name="Comma 12 3 3 2 5" xfId="22286"/>
    <cellStyle name="Comma 12 3 3 3" xfId="16708"/>
    <cellStyle name="Comma 12 3 3 3 2" xfId="22287"/>
    <cellStyle name="Comma 12 3 3 3 2 2" xfId="22288"/>
    <cellStyle name="Comma 12 3 3 3 2 2 2" xfId="22289"/>
    <cellStyle name="Comma 12 3 3 3 2 3" xfId="22290"/>
    <cellStyle name="Comma 12 3 3 3 3" xfId="22291"/>
    <cellStyle name="Comma 12 3 3 3 3 2" xfId="22292"/>
    <cellStyle name="Comma 12 3 3 3 4" xfId="22293"/>
    <cellStyle name="Comma 12 3 3 4" xfId="22294"/>
    <cellStyle name="Comma 12 3 3 4 2" xfId="22295"/>
    <cellStyle name="Comma 12 3 3 4 2 2" xfId="22296"/>
    <cellStyle name="Comma 12 3 3 4 3" xfId="22297"/>
    <cellStyle name="Comma 12 3 3 5" xfId="22298"/>
    <cellStyle name="Comma 12 3 3 5 2" xfId="22299"/>
    <cellStyle name="Comma 12 3 3 6" xfId="22300"/>
    <cellStyle name="Comma 12 3 4" xfId="16709"/>
    <cellStyle name="Comma 12 3 4 2" xfId="16710"/>
    <cellStyle name="Comma 12 3 4 2 2" xfId="22301"/>
    <cellStyle name="Comma 12 3 4 2 2 2" xfId="22302"/>
    <cellStyle name="Comma 12 3 4 2 2 2 2" xfId="22303"/>
    <cellStyle name="Comma 12 3 4 2 2 3" xfId="22304"/>
    <cellStyle name="Comma 12 3 4 2 3" xfId="22305"/>
    <cellStyle name="Comma 12 3 4 2 3 2" xfId="22306"/>
    <cellStyle name="Comma 12 3 4 2 4" xfId="22307"/>
    <cellStyle name="Comma 12 3 4 3" xfId="22308"/>
    <cellStyle name="Comma 12 3 4 3 2" xfId="22309"/>
    <cellStyle name="Comma 12 3 4 3 2 2" xfId="22310"/>
    <cellStyle name="Comma 12 3 4 3 3" xfId="22311"/>
    <cellStyle name="Comma 12 3 4 4" xfId="22312"/>
    <cellStyle name="Comma 12 3 4 4 2" xfId="22313"/>
    <cellStyle name="Comma 12 3 4 5" xfId="22314"/>
    <cellStyle name="Comma 12 3 5" xfId="16711"/>
    <cellStyle name="Comma 12 3 5 2" xfId="22315"/>
    <cellStyle name="Comma 12 3 5 2 2" xfId="22316"/>
    <cellStyle name="Comma 12 3 5 2 2 2" xfId="22317"/>
    <cellStyle name="Comma 12 3 5 2 3" xfId="22318"/>
    <cellStyle name="Comma 12 3 5 3" xfId="22319"/>
    <cellStyle name="Comma 12 3 5 3 2" xfId="22320"/>
    <cellStyle name="Comma 12 3 5 4" xfId="22321"/>
    <cellStyle name="Comma 12 3 6" xfId="16712"/>
    <cellStyle name="Comma 12 3 7" xfId="19121"/>
    <cellStyle name="Comma 12 3 7 2" xfId="22322"/>
    <cellStyle name="Comma 12 3 7 2 2" xfId="22323"/>
    <cellStyle name="Comma 12 3 7 3" xfId="22324"/>
    <cellStyle name="Comma 12 3 8" xfId="22325"/>
    <cellStyle name="Comma 12 3 8 2" xfId="22326"/>
    <cellStyle name="Comma 12 3 9" xfId="22327"/>
    <cellStyle name="Comma 12 4" xfId="4839"/>
    <cellStyle name="Comma 12 4 2" xfId="4840"/>
    <cellStyle name="Comma 12 4 2 2" xfId="16713"/>
    <cellStyle name="Comma 12 4 2 2 2" xfId="16714"/>
    <cellStyle name="Comma 12 4 2 2 2 2" xfId="22328"/>
    <cellStyle name="Comma 12 4 2 2 2 2 2" xfId="22329"/>
    <cellStyle name="Comma 12 4 2 2 2 2 2 2" xfId="22330"/>
    <cellStyle name="Comma 12 4 2 2 2 2 3" xfId="22331"/>
    <cellStyle name="Comma 12 4 2 2 2 3" xfId="22332"/>
    <cellStyle name="Comma 12 4 2 2 2 3 2" xfId="22333"/>
    <cellStyle name="Comma 12 4 2 2 2 4" xfId="22334"/>
    <cellStyle name="Comma 12 4 2 2 3" xfId="22335"/>
    <cellStyle name="Comma 12 4 2 2 3 2" xfId="22336"/>
    <cellStyle name="Comma 12 4 2 2 3 2 2" xfId="22337"/>
    <cellStyle name="Comma 12 4 2 2 3 3" xfId="22338"/>
    <cellStyle name="Comma 12 4 2 2 4" xfId="22339"/>
    <cellStyle name="Comma 12 4 2 2 4 2" xfId="22340"/>
    <cellStyle name="Comma 12 4 2 2 5" xfId="22341"/>
    <cellStyle name="Comma 12 4 2 3" xfId="16715"/>
    <cellStyle name="Comma 12 4 2 3 2" xfId="22342"/>
    <cellStyle name="Comma 12 4 2 3 2 2" xfId="22343"/>
    <cellStyle name="Comma 12 4 2 3 2 2 2" xfId="22344"/>
    <cellStyle name="Comma 12 4 2 3 2 3" xfId="22345"/>
    <cellStyle name="Comma 12 4 2 3 3" xfId="22346"/>
    <cellStyle name="Comma 12 4 2 3 3 2" xfId="22347"/>
    <cellStyle name="Comma 12 4 2 3 4" xfId="22348"/>
    <cellStyle name="Comma 12 4 2 4" xfId="22349"/>
    <cellStyle name="Comma 12 4 2 4 2" xfId="22350"/>
    <cellStyle name="Comma 12 4 2 4 2 2" xfId="22351"/>
    <cellStyle name="Comma 12 4 2 4 3" xfId="22352"/>
    <cellStyle name="Comma 12 4 2 5" xfId="22353"/>
    <cellStyle name="Comma 12 4 2 5 2" xfId="22354"/>
    <cellStyle name="Comma 12 4 2 6" xfId="22355"/>
    <cellStyle name="Comma 12 4 3" xfId="16716"/>
    <cellStyle name="Comma 12 4 3 2" xfId="16717"/>
    <cellStyle name="Comma 12 4 3 2 2" xfId="22356"/>
    <cellStyle name="Comma 12 4 3 2 2 2" xfId="22357"/>
    <cellStyle name="Comma 12 4 3 2 2 2 2" xfId="22358"/>
    <cellStyle name="Comma 12 4 3 2 2 3" xfId="22359"/>
    <cellStyle name="Comma 12 4 3 2 3" xfId="22360"/>
    <cellStyle name="Comma 12 4 3 2 3 2" xfId="22361"/>
    <cellStyle name="Comma 12 4 3 2 4" xfId="22362"/>
    <cellStyle name="Comma 12 4 3 3" xfId="22363"/>
    <cellStyle name="Comma 12 4 3 3 2" xfId="22364"/>
    <cellStyle name="Comma 12 4 3 3 2 2" xfId="22365"/>
    <cellStyle name="Comma 12 4 3 3 3" xfId="22366"/>
    <cellStyle name="Comma 12 4 3 4" xfId="22367"/>
    <cellStyle name="Comma 12 4 3 4 2" xfId="22368"/>
    <cellStyle name="Comma 12 4 3 5" xfId="22369"/>
    <cellStyle name="Comma 12 4 4" xfId="16718"/>
    <cellStyle name="Comma 12 4 4 2" xfId="22370"/>
    <cellStyle name="Comma 12 4 4 2 2" xfId="22371"/>
    <cellStyle name="Comma 12 4 4 2 2 2" xfId="22372"/>
    <cellStyle name="Comma 12 4 4 2 3" xfId="22373"/>
    <cellStyle name="Comma 12 4 4 3" xfId="22374"/>
    <cellStyle name="Comma 12 4 4 3 2" xfId="22375"/>
    <cellStyle name="Comma 12 4 4 4" xfId="22376"/>
    <cellStyle name="Comma 12 4 5" xfId="16719"/>
    <cellStyle name="Comma 12 4 5 2" xfId="22377"/>
    <cellStyle name="Comma 12 4 5 2 2" xfId="22378"/>
    <cellStyle name="Comma 12 4 5 3" xfId="22379"/>
    <cellStyle name="Comma 12 4 6" xfId="19123"/>
    <cellStyle name="Comma 12 4 6 2" xfId="22380"/>
    <cellStyle name="Comma 12 4 7" xfId="22381"/>
    <cellStyle name="Comma 12 5" xfId="4841"/>
    <cellStyle name="Comma 12 5 2" xfId="4842"/>
    <cellStyle name="Comma 12 5 2 2" xfId="4843"/>
    <cellStyle name="Comma 12 5 2 2 2" xfId="22382"/>
    <cellStyle name="Comma 12 5 2 2 2 2" xfId="22383"/>
    <cellStyle name="Comma 12 5 2 2 2 2 2" xfId="22384"/>
    <cellStyle name="Comma 12 5 2 2 2 3" xfId="22385"/>
    <cellStyle name="Comma 12 5 2 2 3" xfId="22386"/>
    <cellStyle name="Comma 12 5 2 2 3 2" xfId="22387"/>
    <cellStyle name="Comma 12 5 2 2 4" xfId="22388"/>
    <cellStyle name="Comma 12 5 2 2 5" xfId="22389"/>
    <cellStyle name="Comma 12 5 2 3" xfId="22390"/>
    <cellStyle name="Comma 12 5 2 3 2" xfId="22391"/>
    <cellStyle name="Comma 12 5 2 3 2 2" xfId="22392"/>
    <cellStyle name="Comma 12 5 2 3 3" xfId="22393"/>
    <cellStyle name="Comma 12 5 2 4" xfId="22394"/>
    <cellStyle name="Comma 12 5 2 4 2" xfId="22395"/>
    <cellStyle name="Comma 12 5 2 5" xfId="22396"/>
    <cellStyle name="Comma 12 5 2 6" xfId="22397"/>
    <cellStyle name="Comma 12 5 3" xfId="4844"/>
    <cellStyle name="Comma 12 5 3 2" xfId="4845"/>
    <cellStyle name="Comma 12 5 3 2 2" xfId="22398"/>
    <cellStyle name="Comma 12 5 3 2 2 2" xfId="22399"/>
    <cellStyle name="Comma 12 5 3 2 3" xfId="22400"/>
    <cellStyle name="Comma 12 5 3 3" xfId="22401"/>
    <cellStyle name="Comma 12 5 3 3 2" xfId="22402"/>
    <cellStyle name="Comma 12 5 3 4" xfId="22403"/>
    <cellStyle name="Comma 12 5 3 5" xfId="22404"/>
    <cellStyle name="Comma 12 5 4" xfId="4846"/>
    <cellStyle name="Comma 12 5 4 2" xfId="4847"/>
    <cellStyle name="Comma 12 5 4 2 2" xfId="22405"/>
    <cellStyle name="Comma 12 5 4 3" xfId="22406"/>
    <cellStyle name="Comma 12 5 5" xfId="4848"/>
    <cellStyle name="Comma 12 5 5 2" xfId="22407"/>
    <cellStyle name="Comma 12 5 6" xfId="22408"/>
    <cellStyle name="Comma 12 5 7" xfId="22409"/>
    <cellStyle name="Comma 12 6" xfId="4849"/>
    <cellStyle name="Comma 12 6 2" xfId="4850"/>
    <cellStyle name="Comma 12 6 2 2" xfId="22410"/>
    <cellStyle name="Comma 12 6 2 2 2" xfId="22411"/>
    <cellStyle name="Comma 12 6 2 2 2 2" xfId="22412"/>
    <cellStyle name="Comma 12 6 2 2 3" xfId="22413"/>
    <cellStyle name="Comma 12 6 2 3" xfId="22414"/>
    <cellStyle name="Comma 12 6 2 3 2" xfId="22415"/>
    <cellStyle name="Comma 12 6 2 4" xfId="22416"/>
    <cellStyle name="Comma 12 6 2 5" xfId="22417"/>
    <cellStyle name="Comma 12 6 3" xfId="22418"/>
    <cellStyle name="Comma 12 6 3 2" xfId="22419"/>
    <cellStyle name="Comma 12 6 3 2 2" xfId="22420"/>
    <cellStyle name="Comma 12 6 3 3" xfId="22421"/>
    <cellStyle name="Comma 12 6 4" xfId="22422"/>
    <cellStyle name="Comma 12 6 4 2" xfId="22423"/>
    <cellStyle name="Comma 12 6 5" xfId="22424"/>
    <cellStyle name="Comma 12 6 6" xfId="22425"/>
    <cellStyle name="Comma 12 7" xfId="4851"/>
    <cellStyle name="Comma 12 7 2" xfId="4852"/>
    <cellStyle name="Comma 12 7 2 2" xfId="4853"/>
    <cellStyle name="Comma 12 7 3" xfId="4854"/>
    <cellStyle name="Comma 12 7 3 2" xfId="4855"/>
    <cellStyle name="Comma 12 7 4" xfId="4856"/>
    <cellStyle name="Comma 12 7 5" xfId="22426"/>
    <cellStyle name="Comma 12 8" xfId="4857"/>
    <cellStyle name="Comma 12 8 2" xfId="4858"/>
    <cellStyle name="Comma 12 8 2 2" xfId="22427"/>
    <cellStyle name="Comma 12 8 2 2 2" xfId="22428"/>
    <cellStyle name="Comma 12 8 2 3" xfId="22429"/>
    <cellStyle name="Comma 12 8 3" xfId="22430"/>
    <cellStyle name="Comma 12 8 3 2" xfId="22431"/>
    <cellStyle name="Comma 12 8 4" xfId="22432"/>
    <cellStyle name="Comma 12 8 5" xfId="22433"/>
    <cellStyle name="Comma 12 9" xfId="4859"/>
    <cellStyle name="Comma 12 9 2" xfId="4860"/>
    <cellStyle name="Comma 12 9 2 2" xfId="22434"/>
    <cellStyle name="Comma 12 9 3" xfId="22435"/>
    <cellStyle name="Comma 13" xfId="4861"/>
    <cellStyle name="Comma 13 10" xfId="4862"/>
    <cellStyle name="Comma 13 10 2" xfId="4863"/>
    <cellStyle name="Comma 13 11" xfId="4864"/>
    <cellStyle name="Comma 13 12" xfId="19124"/>
    <cellStyle name="Comma 13 13" xfId="22436"/>
    <cellStyle name="Comma 13 14" xfId="22437"/>
    <cellStyle name="Comma 13 15" xfId="22438"/>
    <cellStyle name="Comma 13 2" xfId="4865"/>
    <cellStyle name="Comma 13 2 2" xfId="4866"/>
    <cellStyle name="Comma 13 2 2 2" xfId="4867"/>
    <cellStyle name="Comma 13 2 2 2 2" xfId="4868"/>
    <cellStyle name="Comma 13 2 2 3" xfId="4869"/>
    <cellStyle name="Comma 13 2 2 4" xfId="22439"/>
    <cellStyle name="Comma 13 2 2 5" xfId="22440"/>
    <cellStyle name="Comma 13 2 3" xfId="4870"/>
    <cellStyle name="Comma 13 2 4" xfId="22441"/>
    <cellStyle name="Comma 13 2 5" xfId="22442"/>
    <cellStyle name="Comma 13 2 6" xfId="22443"/>
    <cellStyle name="Comma 13 3" xfId="4871"/>
    <cellStyle name="Comma 13 3 2" xfId="4872"/>
    <cellStyle name="Comma 13 3 3" xfId="22444"/>
    <cellStyle name="Comma 13 3 4" xfId="22445"/>
    <cellStyle name="Comma 13 4" xfId="4873"/>
    <cellStyle name="Comma 13 4 2" xfId="4874"/>
    <cellStyle name="Comma 13 4 2 2" xfId="4875"/>
    <cellStyle name="Comma 13 4 3" xfId="4876"/>
    <cellStyle name="Comma 13 5" xfId="4877"/>
    <cellStyle name="Comma 13 5 2" xfId="4878"/>
    <cellStyle name="Comma 13 5 2 2" xfId="4879"/>
    <cellStyle name="Comma 13 5 3" xfId="4880"/>
    <cellStyle name="Comma 13 5 3 2" xfId="4881"/>
    <cellStyle name="Comma 13 5 4" xfId="4882"/>
    <cellStyle name="Comma 13 5 4 2" xfId="4883"/>
    <cellStyle name="Comma 13 5 5" xfId="4884"/>
    <cellStyle name="Comma 13 6" xfId="4885"/>
    <cellStyle name="Comma 13 6 2" xfId="4886"/>
    <cellStyle name="Comma 13 6 2 2" xfId="4887"/>
    <cellStyle name="Comma 13 6 3" xfId="4888"/>
    <cellStyle name="Comma 13 7" xfId="4889"/>
    <cellStyle name="Comma 13 7 2" xfId="4890"/>
    <cellStyle name="Comma 13 8" xfId="4891"/>
    <cellStyle name="Comma 13 8 2" xfId="4892"/>
    <cellStyle name="Comma 13 8 2 2" xfId="4893"/>
    <cellStyle name="Comma 13 8 3" xfId="4894"/>
    <cellStyle name="Comma 13 8 3 2" xfId="4895"/>
    <cellStyle name="Comma 13 8 4" xfId="4896"/>
    <cellStyle name="Comma 13 9" xfId="4897"/>
    <cellStyle name="Comma 13 9 2" xfId="4898"/>
    <cellStyle name="Comma 14" xfId="4899"/>
    <cellStyle name="Comma 14 10" xfId="19125"/>
    <cellStyle name="Comma 14 10 2" xfId="22446"/>
    <cellStyle name="Comma 14 11" xfId="22447"/>
    <cellStyle name="Comma 14 12" xfId="22448"/>
    <cellStyle name="Comma 14 2" xfId="4900"/>
    <cellStyle name="Comma 14 2 2" xfId="4901"/>
    <cellStyle name="Comma 14 2 2 2" xfId="4902"/>
    <cellStyle name="Comma 14 2 2 2 2" xfId="16720"/>
    <cellStyle name="Comma 14 2 2 2 2 2" xfId="16721"/>
    <cellStyle name="Comma 14 2 2 2 2 2 2" xfId="22449"/>
    <cellStyle name="Comma 14 2 2 2 2 2 2 2" xfId="22450"/>
    <cellStyle name="Comma 14 2 2 2 2 2 2 2 2" xfId="22451"/>
    <cellStyle name="Comma 14 2 2 2 2 2 2 3" xfId="22452"/>
    <cellStyle name="Comma 14 2 2 2 2 2 3" xfId="22453"/>
    <cellStyle name="Comma 14 2 2 2 2 2 3 2" xfId="22454"/>
    <cellStyle name="Comma 14 2 2 2 2 2 4" xfId="22455"/>
    <cellStyle name="Comma 14 2 2 2 2 3" xfId="22456"/>
    <cellStyle name="Comma 14 2 2 2 2 3 2" xfId="22457"/>
    <cellStyle name="Comma 14 2 2 2 2 3 2 2" xfId="22458"/>
    <cellStyle name="Comma 14 2 2 2 2 3 3" xfId="22459"/>
    <cellStyle name="Comma 14 2 2 2 2 4" xfId="22460"/>
    <cellStyle name="Comma 14 2 2 2 2 4 2" xfId="22461"/>
    <cellStyle name="Comma 14 2 2 2 2 5" xfId="22462"/>
    <cellStyle name="Comma 14 2 2 2 3" xfId="16722"/>
    <cellStyle name="Comma 14 2 2 2 3 2" xfId="22463"/>
    <cellStyle name="Comma 14 2 2 2 3 2 2" xfId="22464"/>
    <cellStyle name="Comma 14 2 2 2 3 2 2 2" xfId="22465"/>
    <cellStyle name="Comma 14 2 2 2 3 2 3" xfId="22466"/>
    <cellStyle name="Comma 14 2 2 2 3 3" xfId="22467"/>
    <cellStyle name="Comma 14 2 2 2 3 3 2" xfId="22468"/>
    <cellStyle name="Comma 14 2 2 2 3 4" xfId="22469"/>
    <cellStyle name="Comma 14 2 2 2 4" xfId="22470"/>
    <cellStyle name="Comma 14 2 2 2 4 2" xfId="22471"/>
    <cellStyle name="Comma 14 2 2 2 4 2 2" xfId="22472"/>
    <cellStyle name="Comma 14 2 2 2 4 3" xfId="22473"/>
    <cellStyle name="Comma 14 2 2 2 5" xfId="22474"/>
    <cellStyle name="Comma 14 2 2 2 5 2" xfId="22475"/>
    <cellStyle name="Comma 14 2 2 2 6" xfId="22476"/>
    <cellStyle name="Comma 14 2 2 3" xfId="16723"/>
    <cellStyle name="Comma 14 2 2 3 2" xfId="16724"/>
    <cellStyle name="Comma 14 2 2 3 2 2" xfId="22477"/>
    <cellStyle name="Comma 14 2 2 3 2 2 2" xfId="22478"/>
    <cellStyle name="Comma 14 2 2 3 2 2 2 2" xfId="22479"/>
    <cellStyle name="Comma 14 2 2 3 2 2 3" xfId="22480"/>
    <cellStyle name="Comma 14 2 2 3 2 3" xfId="22481"/>
    <cellStyle name="Comma 14 2 2 3 2 3 2" xfId="22482"/>
    <cellStyle name="Comma 14 2 2 3 2 4" xfId="22483"/>
    <cellStyle name="Comma 14 2 2 3 3" xfId="22484"/>
    <cellStyle name="Comma 14 2 2 3 3 2" xfId="22485"/>
    <cellStyle name="Comma 14 2 2 3 3 2 2" xfId="22486"/>
    <cellStyle name="Comma 14 2 2 3 3 3" xfId="22487"/>
    <cellStyle name="Comma 14 2 2 3 4" xfId="22488"/>
    <cellStyle name="Comma 14 2 2 3 4 2" xfId="22489"/>
    <cellStyle name="Comma 14 2 2 3 5" xfId="22490"/>
    <cellStyle name="Comma 14 2 2 4" xfId="16725"/>
    <cellStyle name="Comma 14 2 2 4 2" xfId="22491"/>
    <cellStyle name="Comma 14 2 2 4 2 2" xfId="22492"/>
    <cellStyle name="Comma 14 2 2 4 2 2 2" xfId="22493"/>
    <cellStyle name="Comma 14 2 2 4 2 3" xfId="22494"/>
    <cellStyle name="Comma 14 2 2 4 3" xfId="22495"/>
    <cellStyle name="Comma 14 2 2 4 3 2" xfId="22496"/>
    <cellStyle name="Comma 14 2 2 4 4" xfId="22497"/>
    <cellStyle name="Comma 14 2 2 5" xfId="16726"/>
    <cellStyle name="Comma 14 2 2 6" xfId="19127"/>
    <cellStyle name="Comma 14 2 2 6 2" xfId="22498"/>
    <cellStyle name="Comma 14 2 2 6 2 2" xfId="22499"/>
    <cellStyle name="Comma 14 2 2 6 3" xfId="22500"/>
    <cellStyle name="Comma 14 2 2 7" xfId="22501"/>
    <cellStyle name="Comma 14 2 2 7 2" xfId="22502"/>
    <cellStyle name="Comma 14 2 2 8" xfId="22503"/>
    <cellStyle name="Comma 14 2 3" xfId="4903"/>
    <cellStyle name="Comma 14 2 3 2" xfId="4904"/>
    <cellStyle name="Comma 14 2 3 2 2" xfId="16727"/>
    <cellStyle name="Comma 14 2 3 2 2 2" xfId="22504"/>
    <cellStyle name="Comma 14 2 3 2 2 2 2" xfId="22505"/>
    <cellStyle name="Comma 14 2 3 2 2 2 2 2" xfId="22506"/>
    <cellStyle name="Comma 14 2 3 2 2 2 3" xfId="22507"/>
    <cellStyle name="Comma 14 2 3 2 2 3" xfId="22508"/>
    <cellStyle name="Comma 14 2 3 2 2 3 2" xfId="22509"/>
    <cellStyle name="Comma 14 2 3 2 2 4" xfId="22510"/>
    <cellStyle name="Comma 14 2 3 2 3" xfId="22511"/>
    <cellStyle name="Comma 14 2 3 2 3 2" xfId="22512"/>
    <cellStyle name="Comma 14 2 3 2 3 2 2" xfId="22513"/>
    <cellStyle name="Comma 14 2 3 2 3 3" xfId="22514"/>
    <cellStyle name="Comma 14 2 3 2 4" xfId="22515"/>
    <cellStyle name="Comma 14 2 3 2 4 2" xfId="22516"/>
    <cellStyle name="Comma 14 2 3 2 5" xfId="22517"/>
    <cellStyle name="Comma 14 2 3 3" xfId="16728"/>
    <cellStyle name="Comma 14 2 3 3 2" xfId="22518"/>
    <cellStyle name="Comma 14 2 3 3 2 2" xfId="22519"/>
    <cellStyle name="Comma 14 2 3 3 2 2 2" xfId="22520"/>
    <cellStyle name="Comma 14 2 3 3 2 3" xfId="22521"/>
    <cellStyle name="Comma 14 2 3 3 3" xfId="22522"/>
    <cellStyle name="Comma 14 2 3 3 3 2" xfId="22523"/>
    <cellStyle name="Comma 14 2 3 3 4" xfId="22524"/>
    <cellStyle name="Comma 14 2 3 4" xfId="22525"/>
    <cellStyle name="Comma 14 2 3 4 2" xfId="22526"/>
    <cellStyle name="Comma 14 2 3 4 2 2" xfId="22527"/>
    <cellStyle name="Comma 14 2 3 4 3" xfId="22528"/>
    <cellStyle name="Comma 14 2 3 5" xfId="22529"/>
    <cellStyle name="Comma 14 2 3 5 2" xfId="22530"/>
    <cellStyle name="Comma 14 2 3 6" xfId="22531"/>
    <cellStyle name="Comma 14 2 4" xfId="4905"/>
    <cellStyle name="Comma 14 2 4 2" xfId="4906"/>
    <cellStyle name="Comma 14 2 4 2 2" xfId="22532"/>
    <cellStyle name="Comma 14 2 4 2 2 2" xfId="22533"/>
    <cellStyle name="Comma 14 2 4 2 2 2 2" xfId="22534"/>
    <cellStyle name="Comma 14 2 4 2 2 3" xfId="22535"/>
    <cellStyle name="Comma 14 2 4 2 3" xfId="22536"/>
    <cellStyle name="Comma 14 2 4 2 3 2" xfId="22537"/>
    <cellStyle name="Comma 14 2 4 2 4" xfId="22538"/>
    <cellStyle name="Comma 14 2 4 2 5" xfId="22539"/>
    <cellStyle name="Comma 14 2 4 3" xfId="22540"/>
    <cellStyle name="Comma 14 2 4 3 2" xfId="22541"/>
    <cellStyle name="Comma 14 2 4 3 2 2" xfId="22542"/>
    <cellStyle name="Comma 14 2 4 3 3" xfId="22543"/>
    <cellStyle name="Comma 14 2 4 4" xfId="22544"/>
    <cellStyle name="Comma 14 2 4 4 2" xfId="22545"/>
    <cellStyle name="Comma 14 2 4 5" xfId="22546"/>
    <cellStyle name="Comma 14 2 4 6" xfId="22547"/>
    <cellStyle name="Comma 14 2 5" xfId="4907"/>
    <cellStyle name="Comma 14 2 5 2" xfId="22548"/>
    <cellStyle name="Comma 14 2 6" xfId="16729"/>
    <cellStyle name="Comma 14 2 6 2" xfId="22549"/>
    <cellStyle name="Comma 14 2 6 2 2" xfId="22550"/>
    <cellStyle name="Comma 14 2 6 2 2 2" xfId="22551"/>
    <cellStyle name="Comma 14 2 6 2 3" xfId="22552"/>
    <cellStyle name="Comma 14 2 6 3" xfId="22553"/>
    <cellStyle name="Comma 14 2 6 3 2" xfId="22554"/>
    <cellStyle name="Comma 14 2 6 4" xfId="22555"/>
    <cellStyle name="Comma 14 2 7" xfId="16730"/>
    <cellStyle name="Comma 14 2 7 2" xfId="22556"/>
    <cellStyle name="Comma 14 2 7 2 2" xfId="22557"/>
    <cellStyle name="Comma 14 2 7 3" xfId="22558"/>
    <cellStyle name="Comma 14 2 8" xfId="19126"/>
    <cellStyle name="Comma 14 2 8 2" xfId="22559"/>
    <cellStyle name="Comma 14 2 9" xfId="22560"/>
    <cellStyle name="Comma 14 3" xfId="4908"/>
    <cellStyle name="Comma 14 3 2" xfId="4909"/>
    <cellStyle name="Comma 14 3 2 2" xfId="16731"/>
    <cellStyle name="Comma 14 3 2 2 2" xfId="16732"/>
    <cellStyle name="Comma 14 3 2 2 2 2" xfId="16733"/>
    <cellStyle name="Comma 14 3 2 2 2 2 2" xfId="22561"/>
    <cellStyle name="Comma 14 3 2 2 2 2 2 2" xfId="22562"/>
    <cellStyle name="Comma 14 3 2 2 2 2 2 2 2" xfId="22563"/>
    <cellStyle name="Comma 14 3 2 2 2 2 2 3" xfId="22564"/>
    <cellStyle name="Comma 14 3 2 2 2 2 3" xfId="22565"/>
    <cellStyle name="Comma 14 3 2 2 2 2 3 2" xfId="22566"/>
    <cellStyle name="Comma 14 3 2 2 2 2 4" xfId="22567"/>
    <cellStyle name="Comma 14 3 2 2 2 3" xfId="22568"/>
    <cellStyle name="Comma 14 3 2 2 2 3 2" xfId="22569"/>
    <cellStyle name="Comma 14 3 2 2 2 3 2 2" xfId="22570"/>
    <cellStyle name="Comma 14 3 2 2 2 3 3" xfId="22571"/>
    <cellStyle name="Comma 14 3 2 2 2 4" xfId="22572"/>
    <cellStyle name="Comma 14 3 2 2 2 4 2" xfId="22573"/>
    <cellStyle name="Comma 14 3 2 2 2 5" xfId="22574"/>
    <cellStyle name="Comma 14 3 2 2 3" xfId="16734"/>
    <cellStyle name="Comma 14 3 2 2 3 2" xfId="22575"/>
    <cellStyle name="Comma 14 3 2 2 3 2 2" xfId="22576"/>
    <cellStyle name="Comma 14 3 2 2 3 2 2 2" xfId="22577"/>
    <cellStyle name="Comma 14 3 2 2 3 2 3" xfId="22578"/>
    <cellStyle name="Comma 14 3 2 2 3 3" xfId="22579"/>
    <cellStyle name="Comma 14 3 2 2 3 3 2" xfId="22580"/>
    <cellStyle name="Comma 14 3 2 2 3 4" xfId="22581"/>
    <cellStyle name="Comma 14 3 2 2 4" xfId="22582"/>
    <cellStyle name="Comma 14 3 2 2 4 2" xfId="22583"/>
    <cellStyle name="Comma 14 3 2 2 4 2 2" xfId="22584"/>
    <cellStyle name="Comma 14 3 2 2 4 3" xfId="22585"/>
    <cellStyle name="Comma 14 3 2 2 5" xfId="22586"/>
    <cellStyle name="Comma 14 3 2 2 5 2" xfId="22587"/>
    <cellStyle name="Comma 14 3 2 2 6" xfId="22588"/>
    <cellStyle name="Comma 14 3 2 3" xfId="16735"/>
    <cellStyle name="Comma 14 3 2 3 2" xfId="16736"/>
    <cellStyle name="Comma 14 3 2 3 2 2" xfId="22589"/>
    <cellStyle name="Comma 14 3 2 3 2 2 2" xfId="22590"/>
    <cellStyle name="Comma 14 3 2 3 2 2 2 2" xfId="22591"/>
    <cellStyle name="Comma 14 3 2 3 2 2 3" xfId="22592"/>
    <cellStyle name="Comma 14 3 2 3 2 3" xfId="22593"/>
    <cellStyle name="Comma 14 3 2 3 2 3 2" xfId="22594"/>
    <cellStyle name="Comma 14 3 2 3 2 4" xfId="22595"/>
    <cellStyle name="Comma 14 3 2 3 3" xfId="22596"/>
    <cellStyle name="Comma 14 3 2 3 3 2" xfId="22597"/>
    <cellStyle name="Comma 14 3 2 3 3 2 2" xfId="22598"/>
    <cellStyle name="Comma 14 3 2 3 3 3" xfId="22599"/>
    <cellStyle name="Comma 14 3 2 3 4" xfId="22600"/>
    <cellStyle name="Comma 14 3 2 3 4 2" xfId="22601"/>
    <cellStyle name="Comma 14 3 2 3 5" xfId="22602"/>
    <cellStyle name="Comma 14 3 2 4" xfId="16737"/>
    <cellStyle name="Comma 14 3 2 4 2" xfId="22603"/>
    <cellStyle name="Comma 14 3 2 4 2 2" xfId="22604"/>
    <cellStyle name="Comma 14 3 2 4 2 2 2" xfId="22605"/>
    <cellStyle name="Comma 14 3 2 4 2 3" xfId="22606"/>
    <cellStyle name="Comma 14 3 2 4 3" xfId="22607"/>
    <cellStyle name="Comma 14 3 2 4 3 2" xfId="22608"/>
    <cellStyle name="Comma 14 3 2 4 4" xfId="22609"/>
    <cellStyle name="Comma 14 3 2 5" xfId="16738"/>
    <cellStyle name="Comma 14 3 2 5 2" xfId="22610"/>
    <cellStyle name="Comma 14 3 2 5 2 2" xfId="22611"/>
    <cellStyle name="Comma 14 3 2 5 3" xfId="22612"/>
    <cellStyle name="Comma 14 3 2 6" xfId="19129"/>
    <cellStyle name="Comma 14 3 2 6 2" xfId="22613"/>
    <cellStyle name="Comma 14 3 2 7" xfId="22614"/>
    <cellStyle name="Comma 14 3 3" xfId="16739"/>
    <cellStyle name="Comma 14 3 3 2" xfId="16740"/>
    <cellStyle name="Comma 14 3 3 2 2" xfId="16741"/>
    <cellStyle name="Comma 14 3 3 2 2 2" xfId="22615"/>
    <cellStyle name="Comma 14 3 3 2 2 2 2" xfId="22616"/>
    <cellStyle name="Comma 14 3 3 2 2 2 2 2" xfId="22617"/>
    <cellStyle name="Comma 14 3 3 2 2 2 3" xfId="22618"/>
    <cellStyle name="Comma 14 3 3 2 2 3" xfId="22619"/>
    <cellStyle name="Comma 14 3 3 2 2 3 2" xfId="22620"/>
    <cellStyle name="Comma 14 3 3 2 2 4" xfId="22621"/>
    <cellStyle name="Comma 14 3 3 2 3" xfId="22622"/>
    <cellStyle name="Comma 14 3 3 2 3 2" xfId="22623"/>
    <cellStyle name="Comma 14 3 3 2 3 2 2" xfId="22624"/>
    <cellStyle name="Comma 14 3 3 2 3 3" xfId="22625"/>
    <cellStyle name="Comma 14 3 3 2 4" xfId="22626"/>
    <cellStyle name="Comma 14 3 3 2 4 2" xfId="22627"/>
    <cellStyle name="Comma 14 3 3 2 5" xfId="22628"/>
    <cellStyle name="Comma 14 3 3 3" xfId="16742"/>
    <cellStyle name="Comma 14 3 3 3 2" xfId="22629"/>
    <cellStyle name="Comma 14 3 3 3 2 2" xfId="22630"/>
    <cellStyle name="Comma 14 3 3 3 2 2 2" xfId="22631"/>
    <cellStyle name="Comma 14 3 3 3 2 3" xfId="22632"/>
    <cellStyle name="Comma 14 3 3 3 3" xfId="22633"/>
    <cellStyle name="Comma 14 3 3 3 3 2" xfId="22634"/>
    <cellStyle name="Comma 14 3 3 3 4" xfId="22635"/>
    <cellStyle name="Comma 14 3 3 4" xfId="22636"/>
    <cellStyle name="Comma 14 3 3 4 2" xfId="22637"/>
    <cellStyle name="Comma 14 3 3 4 2 2" xfId="22638"/>
    <cellStyle name="Comma 14 3 3 4 3" xfId="22639"/>
    <cellStyle name="Comma 14 3 3 5" xfId="22640"/>
    <cellStyle name="Comma 14 3 3 5 2" xfId="22641"/>
    <cellStyle name="Comma 14 3 3 6" xfId="22642"/>
    <cellStyle name="Comma 14 3 4" xfId="16743"/>
    <cellStyle name="Comma 14 3 4 2" xfId="16744"/>
    <cellStyle name="Comma 14 3 4 2 2" xfId="22643"/>
    <cellStyle name="Comma 14 3 4 2 2 2" xfId="22644"/>
    <cellStyle name="Comma 14 3 4 2 2 2 2" xfId="22645"/>
    <cellStyle name="Comma 14 3 4 2 2 3" xfId="22646"/>
    <cellStyle name="Comma 14 3 4 2 3" xfId="22647"/>
    <cellStyle name="Comma 14 3 4 2 3 2" xfId="22648"/>
    <cellStyle name="Comma 14 3 4 2 4" xfId="22649"/>
    <cellStyle name="Comma 14 3 4 3" xfId="22650"/>
    <cellStyle name="Comma 14 3 4 3 2" xfId="22651"/>
    <cellStyle name="Comma 14 3 4 3 2 2" xfId="22652"/>
    <cellStyle name="Comma 14 3 4 3 3" xfId="22653"/>
    <cellStyle name="Comma 14 3 4 4" xfId="22654"/>
    <cellStyle name="Comma 14 3 4 4 2" xfId="22655"/>
    <cellStyle name="Comma 14 3 4 5" xfId="22656"/>
    <cellStyle name="Comma 14 3 5" xfId="16745"/>
    <cellStyle name="Comma 14 3 5 2" xfId="22657"/>
    <cellStyle name="Comma 14 3 5 2 2" xfId="22658"/>
    <cellStyle name="Comma 14 3 5 2 2 2" xfId="22659"/>
    <cellStyle name="Comma 14 3 5 2 3" xfId="22660"/>
    <cellStyle name="Comma 14 3 5 3" xfId="22661"/>
    <cellStyle name="Comma 14 3 5 3 2" xfId="22662"/>
    <cellStyle name="Comma 14 3 5 4" xfId="22663"/>
    <cellStyle name="Comma 14 3 6" xfId="16746"/>
    <cellStyle name="Comma 14 3 7" xfId="19128"/>
    <cellStyle name="Comma 14 3 7 2" xfId="22664"/>
    <cellStyle name="Comma 14 3 7 2 2" xfId="22665"/>
    <cellStyle name="Comma 14 3 7 3" xfId="22666"/>
    <cellStyle name="Comma 14 3 8" xfId="22667"/>
    <cellStyle name="Comma 14 3 8 2" xfId="22668"/>
    <cellStyle name="Comma 14 3 9" xfId="22669"/>
    <cellStyle name="Comma 14 4" xfId="4910"/>
    <cellStyle name="Comma 14 4 2" xfId="4911"/>
    <cellStyle name="Comma 14 4 2 2" xfId="4912"/>
    <cellStyle name="Comma 14 4 2 2 2" xfId="16747"/>
    <cellStyle name="Comma 14 4 2 2 2 2" xfId="22670"/>
    <cellStyle name="Comma 14 4 2 2 2 2 2" xfId="22671"/>
    <cellStyle name="Comma 14 4 2 2 2 2 2 2" xfId="22672"/>
    <cellStyle name="Comma 14 4 2 2 2 2 3" xfId="22673"/>
    <cellStyle name="Comma 14 4 2 2 2 3" xfId="22674"/>
    <cellStyle name="Comma 14 4 2 2 2 3 2" xfId="22675"/>
    <cellStyle name="Comma 14 4 2 2 2 4" xfId="22676"/>
    <cellStyle name="Comma 14 4 2 2 3" xfId="22677"/>
    <cellStyle name="Comma 14 4 2 2 3 2" xfId="22678"/>
    <cellStyle name="Comma 14 4 2 2 3 2 2" xfId="22679"/>
    <cellStyle name="Comma 14 4 2 2 3 3" xfId="22680"/>
    <cellStyle name="Comma 14 4 2 2 4" xfId="22681"/>
    <cellStyle name="Comma 14 4 2 2 4 2" xfId="22682"/>
    <cellStyle name="Comma 14 4 2 2 5" xfId="22683"/>
    <cellStyle name="Comma 14 4 2 3" xfId="16748"/>
    <cellStyle name="Comma 14 4 2 3 2" xfId="22684"/>
    <cellStyle name="Comma 14 4 2 3 2 2" xfId="22685"/>
    <cellStyle name="Comma 14 4 2 3 2 2 2" xfId="22686"/>
    <cellStyle name="Comma 14 4 2 3 2 3" xfId="22687"/>
    <cellStyle name="Comma 14 4 2 3 3" xfId="22688"/>
    <cellStyle name="Comma 14 4 2 3 3 2" xfId="22689"/>
    <cellStyle name="Comma 14 4 2 3 4" xfId="22690"/>
    <cellStyle name="Comma 14 4 2 4" xfId="22691"/>
    <cellStyle name="Comma 14 4 2 4 2" xfId="22692"/>
    <cellStyle name="Comma 14 4 2 4 2 2" xfId="22693"/>
    <cellStyle name="Comma 14 4 2 4 3" xfId="22694"/>
    <cellStyle name="Comma 14 4 2 5" xfId="22695"/>
    <cellStyle name="Comma 14 4 2 5 2" xfId="22696"/>
    <cellStyle name="Comma 14 4 2 6" xfId="22697"/>
    <cellStyle name="Comma 14 4 3" xfId="4913"/>
    <cellStyle name="Comma 14 4 3 2" xfId="4914"/>
    <cellStyle name="Comma 14 4 3 2 2" xfId="22698"/>
    <cellStyle name="Comma 14 4 3 2 2 2" xfId="22699"/>
    <cellStyle name="Comma 14 4 3 2 2 2 2" xfId="22700"/>
    <cellStyle name="Comma 14 4 3 2 2 3" xfId="22701"/>
    <cellStyle name="Comma 14 4 3 2 3" xfId="22702"/>
    <cellStyle name="Comma 14 4 3 2 3 2" xfId="22703"/>
    <cellStyle name="Comma 14 4 3 2 4" xfId="22704"/>
    <cellStyle name="Comma 14 4 3 2 5" xfId="22705"/>
    <cellStyle name="Comma 14 4 3 3" xfId="22706"/>
    <cellStyle name="Comma 14 4 3 3 2" xfId="22707"/>
    <cellStyle name="Comma 14 4 3 3 2 2" xfId="22708"/>
    <cellStyle name="Comma 14 4 3 3 3" xfId="22709"/>
    <cellStyle name="Comma 14 4 3 4" xfId="22710"/>
    <cellStyle name="Comma 14 4 3 4 2" xfId="22711"/>
    <cellStyle name="Comma 14 4 3 5" xfId="22712"/>
    <cellStyle name="Comma 14 4 3 6" xfId="22713"/>
    <cellStyle name="Comma 14 4 4" xfId="4915"/>
    <cellStyle name="Comma 14 4 4 2" xfId="22714"/>
    <cellStyle name="Comma 14 4 4 2 2" xfId="22715"/>
    <cellStyle name="Comma 14 4 4 2 2 2" xfId="22716"/>
    <cellStyle name="Comma 14 4 4 2 3" xfId="22717"/>
    <cellStyle name="Comma 14 4 4 3" xfId="22718"/>
    <cellStyle name="Comma 14 4 4 3 2" xfId="22719"/>
    <cellStyle name="Comma 14 4 4 4" xfId="22720"/>
    <cellStyle name="Comma 14 4 4 5" xfId="22721"/>
    <cellStyle name="Comma 14 4 5" xfId="16749"/>
    <cellStyle name="Comma 14 4 5 2" xfId="22722"/>
    <cellStyle name="Comma 14 4 5 2 2" xfId="22723"/>
    <cellStyle name="Comma 14 4 5 3" xfId="22724"/>
    <cellStyle name="Comma 14 4 6" xfId="19130"/>
    <cellStyle name="Comma 14 4 6 2" xfId="22725"/>
    <cellStyle name="Comma 14 4 7" xfId="22726"/>
    <cellStyle name="Comma 14 5" xfId="4916"/>
    <cellStyle name="Comma 14 5 2" xfId="4917"/>
    <cellStyle name="Comma 14 5 2 2" xfId="16750"/>
    <cellStyle name="Comma 14 5 2 2 2" xfId="22727"/>
    <cellStyle name="Comma 14 5 2 2 2 2" xfId="22728"/>
    <cellStyle name="Comma 14 5 2 2 2 2 2" xfId="22729"/>
    <cellStyle name="Comma 14 5 2 2 2 3" xfId="22730"/>
    <cellStyle name="Comma 14 5 2 2 3" xfId="22731"/>
    <cellStyle name="Comma 14 5 2 2 3 2" xfId="22732"/>
    <cellStyle name="Comma 14 5 2 2 4" xfId="22733"/>
    <cellStyle name="Comma 14 5 2 3" xfId="22734"/>
    <cellStyle name="Comma 14 5 2 3 2" xfId="22735"/>
    <cellStyle name="Comma 14 5 2 3 2 2" xfId="22736"/>
    <cellStyle name="Comma 14 5 2 3 3" xfId="22737"/>
    <cellStyle name="Comma 14 5 2 4" xfId="22738"/>
    <cellStyle name="Comma 14 5 2 4 2" xfId="22739"/>
    <cellStyle name="Comma 14 5 2 5" xfId="22740"/>
    <cellStyle name="Comma 14 5 3" xfId="16751"/>
    <cellStyle name="Comma 14 5 3 2" xfId="22741"/>
    <cellStyle name="Comma 14 5 3 2 2" xfId="22742"/>
    <cellStyle name="Comma 14 5 3 2 2 2" xfId="22743"/>
    <cellStyle name="Comma 14 5 3 2 3" xfId="22744"/>
    <cellStyle name="Comma 14 5 3 3" xfId="22745"/>
    <cellStyle name="Comma 14 5 3 3 2" xfId="22746"/>
    <cellStyle name="Comma 14 5 3 4" xfId="22747"/>
    <cellStyle name="Comma 14 5 4" xfId="22748"/>
    <cellStyle name="Comma 14 5 4 2" xfId="22749"/>
    <cellStyle name="Comma 14 5 4 2 2" xfId="22750"/>
    <cellStyle name="Comma 14 5 4 3" xfId="22751"/>
    <cellStyle name="Comma 14 5 5" xfId="22752"/>
    <cellStyle name="Comma 14 5 5 2" xfId="22753"/>
    <cellStyle name="Comma 14 5 6" xfId="22754"/>
    <cellStyle name="Comma 14 6" xfId="4918"/>
    <cellStyle name="Comma 14 6 2" xfId="4919"/>
    <cellStyle name="Comma 14 6 2 2" xfId="22755"/>
    <cellStyle name="Comma 14 6 2 2 2" xfId="22756"/>
    <cellStyle name="Comma 14 6 2 2 2 2" xfId="22757"/>
    <cellStyle name="Comma 14 6 2 2 3" xfId="22758"/>
    <cellStyle name="Comma 14 6 2 3" xfId="22759"/>
    <cellStyle name="Comma 14 6 2 3 2" xfId="22760"/>
    <cellStyle name="Comma 14 6 2 4" xfId="22761"/>
    <cellStyle name="Comma 14 6 2 5" xfId="22762"/>
    <cellStyle name="Comma 14 6 3" xfId="22763"/>
    <cellStyle name="Comma 14 6 3 2" xfId="22764"/>
    <cellStyle name="Comma 14 6 3 2 2" xfId="22765"/>
    <cellStyle name="Comma 14 6 3 3" xfId="22766"/>
    <cellStyle name="Comma 14 6 4" xfId="22767"/>
    <cellStyle name="Comma 14 6 4 2" xfId="22768"/>
    <cellStyle name="Comma 14 6 5" xfId="22769"/>
    <cellStyle name="Comma 14 6 6" xfId="22770"/>
    <cellStyle name="Comma 14 7" xfId="4920"/>
    <cellStyle name="Comma 14 7 2" xfId="4921"/>
    <cellStyle name="Comma 14 7 3" xfId="22771"/>
    <cellStyle name="Comma 14 8" xfId="4922"/>
    <cellStyle name="Comma 14 8 2" xfId="22772"/>
    <cellStyle name="Comma 14 8 2 2" xfId="22773"/>
    <cellStyle name="Comma 14 8 2 2 2" xfId="22774"/>
    <cellStyle name="Comma 14 8 2 3" xfId="22775"/>
    <cellStyle name="Comma 14 8 3" xfId="22776"/>
    <cellStyle name="Comma 14 8 3 2" xfId="22777"/>
    <cellStyle name="Comma 14 8 4" xfId="22778"/>
    <cellStyle name="Comma 14 8 5" xfId="22779"/>
    <cellStyle name="Comma 14 9" xfId="16752"/>
    <cellStyle name="Comma 14 9 2" xfId="22780"/>
    <cellStyle name="Comma 14 9 2 2" xfId="22781"/>
    <cellStyle name="Comma 14 9 3" xfId="22782"/>
    <cellStyle name="Comma 15" xfId="4923"/>
    <cellStyle name="Comma 15 2" xfId="4924"/>
    <cellStyle name="Comma 15 2 2" xfId="4925"/>
    <cellStyle name="Comma 15 2 3" xfId="22783"/>
    <cellStyle name="Comma 15 2 4" xfId="22784"/>
    <cellStyle name="Comma 15 2 5" xfId="22785"/>
    <cellStyle name="Comma 15 3" xfId="4926"/>
    <cellStyle name="Comma 15 3 2" xfId="4927"/>
    <cellStyle name="Comma 15 3 3" xfId="22786"/>
    <cellStyle name="Comma 15 4" xfId="4928"/>
    <cellStyle name="Comma 15 4 2" xfId="4929"/>
    <cellStyle name="Comma 15 5" xfId="4930"/>
    <cellStyle name="Comma 15 5 2" xfId="4931"/>
    <cellStyle name="Comma 15 6" xfId="4932"/>
    <cellStyle name="Comma 15 7" xfId="19131"/>
    <cellStyle name="Comma 15 8" xfId="22787"/>
    <cellStyle name="Comma 16" xfId="4933"/>
    <cellStyle name="Comma 16 2" xfId="4934"/>
    <cellStyle name="Comma 16 2 2" xfId="4935"/>
    <cellStyle name="Comma 16 2 3" xfId="19133"/>
    <cellStyle name="Comma 16 2 4" xfId="22788"/>
    <cellStyle name="Comma 16 3" xfId="4936"/>
    <cellStyle name="Comma 16 3 2" xfId="4937"/>
    <cellStyle name="Comma 16 3 3" xfId="19134"/>
    <cellStyle name="Comma 16 4" xfId="4938"/>
    <cellStyle name="Comma 16 4 2" xfId="4939"/>
    <cellStyle name="Comma 16 5" xfId="4940"/>
    <cellStyle name="Comma 16 6" xfId="19132"/>
    <cellStyle name="Comma 16 7" xfId="22789"/>
    <cellStyle name="Comma 17" xfId="4941"/>
    <cellStyle name="Comma 17 2" xfId="4942"/>
    <cellStyle name="Comma 17 2 2" xfId="4943"/>
    <cellStyle name="Comma 17 2 3" xfId="19136"/>
    <cellStyle name="Comma 17 2 4" xfId="22790"/>
    <cellStyle name="Comma 17 3" xfId="4944"/>
    <cellStyle name="Comma 17 3 2" xfId="4945"/>
    <cellStyle name="Comma 17 3 3" xfId="22791"/>
    <cellStyle name="Comma 17 4" xfId="4946"/>
    <cellStyle name="Comma 17 5" xfId="19135"/>
    <cellStyle name="Comma 17 6" xfId="22792"/>
    <cellStyle name="Comma 18" xfId="4947"/>
    <cellStyle name="Comma 18 10" xfId="22793"/>
    <cellStyle name="Comma 18 11" xfId="22794"/>
    <cellStyle name="Comma 18 2" xfId="4948"/>
    <cellStyle name="Comma 18 2 10" xfId="22795"/>
    <cellStyle name="Comma 18 2 2" xfId="4949"/>
    <cellStyle name="Comma 18 2 2 2" xfId="16753"/>
    <cellStyle name="Comma 18 2 2 2 2" xfId="16754"/>
    <cellStyle name="Comma 18 2 2 2 2 2" xfId="16755"/>
    <cellStyle name="Comma 18 2 2 2 2 2 2" xfId="22796"/>
    <cellStyle name="Comma 18 2 2 2 2 2 2 2" xfId="22797"/>
    <cellStyle name="Comma 18 2 2 2 2 2 2 2 2" xfId="22798"/>
    <cellStyle name="Comma 18 2 2 2 2 2 2 3" xfId="22799"/>
    <cellStyle name="Comma 18 2 2 2 2 2 3" xfId="22800"/>
    <cellStyle name="Comma 18 2 2 2 2 2 3 2" xfId="22801"/>
    <cellStyle name="Comma 18 2 2 2 2 2 4" xfId="22802"/>
    <cellStyle name="Comma 18 2 2 2 2 3" xfId="22803"/>
    <cellStyle name="Comma 18 2 2 2 2 3 2" xfId="22804"/>
    <cellStyle name="Comma 18 2 2 2 2 3 2 2" xfId="22805"/>
    <cellStyle name="Comma 18 2 2 2 2 3 3" xfId="22806"/>
    <cellStyle name="Comma 18 2 2 2 2 4" xfId="22807"/>
    <cellStyle name="Comma 18 2 2 2 2 4 2" xfId="22808"/>
    <cellStyle name="Comma 18 2 2 2 2 5" xfId="22809"/>
    <cellStyle name="Comma 18 2 2 2 3" xfId="16756"/>
    <cellStyle name="Comma 18 2 2 2 3 2" xfId="22810"/>
    <cellStyle name="Comma 18 2 2 2 3 2 2" xfId="22811"/>
    <cellStyle name="Comma 18 2 2 2 3 2 2 2" xfId="22812"/>
    <cellStyle name="Comma 18 2 2 2 3 2 3" xfId="22813"/>
    <cellStyle name="Comma 18 2 2 2 3 3" xfId="22814"/>
    <cellStyle name="Comma 18 2 2 2 3 3 2" xfId="22815"/>
    <cellStyle name="Comma 18 2 2 2 3 4" xfId="22816"/>
    <cellStyle name="Comma 18 2 2 2 4" xfId="22817"/>
    <cellStyle name="Comma 18 2 2 2 4 2" xfId="22818"/>
    <cellStyle name="Comma 18 2 2 2 4 2 2" xfId="22819"/>
    <cellStyle name="Comma 18 2 2 2 4 3" xfId="22820"/>
    <cellStyle name="Comma 18 2 2 2 5" xfId="22821"/>
    <cellStyle name="Comma 18 2 2 2 5 2" xfId="22822"/>
    <cellStyle name="Comma 18 2 2 2 6" xfId="22823"/>
    <cellStyle name="Comma 18 2 2 3" xfId="16757"/>
    <cellStyle name="Comma 18 2 2 3 2" xfId="16758"/>
    <cellStyle name="Comma 18 2 2 3 2 2" xfId="22824"/>
    <cellStyle name="Comma 18 2 2 3 2 2 2" xfId="22825"/>
    <cellStyle name="Comma 18 2 2 3 2 2 2 2" xfId="22826"/>
    <cellStyle name="Comma 18 2 2 3 2 2 3" xfId="22827"/>
    <cellStyle name="Comma 18 2 2 3 2 3" xfId="22828"/>
    <cellStyle name="Comma 18 2 2 3 2 3 2" xfId="22829"/>
    <cellStyle name="Comma 18 2 2 3 2 4" xfId="22830"/>
    <cellStyle name="Comma 18 2 2 3 3" xfId="22831"/>
    <cellStyle name="Comma 18 2 2 3 3 2" xfId="22832"/>
    <cellStyle name="Comma 18 2 2 3 3 2 2" xfId="22833"/>
    <cellStyle name="Comma 18 2 2 3 3 3" xfId="22834"/>
    <cellStyle name="Comma 18 2 2 3 4" xfId="22835"/>
    <cellStyle name="Comma 18 2 2 3 4 2" xfId="22836"/>
    <cellStyle name="Comma 18 2 2 3 5" xfId="22837"/>
    <cellStyle name="Comma 18 2 2 4" xfId="16759"/>
    <cellStyle name="Comma 18 2 2 4 2" xfId="22838"/>
    <cellStyle name="Comma 18 2 2 4 2 2" xfId="22839"/>
    <cellStyle name="Comma 18 2 2 4 2 2 2" xfId="22840"/>
    <cellStyle name="Comma 18 2 2 4 2 3" xfId="22841"/>
    <cellStyle name="Comma 18 2 2 4 3" xfId="22842"/>
    <cellStyle name="Comma 18 2 2 4 3 2" xfId="22843"/>
    <cellStyle name="Comma 18 2 2 4 4" xfId="22844"/>
    <cellStyle name="Comma 18 2 2 5" xfId="16760"/>
    <cellStyle name="Comma 18 2 2 5 2" xfId="22845"/>
    <cellStyle name="Comma 18 2 2 5 2 2" xfId="22846"/>
    <cellStyle name="Comma 18 2 2 5 3" xfId="22847"/>
    <cellStyle name="Comma 18 2 2 6" xfId="19139"/>
    <cellStyle name="Comma 18 2 2 6 2" xfId="22848"/>
    <cellStyle name="Comma 18 2 2 7" xfId="22849"/>
    <cellStyle name="Comma 18 2 3" xfId="16761"/>
    <cellStyle name="Comma 18 2 3 2" xfId="16762"/>
    <cellStyle name="Comma 18 2 3 2 2" xfId="16763"/>
    <cellStyle name="Comma 18 2 3 2 2 2" xfId="22850"/>
    <cellStyle name="Comma 18 2 3 2 2 2 2" xfId="22851"/>
    <cellStyle name="Comma 18 2 3 2 2 2 2 2" xfId="22852"/>
    <cellStyle name="Comma 18 2 3 2 2 2 3" xfId="22853"/>
    <cellStyle name="Comma 18 2 3 2 2 3" xfId="22854"/>
    <cellStyle name="Comma 18 2 3 2 2 3 2" xfId="22855"/>
    <cellStyle name="Comma 18 2 3 2 2 4" xfId="22856"/>
    <cellStyle name="Comma 18 2 3 2 3" xfId="22857"/>
    <cellStyle name="Comma 18 2 3 2 3 2" xfId="22858"/>
    <cellStyle name="Comma 18 2 3 2 3 2 2" xfId="22859"/>
    <cellStyle name="Comma 18 2 3 2 3 3" xfId="22860"/>
    <cellStyle name="Comma 18 2 3 2 4" xfId="22861"/>
    <cellStyle name="Comma 18 2 3 2 4 2" xfId="22862"/>
    <cellStyle name="Comma 18 2 3 2 5" xfId="22863"/>
    <cellStyle name="Comma 18 2 3 3" xfId="16764"/>
    <cellStyle name="Comma 18 2 3 3 2" xfId="22864"/>
    <cellStyle name="Comma 18 2 3 3 2 2" xfId="22865"/>
    <cellStyle name="Comma 18 2 3 3 2 2 2" xfId="22866"/>
    <cellStyle name="Comma 18 2 3 3 2 3" xfId="22867"/>
    <cellStyle name="Comma 18 2 3 3 3" xfId="22868"/>
    <cellStyle name="Comma 18 2 3 3 3 2" xfId="22869"/>
    <cellStyle name="Comma 18 2 3 3 4" xfId="22870"/>
    <cellStyle name="Comma 18 2 3 4" xfId="22871"/>
    <cellStyle name="Comma 18 2 3 4 2" xfId="22872"/>
    <cellStyle name="Comma 18 2 3 4 2 2" xfId="22873"/>
    <cellStyle name="Comma 18 2 3 4 3" xfId="22874"/>
    <cellStyle name="Comma 18 2 3 5" xfId="22875"/>
    <cellStyle name="Comma 18 2 3 5 2" xfId="22876"/>
    <cellStyle name="Comma 18 2 3 6" xfId="22877"/>
    <cellStyle name="Comma 18 2 4" xfId="16765"/>
    <cellStyle name="Comma 18 2 4 2" xfId="16766"/>
    <cellStyle name="Comma 18 2 4 2 2" xfId="22878"/>
    <cellStyle name="Comma 18 2 4 2 2 2" xfId="22879"/>
    <cellStyle name="Comma 18 2 4 2 2 2 2" xfId="22880"/>
    <cellStyle name="Comma 18 2 4 2 2 3" xfId="22881"/>
    <cellStyle name="Comma 18 2 4 2 3" xfId="22882"/>
    <cellStyle name="Comma 18 2 4 2 3 2" xfId="22883"/>
    <cellStyle name="Comma 18 2 4 2 4" xfId="22884"/>
    <cellStyle name="Comma 18 2 4 3" xfId="22885"/>
    <cellStyle name="Comma 18 2 4 3 2" xfId="22886"/>
    <cellStyle name="Comma 18 2 4 3 2 2" xfId="22887"/>
    <cellStyle name="Comma 18 2 4 3 3" xfId="22888"/>
    <cellStyle name="Comma 18 2 4 4" xfId="22889"/>
    <cellStyle name="Comma 18 2 4 4 2" xfId="22890"/>
    <cellStyle name="Comma 18 2 4 5" xfId="22891"/>
    <cellStyle name="Comma 18 2 5" xfId="16767"/>
    <cellStyle name="Comma 18 2 5 2" xfId="22892"/>
    <cellStyle name="Comma 18 2 5 2 2" xfId="22893"/>
    <cellStyle name="Comma 18 2 5 2 2 2" xfId="22894"/>
    <cellStyle name="Comma 18 2 5 2 3" xfId="22895"/>
    <cellStyle name="Comma 18 2 5 3" xfId="22896"/>
    <cellStyle name="Comma 18 2 5 3 2" xfId="22897"/>
    <cellStyle name="Comma 18 2 5 4" xfId="22898"/>
    <cellStyle name="Comma 18 2 6" xfId="16768"/>
    <cellStyle name="Comma 18 2 7" xfId="19138"/>
    <cellStyle name="Comma 18 2 7 2" xfId="22899"/>
    <cellStyle name="Comma 18 2 7 2 2" xfId="22900"/>
    <cellStyle name="Comma 18 2 7 3" xfId="22901"/>
    <cellStyle name="Comma 18 2 8" xfId="22902"/>
    <cellStyle name="Comma 18 2 8 2" xfId="22903"/>
    <cellStyle name="Comma 18 2 9" xfId="22904"/>
    <cellStyle name="Comma 18 3" xfId="4950"/>
    <cellStyle name="Comma 18 3 2" xfId="16769"/>
    <cellStyle name="Comma 18 3 2 2" xfId="16770"/>
    <cellStyle name="Comma 18 3 2 2 2" xfId="16771"/>
    <cellStyle name="Comma 18 3 2 2 2 2" xfId="22905"/>
    <cellStyle name="Comma 18 3 2 2 2 2 2" xfId="22906"/>
    <cellStyle name="Comma 18 3 2 2 2 2 2 2" xfId="22907"/>
    <cellStyle name="Comma 18 3 2 2 2 2 3" xfId="22908"/>
    <cellStyle name="Comma 18 3 2 2 2 3" xfId="22909"/>
    <cellStyle name="Comma 18 3 2 2 2 3 2" xfId="22910"/>
    <cellStyle name="Comma 18 3 2 2 2 4" xfId="22911"/>
    <cellStyle name="Comma 18 3 2 2 3" xfId="22912"/>
    <cellStyle name="Comma 18 3 2 2 3 2" xfId="22913"/>
    <cellStyle name="Comma 18 3 2 2 3 2 2" xfId="22914"/>
    <cellStyle name="Comma 18 3 2 2 3 3" xfId="22915"/>
    <cellStyle name="Comma 18 3 2 2 4" xfId="22916"/>
    <cellStyle name="Comma 18 3 2 2 4 2" xfId="22917"/>
    <cellStyle name="Comma 18 3 2 2 5" xfId="22918"/>
    <cellStyle name="Comma 18 3 2 3" xfId="16772"/>
    <cellStyle name="Comma 18 3 2 3 2" xfId="22919"/>
    <cellStyle name="Comma 18 3 2 3 2 2" xfId="22920"/>
    <cellStyle name="Comma 18 3 2 3 2 2 2" xfId="22921"/>
    <cellStyle name="Comma 18 3 2 3 2 3" xfId="22922"/>
    <cellStyle name="Comma 18 3 2 3 3" xfId="22923"/>
    <cellStyle name="Comma 18 3 2 3 3 2" xfId="22924"/>
    <cellStyle name="Comma 18 3 2 3 4" xfId="22925"/>
    <cellStyle name="Comma 18 3 2 4" xfId="22926"/>
    <cellStyle name="Comma 18 3 2 4 2" xfId="22927"/>
    <cellStyle name="Comma 18 3 2 4 2 2" xfId="22928"/>
    <cellStyle name="Comma 18 3 2 4 3" xfId="22929"/>
    <cellStyle name="Comma 18 3 2 5" xfId="22930"/>
    <cellStyle name="Comma 18 3 2 5 2" xfId="22931"/>
    <cellStyle name="Comma 18 3 2 6" xfId="22932"/>
    <cellStyle name="Comma 18 3 3" xfId="16773"/>
    <cellStyle name="Comma 18 3 3 2" xfId="16774"/>
    <cellStyle name="Comma 18 3 3 2 2" xfId="22933"/>
    <cellStyle name="Comma 18 3 3 2 2 2" xfId="22934"/>
    <cellStyle name="Comma 18 3 3 2 2 2 2" xfId="22935"/>
    <cellStyle name="Comma 18 3 3 2 2 3" xfId="22936"/>
    <cellStyle name="Comma 18 3 3 2 3" xfId="22937"/>
    <cellStyle name="Comma 18 3 3 2 3 2" xfId="22938"/>
    <cellStyle name="Comma 18 3 3 2 4" xfId="22939"/>
    <cellStyle name="Comma 18 3 3 3" xfId="22940"/>
    <cellStyle name="Comma 18 3 3 3 2" xfId="22941"/>
    <cellStyle name="Comma 18 3 3 3 2 2" xfId="22942"/>
    <cellStyle name="Comma 18 3 3 3 3" xfId="22943"/>
    <cellStyle name="Comma 18 3 3 4" xfId="22944"/>
    <cellStyle name="Comma 18 3 3 4 2" xfId="22945"/>
    <cellStyle name="Comma 18 3 3 5" xfId="22946"/>
    <cellStyle name="Comma 18 3 4" xfId="16775"/>
    <cellStyle name="Comma 18 3 4 2" xfId="22947"/>
    <cellStyle name="Comma 18 3 4 2 2" xfId="22948"/>
    <cellStyle name="Comma 18 3 4 2 2 2" xfId="22949"/>
    <cellStyle name="Comma 18 3 4 2 3" xfId="22950"/>
    <cellStyle name="Comma 18 3 4 3" xfId="22951"/>
    <cellStyle name="Comma 18 3 4 3 2" xfId="22952"/>
    <cellStyle name="Comma 18 3 4 4" xfId="22953"/>
    <cellStyle name="Comma 18 3 5" xfId="16776"/>
    <cellStyle name="Comma 18 3 5 2" xfId="22954"/>
    <cellStyle name="Comma 18 3 5 2 2" xfId="22955"/>
    <cellStyle name="Comma 18 3 5 3" xfId="22956"/>
    <cellStyle name="Comma 18 3 6" xfId="19140"/>
    <cellStyle name="Comma 18 3 6 2" xfId="22957"/>
    <cellStyle name="Comma 18 3 7" xfId="22958"/>
    <cellStyle name="Comma 18 4" xfId="16777"/>
    <cellStyle name="Comma 18 4 2" xfId="16778"/>
    <cellStyle name="Comma 18 4 2 2" xfId="16779"/>
    <cellStyle name="Comma 18 4 2 2 2" xfId="22959"/>
    <cellStyle name="Comma 18 4 2 2 2 2" xfId="22960"/>
    <cellStyle name="Comma 18 4 2 2 2 2 2" xfId="22961"/>
    <cellStyle name="Comma 18 4 2 2 2 3" xfId="22962"/>
    <cellStyle name="Comma 18 4 2 2 3" xfId="22963"/>
    <cellStyle name="Comma 18 4 2 2 3 2" xfId="22964"/>
    <cellStyle name="Comma 18 4 2 2 4" xfId="22965"/>
    <cellStyle name="Comma 18 4 2 3" xfId="22966"/>
    <cellStyle name="Comma 18 4 2 3 2" xfId="22967"/>
    <cellStyle name="Comma 18 4 2 3 2 2" xfId="22968"/>
    <cellStyle name="Comma 18 4 2 3 3" xfId="22969"/>
    <cellStyle name="Comma 18 4 2 4" xfId="22970"/>
    <cellStyle name="Comma 18 4 2 4 2" xfId="22971"/>
    <cellStyle name="Comma 18 4 2 5" xfId="22972"/>
    <cellStyle name="Comma 18 4 3" xfId="16780"/>
    <cellStyle name="Comma 18 4 3 2" xfId="22973"/>
    <cellStyle name="Comma 18 4 3 2 2" xfId="22974"/>
    <cellStyle name="Comma 18 4 3 2 2 2" xfId="22975"/>
    <cellStyle name="Comma 18 4 3 2 3" xfId="22976"/>
    <cellStyle name="Comma 18 4 3 3" xfId="22977"/>
    <cellStyle name="Comma 18 4 3 3 2" xfId="22978"/>
    <cellStyle name="Comma 18 4 3 4" xfId="22979"/>
    <cellStyle name="Comma 18 4 4" xfId="22980"/>
    <cellStyle name="Comma 18 4 4 2" xfId="22981"/>
    <cellStyle name="Comma 18 4 4 2 2" xfId="22982"/>
    <cellStyle name="Comma 18 4 4 3" xfId="22983"/>
    <cellStyle name="Comma 18 4 5" xfId="22984"/>
    <cellStyle name="Comma 18 4 5 2" xfId="22985"/>
    <cellStyle name="Comma 18 4 6" xfId="22986"/>
    <cellStyle name="Comma 18 5" xfId="16781"/>
    <cellStyle name="Comma 18 5 2" xfId="16782"/>
    <cellStyle name="Comma 18 5 2 2" xfId="22987"/>
    <cellStyle name="Comma 18 5 2 2 2" xfId="22988"/>
    <cellStyle name="Comma 18 5 2 2 2 2" xfId="22989"/>
    <cellStyle name="Comma 18 5 2 2 3" xfId="22990"/>
    <cellStyle name="Comma 18 5 2 3" xfId="22991"/>
    <cellStyle name="Comma 18 5 2 3 2" xfId="22992"/>
    <cellStyle name="Comma 18 5 2 4" xfId="22993"/>
    <cellStyle name="Comma 18 5 3" xfId="22994"/>
    <cellStyle name="Comma 18 5 3 2" xfId="22995"/>
    <cellStyle name="Comma 18 5 3 2 2" xfId="22996"/>
    <cellStyle name="Comma 18 5 3 3" xfId="22997"/>
    <cellStyle name="Comma 18 5 4" xfId="22998"/>
    <cellStyle name="Comma 18 5 4 2" xfId="22999"/>
    <cellStyle name="Comma 18 5 5" xfId="23000"/>
    <cellStyle name="Comma 18 6" xfId="16783"/>
    <cellStyle name="Comma 18 7" xfId="16784"/>
    <cellStyle name="Comma 18 7 2" xfId="23001"/>
    <cellStyle name="Comma 18 7 2 2" xfId="23002"/>
    <cellStyle name="Comma 18 7 2 2 2" xfId="23003"/>
    <cellStyle name="Comma 18 7 2 3" xfId="23004"/>
    <cellStyle name="Comma 18 7 3" xfId="23005"/>
    <cellStyle name="Comma 18 7 3 2" xfId="23006"/>
    <cellStyle name="Comma 18 7 4" xfId="23007"/>
    <cellStyle name="Comma 18 8" xfId="16785"/>
    <cellStyle name="Comma 18 8 2" xfId="23008"/>
    <cellStyle name="Comma 18 8 2 2" xfId="23009"/>
    <cellStyle name="Comma 18 8 3" xfId="23010"/>
    <cellStyle name="Comma 18 9" xfId="19137"/>
    <cellStyle name="Comma 18 9 2" xfId="23011"/>
    <cellStyle name="Comma 19" xfId="4951"/>
    <cellStyle name="Comma 19 2" xfId="4952"/>
    <cellStyle name="Comma 19 2 2" xfId="4953"/>
    <cellStyle name="Comma 19 2 3" xfId="23012"/>
    <cellStyle name="Comma 19 2 4" xfId="23013"/>
    <cellStyle name="Comma 19 3" xfId="4954"/>
    <cellStyle name="Comma 19 4" xfId="19141"/>
    <cellStyle name="Comma 19 5" xfId="23014"/>
    <cellStyle name="Comma 2" xfId="44"/>
    <cellStyle name="Comma 2 10" xfId="4955"/>
    <cellStyle name="Comma 2 10 2" xfId="4956"/>
    <cellStyle name="Comma 2 10 2 2" xfId="4957"/>
    <cellStyle name="Comma 2 10 2 3" xfId="19143"/>
    <cellStyle name="Comma 2 10 3" xfId="4958"/>
    <cellStyle name="Comma 2 10 3 2" xfId="4959"/>
    <cellStyle name="Comma 2 10 3 3" xfId="19144"/>
    <cellStyle name="Comma 2 10 4" xfId="4960"/>
    <cellStyle name="Comma 2 10 5" xfId="19142"/>
    <cellStyle name="Comma 2 11" xfId="4961"/>
    <cellStyle name="Comma 2 11 2" xfId="4962"/>
    <cellStyle name="Comma 2 11 2 2" xfId="19145"/>
    <cellStyle name="Comma 2 11 3" xfId="16786"/>
    <cellStyle name="Comma 2 12" xfId="4963"/>
    <cellStyle name="Comma 2 12 2" xfId="4964"/>
    <cellStyle name="Comma 2 12 2 2" xfId="19146"/>
    <cellStyle name="Comma 2 12 3" xfId="16787"/>
    <cellStyle name="Comma 2 13" xfId="4965"/>
    <cellStyle name="Comma 2 13 2" xfId="4966"/>
    <cellStyle name="Comma 2 13 2 2" xfId="19147"/>
    <cellStyle name="Comma 2 13 3" xfId="16788"/>
    <cellStyle name="Comma 2 14" xfId="4967"/>
    <cellStyle name="Comma 2 14 2" xfId="4968"/>
    <cellStyle name="Comma 2 14 2 2" xfId="19148"/>
    <cellStyle name="Comma 2 14 3" xfId="16789"/>
    <cellStyle name="Comma 2 15" xfId="4969"/>
    <cellStyle name="Comma 2 15 2" xfId="16790"/>
    <cellStyle name="Comma 2 15 2 2" xfId="23015"/>
    <cellStyle name="Comma 2 15 3" xfId="16791"/>
    <cellStyle name="Comma 2 16" xfId="4970"/>
    <cellStyle name="Comma 2 16 2" xfId="19149"/>
    <cellStyle name="Comma 2 17" xfId="16792"/>
    <cellStyle name="Comma 2 17 2" xfId="23016"/>
    <cellStyle name="Comma 2 18" xfId="16793"/>
    <cellStyle name="Comma 2 18 2" xfId="16794"/>
    <cellStyle name="Comma 2 18 2 2" xfId="23017"/>
    <cellStyle name="Comma 2 18 2 2 2" xfId="23018"/>
    <cellStyle name="Comma 2 18 2 2 2 2" xfId="23019"/>
    <cellStyle name="Comma 2 18 2 2 3" xfId="23020"/>
    <cellStyle name="Comma 2 18 2 3" xfId="23021"/>
    <cellStyle name="Comma 2 18 2 3 2" xfId="23022"/>
    <cellStyle name="Comma 2 18 2 4" xfId="23023"/>
    <cellStyle name="Comma 2 18 3" xfId="23024"/>
    <cellStyle name="Comma 2 18 3 2" xfId="23025"/>
    <cellStyle name="Comma 2 18 3 2 2" xfId="23026"/>
    <cellStyle name="Comma 2 18 3 3" xfId="23027"/>
    <cellStyle name="Comma 2 18 4" xfId="23028"/>
    <cellStyle name="Comma 2 18 4 2" xfId="23029"/>
    <cellStyle name="Comma 2 18 5" xfId="23030"/>
    <cellStyle name="Comma 2 19" xfId="16795"/>
    <cellStyle name="Comma 2 19 2" xfId="16796"/>
    <cellStyle name="Comma 2 2" xfId="45"/>
    <cellStyle name="Comma 2 2 2" xfId="4971"/>
    <cellStyle name="Comma 2 2 2 2" xfId="4972"/>
    <cellStyle name="Comma 2 2 2 2 2" xfId="23031"/>
    <cellStyle name="Comma 2 2 2 2 3" xfId="23032"/>
    <cellStyle name="Comma 2 2 2 3" xfId="19151"/>
    <cellStyle name="Comma 2 2 2 4" xfId="23033"/>
    <cellStyle name="Comma 2 2 3" xfId="4973"/>
    <cellStyle name="Comma 2 2 3 2" xfId="4974"/>
    <cellStyle name="Comma 2 2 3 3" xfId="19152"/>
    <cellStyle name="Comma 2 2 3 4" xfId="23034"/>
    <cellStyle name="Comma 2 2 4" xfId="4975"/>
    <cellStyle name="Comma 2 2 4 2" xfId="23035"/>
    <cellStyle name="Comma 2 2 5" xfId="19150"/>
    <cellStyle name="Comma 2 2 5 2" xfId="23036"/>
    <cellStyle name="Comma 2 2 5 2 2" xfId="23037"/>
    <cellStyle name="Comma 2 2 5 2 2 2" xfId="23038"/>
    <cellStyle name="Comma 2 2 5 2 3" xfId="23039"/>
    <cellStyle name="Comma 2 2 5 3" xfId="23040"/>
    <cellStyle name="Comma 2 2 5 3 2" xfId="23041"/>
    <cellStyle name="Comma 2 2 5 4" xfId="23042"/>
    <cellStyle name="Comma 2 2 6" xfId="23043"/>
    <cellStyle name="Comma 2 20" xfId="16797"/>
    <cellStyle name="Comma 2 21" xfId="16798"/>
    <cellStyle name="Comma 2 21 2" xfId="23044"/>
    <cellStyle name="Comma 2 21 2 2" xfId="23045"/>
    <cellStyle name="Comma 2 21 2 2 2" xfId="23046"/>
    <cellStyle name="Comma 2 21 2 3" xfId="23047"/>
    <cellStyle name="Comma 2 21 3" xfId="23048"/>
    <cellStyle name="Comma 2 21 3 2" xfId="23049"/>
    <cellStyle name="Comma 2 21 4" xfId="23050"/>
    <cellStyle name="Comma 2 22" xfId="16799"/>
    <cellStyle name="Comma 2 23" xfId="16800"/>
    <cellStyle name="Comma 2 24" xfId="23051"/>
    <cellStyle name="Comma 2 24 2" xfId="23052"/>
    <cellStyle name="Comma 2 24 2 2" xfId="23053"/>
    <cellStyle name="Comma 2 24 2 2 2" xfId="23054"/>
    <cellStyle name="Comma 2 24 2 3" xfId="23055"/>
    <cellStyle name="Comma 2 24 3" xfId="23056"/>
    <cellStyle name="Comma 2 24 3 2" xfId="23057"/>
    <cellStyle name="Comma 2 24 4" xfId="23058"/>
    <cellStyle name="Comma 2 25" xfId="23059"/>
    <cellStyle name="Comma 2 26" xfId="23060"/>
    <cellStyle name="Comma 2 27" xfId="23061"/>
    <cellStyle name="Comma 2 27 2" xfId="23062"/>
    <cellStyle name="Comma 2 27 2 2" xfId="23063"/>
    <cellStyle name="Comma 2 27 2 2 2" xfId="23064"/>
    <cellStyle name="Comma 2 27 2 3" xfId="23065"/>
    <cellStyle name="Comma 2 27 3" xfId="23066"/>
    <cellStyle name="Comma 2 27 3 2" xfId="23067"/>
    <cellStyle name="Comma 2 27 4" xfId="23068"/>
    <cellStyle name="Comma 2 3" xfId="4976"/>
    <cellStyle name="Comma 2 3 2" xfId="4977"/>
    <cellStyle name="Comma 2 3 2 2" xfId="4978"/>
    <cellStyle name="Comma 2 3 2 3" xfId="19154"/>
    <cellStyle name="Comma 2 3 2 4" xfId="23069"/>
    <cellStyle name="Comma 2 3 2 5" xfId="23070"/>
    <cellStyle name="Comma 2 3 3" xfId="4979"/>
    <cellStyle name="Comma 2 3 3 2" xfId="4980"/>
    <cellStyle name="Comma 2 3 3 3" xfId="19155"/>
    <cellStyle name="Comma 2 3 4" xfId="4981"/>
    <cellStyle name="Comma 2 3 5" xfId="19153"/>
    <cellStyle name="Comma 2 3 6" xfId="23071"/>
    <cellStyle name="Comma 2 3 7" xfId="23072"/>
    <cellStyle name="Comma 2 3 8" xfId="23073"/>
    <cellStyle name="Comma 2 4" xfId="4982"/>
    <cellStyle name="Comma 2 4 2" xfId="4983"/>
    <cellStyle name="Comma 2 4 2 2" xfId="4984"/>
    <cellStyle name="Comma 2 4 2 3" xfId="19157"/>
    <cellStyle name="Comma 2 4 2 4" xfId="23074"/>
    <cellStyle name="Comma 2 4 3" xfId="4985"/>
    <cellStyle name="Comma 2 4 3 2" xfId="19158"/>
    <cellStyle name="Comma 2 4 4" xfId="19156"/>
    <cellStyle name="Comma 2 4 5" xfId="23075"/>
    <cellStyle name="Comma 2 5" xfId="4986"/>
    <cellStyle name="Comma 2 5 10" xfId="4987"/>
    <cellStyle name="Comma 2 5 10 2" xfId="4988"/>
    <cellStyle name="Comma 2 5 10 2 2" xfId="4989"/>
    <cellStyle name="Comma 2 5 10 3" xfId="4990"/>
    <cellStyle name="Comma 2 5 10 3 2" xfId="4991"/>
    <cellStyle name="Comma 2 5 10 4" xfId="4992"/>
    <cellStyle name="Comma 2 5 10 4 2" xfId="4993"/>
    <cellStyle name="Comma 2 5 10 5" xfId="4994"/>
    <cellStyle name="Comma 2 5 11" xfId="4995"/>
    <cellStyle name="Comma 2 5 11 2" xfId="4996"/>
    <cellStyle name="Comma 2 5 11 2 2" xfId="4997"/>
    <cellStyle name="Comma 2 5 11 3" xfId="4998"/>
    <cellStyle name="Comma 2 5 11 3 2" xfId="4999"/>
    <cellStyle name="Comma 2 5 11 4" xfId="5000"/>
    <cellStyle name="Comma 2 5 12" xfId="5001"/>
    <cellStyle name="Comma 2 5 12 2" xfId="5002"/>
    <cellStyle name="Comma 2 5 13" xfId="5003"/>
    <cellStyle name="Comma 2 5 14" xfId="19159"/>
    <cellStyle name="Comma 2 5 15" xfId="23076"/>
    <cellStyle name="Comma 2 5 16" xfId="23077"/>
    <cellStyle name="Comma 2 5 2" xfId="5004"/>
    <cellStyle name="Comma 2 5 2 10" xfId="5005"/>
    <cellStyle name="Comma 2 5 2 10 2" xfId="5006"/>
    <cellStyle name="Comma 2 5 2 10 2 2" xfId="5007"/>
    <cellStyle name="Comma 2 5 2 10 3" xfId="5008"/>
    <cellStyle name="Comma 2 5 2 10 3 2" xfId="5009"/>
    <cellStyle name="Comma 2 5 2 10 4" xfId="5010"/>
    <cellStyle name="Comma 2 5 2 11" xfId="5011"/>
    <cellStyle name="Comma 2 5 2 11 2" xfId="5012"/>
    <cellStyle name="Comma 2 5 2 12" xfId="5013"/>
    <cellStyle name="Comma 2 5 2 13" xfId="19160"/>
    <cellStyle name="Comma 2 5 2 14" xfId="23078"/>
    <cellStyle name="Comma 2 5 2 15" xfId="23079"/>
    <cellStyle name="Comma 2 5 2 2" xfId="5014"/>
    <cellStyle name="Comma 2 5 2 2 2" xfId="5015"/>
    <cellStyle name="Comma 2 5 2 2 2 2" xfId="5016"/>
    <cellStyle name="Comma 2 5 2 2 2 2 2" xfId="5017"/>
    <cellStyle name="Comma 2 5 2 2 2 3" xfId="5018"/>
    <cellStyle name="Comma 2 5 2 2 2 3 2" xfId="5019"/>
    <cellStyle name="Comma 2 5 2 2 2 4" xfId="5020"/>
    <cellStyle name="Comma 2 5 2 2 3" xfId="5021"/>
    <cellStyle name="Comma 2 5 2 2 3 2" xfId="5022"/>
    <cellStyle name="Comma 2 5 2 2 4" xfId="5023"/>
    <cellStyle name="Comma 2 5 2 2 4 2" xfId="5024"/>
    <cellStyle name="Comma 2 5 2 2 5" xfId="5025"/>
    <cellStyle name="Comma 2 5 2 3" xfId="5026"/>
    <cellStyle name="Comma 2 5 2 3 10" xfId="5027"/>
    <cellStyle name="Comma 2 5 2 3 2" xfId="5028"/>
    <cellStyle name="Comma 2 5 2 3 2 2" xfId="5029"/>
    <cellStyle name="Comma 2 5 2 3 2 2 2" xfId="5030"/>
    <cellStyle name="Comma 2 5 2 3 2 2 2 2" xfId="5031"/>
    <cellStyle name="Comma 2 5 2 3 2 2 2 2 2" xfId="5032"/>
    <cellStyle name="Comma 2 5 2 3 2 2 2 3" xfId="5033"/>
    <cellStyle name="Comma 2 5 2 3 2 2 2 3 2" xfId="5034"/>
    <cellStyle name="Comma 2 5 2 3 2 2 2 4" xfId="5035"/>
    <cellStyle name="Comma 2 5 2 3 2 2 2 4 2" xfId="5036"/>
    <cellStyle name="Comma 2 5 2 3 2 2 2 5" xfId="5037"/>
    <cellStyle name="Comma 2 5 2 3 2 2 3" xfId="5038"/>
    <cellStyle name="Comma 2 5 2 3 2 2 3 2" xfId="5039"/>
    <cellStyle name="Comma 2 5 2 3 2 2 4" xfId="5040"/>
    <cellStyle name="Comma 2 5 2 3 2 2 4 2" xfId="5041"/>
    <cellStyle name="Comma 2 5 2 3 2 2 4 2 2" xfId="5042"/>
    <cellStyle name="Comma 2 5 2 3 2 2 4 3" xfId="5043"/>
    <cellStyle name="Comma 2 5 2 3 2 2 4 3 2" xfId="5044"/>
    <cellStyle name="Comma 2 5 2 3 2 2 4 4" xfId="5045"/>
    <cellStyle name="Comma 2 5 2 3 2 2 5" xfId="5046"/>
    <cellStyle name="Comma 2 5 2 3 2 2 5 2" xfId="5047"/>
    <cellStyle name="Comma 2 5 2 3 2 2 6" xfId="5048"/>
    <cellStyle name="Comma 2 5 2 3 2 2 6 2" xfId="5049"/>
    <cellStyle name="Comma 2 5 2 3 2 2 7" xfId="5050"/>
    <cellStyle name="Comma 2 5 2 3 2 3" xfId="5051"/>
    <cellStyle name="Comma 2 5 2 3 2 3 2" xfId="5052"/>
    <cellStyle name="Comma 2 5 2 3 2 3 2 2" xfId="5053"/>
    <cellStyle name="Comma 2 5 2 3 2 3 2 2 2" xfId="5054"/>
    <cellStyle name="Comma 2 5 2 3 2 3 2 3" xfId="5055"/>
    <cellStyle name="Comma 2 5 2 3 2 3 2 3 2" xfId="5056"/>
    <cellStyle name="Comma 2 5 2 3 2 3 2 4" xfId="5057"/>
    <cellStyle name="Comma 2 5 2 3 2 3 2 4 2" xfId="5058"/>
    <cellStyle name="Comma 2 5 2 3 2 3 2 5" xfId="5059"/>
    <cellStyle name="Comma 2 5 2 3 2 3 3" xfId="5060"/>
    <cellStyle name="Comma 2 5 2 3 2 3 3 2" xfId="5061"/>
    <cellStyle name="Comma 2 5 2 3 2 3 4" xfId="5062"/>
    <cellStyle name="Comma 2 5 2 3 2 3 4 2" xfId="5063"/>
    <cellStyle name="Comma 2 5 2 3 2 3 4 2 2" xfId="5064"/>
    <cellStyle name="Comma 2 5 2 3 2 3 4 3" xfId="5065"/>
    <cellStyle name="Comma 2 5 2 3 2 3 4 3 2" xfId="5066"/>
    <cellStyle name="Comma 2 5 2 3 2 3 4 4" xfId="5067"/>
    <cellStyle name="Comma 2 5 2 3 2 3 5" xfId="5068"/>
    <cellStyle name="Comma 2 5 2 3 2 3 5 2" xfId="5069"/>
    <cellStyle name="Comma 2 5 2 3 2 3 6" xfId="5070"/>
    <cellStyle name="Comma 2 5 2 3 2 3 6 2" xfId="5071"/>
    <cellStyle name="Comma 2 5 2 3 2 3 7" xfId="5072"/>
    <cellStyle name="Comma 2 5 2 3 2 4" xfId="5073"/>
    <cellStyle name="Comma 2 5 2 3 2 4 2" xfId="5074"/>
    <cellStyle name="Comma 2 5 2 3 2 4 2 2" xfId="5075"/>
    <cellStyle name="Comma 2 5 2 3 2 4 3" xfId="5076"/>
    <cellStyle name="Comma 2 5 2 3 2 4 3 2" xfId="5077"/>
    <cellStyle name="Comma 2 5 2 3 2 4 4" xfId="5078"/>
    <cellStyle name="Comma 2 5 2 3 2 4 4 2" xfId="5079"/>
    <cellStyle name="Comma 2 5 2 3 2 4 5" xfId="5080"/>
    <cellStyle name="Comma 2 5 2 3 2 5" xfId="5081"/>
    <cellStyle name="Comma 2 5 2 3 2 5 2" xfId="5082"/>
    <cellStyle name="Comma 2 5 2 3 2 6" xfId="5083"/>
    <cellStyle name="Comma 2 5 2 3 2 6 2" xfId="5084"/>
    <cellStyle name="Comma 2 5 2 3 2 6 2 2" xfId="5085"/>
    <cellStyle name="Comma 2 5 2 3 2 6 3" xfId="5086"/>
    <cellStyle name="Comma 2 5 2 3 2 6 3 2" xfId="5087"/>
    <cellStyle name="Comma 2 5 2 3 2 6 4" xfId="5088"/>
    <cellStyle name="Comma 2 5 2 3 2 7" xfId="5089"/>
    <cellStyle name="Comma 2 5 2 3 2 7 2" xfId="5090"/>
    <cellStyle name="Comma 2 5 2 3 2 8" xfId="5091"/>
    <cellStyle name="Comma 2 5 2 3 2 8 2" xfId="5092"/>
    <cellStyle name="Comma 2 5 2 3 2 9" xfId="5093"/>
    <cellStyle name="Comma 2 5 2 3 3" xfId="5094"/>
    <cellStyle name="Comma 2 5 2 3 3 2" xfId="5095"/>
    <cellStyle name="Comma 2 5 2 3 3 2 2" xfId="5096"/>
    <cellStyle name="Comma 2 5 2 3 3 2 2 2" xfId="5097"/>
    <cellStyle name="Comma 2 5 2 3 3 2 3" xfId="5098"/>
    <cellStyle name="Comma 2 5 2 3 3 2 3 2" xfId="5099"/>
    <cellStyle name="Comma 2 5 2 3 3 2 4" xfId="5100"/>
    <cellStyle name="Comma 2 5 2 3 3 2 4 2" xfId="5101"/>
    <cellStyle name="Comma 2 5 2 3 3 2 5" xfId="5102"/>
    <cellStyle name="Comma 2 5 2 3 3 3" xfId="5103"/>
    <cellStyle name="Comma 2 5 2 3 3 3 2" xfId="5104"/>
    <cellStyle name="Comma 2 5 2 3 3 4" xfId="5105"/>
    <cellStyle name="Comma 2 5 2 3 3 4 2" xfId="5106"/>
    <cellStyle name="Comma 2 5 2 3 3 4 2 2" xfId="5107"/>
    <cellStyle name="Comma 2 5 2 3 3 4 3" xfId="5108"/>
    <cellStyle name="Comma 2 5 2 3 3 4 3 2" xfId="5109"/>
    <cellStyle name="Comma 2 5 2 3 3 4 4" xfId="5110"/>
    <cellStyle name="Comma 2 5 2 3 3 5" xfId="5111"/>
    <cellStyle name="Comma 2 5 2 3 3 5 2" xfId="5112"/>
    <cellStyle name="Comma 2 5 2 3 3 6" xfId="5113"/>
    <cellStyle name="Comma 2 5 2 3 3 6 2" xfId="5114"/>
    <cellStyle name="Comma 2 5 2 3 3 7" xfId="5115"/>
    <cellStyle name="Comma 2 5 2 3 4" xfId="5116"/>
    <cellStyle name="Comma 2 5 2 3 4 2" xfId="5117"/>
    <cellStyle name="Comma 2 5 2 3 4 2 2" xfId="5118"/>
    <cellStyle name="Comma 2 5 2 3 4 2 2 2" xfId="5119"/>
    <cellStyle name="Comma 2 5 2 3 4 2 3" xfId="5120"/>
    <cellStyle name="Comma 2 5 2 3 4 2 3 2" xfId="5121"/>
    <cellStyle name="Comma 2 5 2 3 4 2 4" xfId="5122"/>
    <cellStyle name="Comma 2 5 2 3 4 2 4 2" xfId="5123"/>
    <cellStyle name="Comma 2 5 2 3 4 2 5" xfId="5124"/>
    <cellStyle name="Comma 2 5 2 3 4 3" xfId="5125"/>
    <cellStyle name="Comma 2 5 2 3 4 3 2" xfId="5126"/>
    <cellStyle name="Comma 2 5 2 3 4 4" xfId="5127"/>
    <cellStyle name="Comma 2 5 2 3 4 4 2" xfId="5128"/>
    <cellStyle name="Comma 2 5 2 3 4 4 2 2" xfId="5129"/>
    <cellStyle name="Comma 2 5 2 3 4 4 3" xfId="5130"/>
    <cellStyle name="Comma 2 5 2 3 4 4 3 2" xfId="5131"/>
    <cellStyle name="Comma 2 5 2 3 4 4 4" xfId="5132"/>
    <cellStyle name="Comma 2 5 2 3 4 5" xfId="5133"/>
    <cellStyle name="Comma 2 5 2 3 4 5 2" xfId="5134"/>
    <cellStyle name="Comma 2 5 2 3 4 6" xfId="5135"/>
    <cellStyle name="Comma 2 5 2 3 4 6 2" xfId="5136"/>
    <cellStyle name="Comma 2 5 2 3 4 7" xfId="5137"/>
    <cellStyle name="Comma 2 5 2 3 5" xfId="5138"/>
    <cellStyle name="Comma 2 5 2 3 5 2" xfId="5139"/>
    <cellStyle name="Comma 2 5 2 3 5 2 2" xfId="5140"/>
    <cellStyle name="Comma 2 5 2 3 5 3" xfId="5141"/>
    <cellStyle name="Comma 2 5 2 3 5 3 2" xfId="5142"/>
    <cellStyle name="Comma 2 5 2 3 5 4" xfId="5143"/>
    <cellStyle name="Comma 2 5 2 3 5 4 2" xfId="5144"/>
    <cellStyle name="Comma 2 5 2 3 5 5" xfId="5145"/>
    <cellStyle name="Comma 2 5 2 3 6" xfId="5146"/>
    <cellStyle name="Comma 2 5 2 3 6 2" xfId="5147"/>
    <cellStyle name="Comma 2 5 2 3 7" xfId="5148"/>
    <cellStyle name="Comma 2 5 2 3 7 2" xfId="5149"/>
    <cellStyle name="Comma 2 5 2 3 7 2 2" xfId="5150"/>
    <cellStyle name="Comma 2 5 2 3 7 3" xfId="5151"/>
    <cellStyle name="Comma 2 5 2 3 7 3 2" xfId="5152"/>
    <cellStyle name="Comma 2 5 2 3 7 4" xfId="5153"/>
    <cellStyle name="Comma 2 5 2 3 8" xfId="5154"/>
    <cellStyle name="Comma 2 5 2 3 8 2" xfId="5155"/>
    <cellStyle name="Comma 2 5 2 3 9" xfId="5156"/>
    <cellStyle name="Comma 2 5 2 3 9 2" xfId="5157"/>
    <cellStyle name="Comma 2 5 2 4" xfId="5158"/>
    <cellStyle name="Comma 2 5 2 4 10" xfId="5159"/>
    <cellStyle name="Comma 2 5 2 4 2" xfId="5160"/>
    <cellStyle name="Comma 2 5 2 4 2 2" xfId="5161"/>
    <cellStyle name="Comma 2 5 2 4 2 2 2" xfId="5162"/>
    <cellStyle name="Comma 2 5 2 4 2 2 2 2" xfId="5163"/>
    <cellStyle name="Comma 2 5 2 4 2 2 2 2 2" xfId="5164"/>
    <cellStyle name="Comma 2 5 2 4 2 2 2 3" xfId="5165"/>
    <cellStyle name="Comma 2 5 2 4 2 2 2 3 2" xfId="5166"/>
    <cellStyle name="Comma 2 5 2 4 2 2 2 4" xfId="5167"/>
    <cellStyle name="Comma 2 5 2 4 2 2 2 4 2" xfId="5168"/>
    <cellStyle name="Comma 2 5 2 4 2 2 2 5" xfId="5169"/>
    <cellStyle name="Comma 2 5 2 4 2 2 3" xfId="5170"/>
    <cellStyle name="Comma 2 5 2 4 2 2 3 2" xfId="5171"/>
    <cellStyle name="Comma 2 5 2 4 2 2 4" xfId="5172"/>
    <cellStyle name="Comma 2 5 2 4 2 2 4 2" xfId="5173"/>
    <cellStyle name="Comma 2 5 2 4 2 2 4 2 2" xfId="5174"/>
    <cellStyle name="Comma 2 5 2 4 2 2 4 3" xfId="5175"/>
    <cellStyle name="Comma 2 5 2 4 2 2 4 3 2" xfId="5176"/>
    <cellStyle name="Comma 2 5 2 4 2 2 4 4" xfId="5177"/>
    <cellStyle name="Comma 2 5 2 4 2 2 5" xfId="5178"/>
    <cellStyle name="Comma 2 5 2 4 2 2 5 2" xfId="5179"/>
    <cellStyle name="Comma 2 5 2 4 2 2 6" xfId="5180"/>
    <cellStyle name="Comma 2 5 2 4 2 2 6 2" xfId="5181"/>
    <cellStyle name="Comma 2 5 2 4 2 2 7" xfId="5182"/>
    <cellStyle name="Comma 2 5 2 4 2 3" xfId="5183"/>
    <cellStyle name="Comma 2 5 2 4 2 3 2" xfId="5184"/>
    <cellStyle name="Comma 2 5 2 4 2 3 2 2" xfId="5185"/>
    <cellStyle name="Comma 2 5 2 4 2 3 2 2 2" xfId="5186"/>
    <cellStyle name="Comma 2 5 2 4 2 3 2 3" xfId="5187"/>
    <cellStyle name="Comma 2 5 2 4 2 3 2 3 2" xfId="5188"/>
    <cellStyle name="Comma 2 5 2 4 2 3 2 4" xfId="5189"/>
    <cellStyle name="Comma 2 5 2 4 2 3 2 4 2" xfId="5190"/>
    <cellStyle name="Comma 2 5 2 4 2 3 2 5" xfId="5191"/>
    <cellStyle name="Comma 2 5 2 4 2 3 3" xfId="5192"/>
    <cellStyle name="Comma 2 5 2 4 2 3 3 2" xfId="5193"/>
    <cellStyle name="Comma 2 5 2 4 2 3 4" xfId="5194"/>
    <cellStyle name="Comma 2 5 2 4 2 3 4 2" xfId="5195"/>
    <cellStyle name="Comma 2 5 2 4 2 3 4 2 2" xfId="5196"/>
    <cellStyle name="Comma 2 5 2 4 2 3 4 3" xfId="5197"/>
    <cellStyle name="Comma 2 5 2 4 2 3 4 3 2" xfId="5198"/>
    <cellStyle name="Comma 2 5 2 4 2 3 4 4" xfId="5199"/>
    <cellStyle name="Comma 2 5 2 4 2 3 5" xfId="5200"/>
    <cellStyle name="Comma 2 5 2 4 2 3 5 2" xfId="5201"/>
    <cellStyle name="Comma 2 5 2 4 2 3 6" xfId="5202"/>
    <cellStyle name="Comma 2 5 2 4 2 3 6 2" xfId="5203"/>
    <cellStyle name="Comma 2 5 2 4 2 3 7" xfId="5204"/>
    <cellStyle name="Comma 2 5 2 4 2 4" xfId="5205"/>
    <cellStyle name="Comma 2 5 2 4 2 4 2" xfId="5206"/>
    <cellStyle name="Comma 2 5 2 4 2 4 2 2" xfId="5207"/>
    <cellStyle name="Comma 2 5 2 4 2 4 3" xfId="5208"/>
    <cellStyle name="Comma 2 5 2 4 2 4 3 2" xfId="5209"/>
    <cellStyle name="Comma 2 5 2 4 2 4 4" xfId="5210"/>
    <cellStyle name="Comma 2 5 2 4 2 4 4 2" xfId="5211"/>
    <cellStyle name="Comma 2 5 2 4 2 4 5" xfId="5212"/>
    <cellStyle name="Comma 2 5 2 4 2 5" xfId="5213"/>
    <cellStyle name="Comma 2 5 2 4 2 5 2" xfId="5214"/>
    <cellStyle name="Comma 2 5 2 4 2 6" xfId="5215"/>
    <cellStyle name="Comma 2 5 2 4 2 6 2" xfId="5216"/>
    <cellStyle name="Comma 2 5 2 4 2 6 2 2" xfId="5217"/>
    <cellStyle name="Comma 2 5 2 4 2 6 3" xfId="5218"/>
    <cellStyle name="Comma 2 5 2 4 2 6 3 2" xfId="5219"/>
    <cellStyle name="Comma 2 5 2 4 2 6 4" xfId="5220"/>
    <cellStyle name="Comma 2 5 2 4 2 7" xfId="5221"/>
    <cellStyle name="Comma 2 5 2 4 2 7 2" xfId="5222"/>
    <cellStyle name="Comma 2 5 2 4 2 8" xfId="5223"/>
    <cellStyle name="Comma 2 5 2 4 2 8 2" xfId="5224"/>
    <cellStyle name="Comma 2 5 2 4 2 9" xfId="5225"/>
    <cellStyle name="Comma 2 5 2 4 3" xfId="5226"/>
    <cellStyle name="Comma 2 5 2 4 3 2" xfId="5227"/>
    <cellStyle name="Comma 2 5 2 4 3 2 2" xfId="5228"/>
    <cellStyle name="Comma 2 5 2 4 3 2 2 2" xfId="5229"/>
    <cellStyle name="Comma 2 5 2 4 3 2 3" xfId="5230"/>
    <cellStyle name="Comma 2 5 2 4 3 2 3 2" xfId="5231"/>
    <cellStyle name="Comma 2 5 2 4 3 2 4" xfId="5232"/>
    <cellStyle name="Comma 2 5 2 4 3 2 4 2" xfId="5233"/>
    <cellStyle name="Comma 2 5 2 4 3 2 5" xfId="5234"/>
    <cellStyle name="Comma 2 5 2 4 3 3" xfId="5235"/>
    <cellStyle name="Comma 2 5 2 4 3 3 2" xfId="5236"/>
    <cellStyle name="Comma 2 5 2 4 3 4" xfId="5237"/>
    <cellStyle name="Comma 2 5 2 4 3 4 2" xfId="5238"/>
    <cellStyle name="Comma 2 5 2 4 3 4 2 2" xfId="5239"/>
    <cellStyle name="Comma 2 5 2 4 3 4 3" xfId="5240"/>
    <cellStyle name="Comma 2 5 2 4 3 4 3 2" xfId="5241"/>
    <cellStyle name="Comma 2 5 2 4 3 4 4" xfId="5242"/>
    <cellStyle name="Comma 2 5 2 4 3 5" xfId="5243"/>
    <cellStyle name="Comma 2 5 2 4 3 5 2" xfId="5244"/>
    <cellStyle name="Comma 2 5 2 4 3 6" xfId="5245"/>
    <cellStyle name="Comma 2 5 2 4 3 6 2" xfId="5246"/>
    <cellStyle name="Comma 2 5 2 4 3 7" xfId="5247"/>
    <cellStyle name="Comma 2 5 2 4 4" xfId="5248"/>
    <cellStyle name="Comma 2 5 2 4 4 2" xfId="5249"/>
    <cellStyle name="Comma 2 5 2 4 4 2 2" xfId="5250"/>
    <cellStyle name="Comma 2 5 2 4 4 2 2 2" xfId="5251"/>
    <cellStyle name="Comma 2 5 2 4 4 2 3" xfId="5252"/>
    <cellStyle name="Comma 2 5 2 4 4 2 3 2" xfId="5253"/>
    <cellStyle name="Comma 2 5 2 4 4 2 4" xfId="5254"/>
    <cellStyle name="Comma 2 5 2 4 4 2 4 2" xfId="5255"/>
    <cellStyle name="Comma 2 5 2 4 4 2 5" xfId="5256"/>
    <cellStyle name="Comma 2 5 2 4 4 3" xfId="5257"/>
    <cellStyle name="Comma 2 5 2 4 4 3 2" xfId="5258"/>
    <cellStyle name="Comma 2 5 2 4 4 4" xfId="5259"/>
    <cellStyle name="Comma 2 5 2 4 4 4 2" xfId="5260"/>
    <cellStyle name="Comma 2 5 2 4 4 4 2 2" xfId="5261"/>
    <cellStyle name="Comma 2 5 2 4 4 4 3" xfId="5262"/>
    <cellStyle name="Comma 2 5 2 4 4 4 3 2" xfId="5263"/>
    <cellStyle name="Comma 2 5 2 4 4 4 4" xfId="5264"/>
    <cellStyle name="Comma 2 5 2 4 4 5" xfId="5265"/>
    <cellStyle name="Comma 2 5 2 4 4 5 2" xfId="5266"/>
    <cellStyle name="Comma 2 5 2 4 4 6" xfId="5267"/>
    <cellStyle name="Comma 2 5 2 4 4 6 2" xfId="5268"/>
    <cellStyle name="Comma 2 5 2 4 4 7" xfId="5269"/>
    <cellStyle name="Comma 2 5 2 4 5" xfId="5270"/>
    <cellStyle name="Comma 2 5 2 4 5 2" xfId="5271"/>
    <cellStyle name="Comma 2 5 2 4 5 2 2" xfId="5272"/>
    <cellStyle name="Comma 2 5 2 4 5 3" xfId="5273"/>
    <cellStyle name="Comma 2 5 2 4 5 3 2" xfId="5274"/>
    <cellStyle name="Comma 2 5 2 4 5 4" xfId="5275"/>
    <cellStyle name="Comma 2 5 2 4 5 4 2" xfId="5276"/>
    <cellStyle name="Comma 2 5 2 4 5 5" xfId="5277"/>
    <cellStyle name="Comma 2 5 2 4 6" xfId="5278"/>
    <cellStyle name="Comma 2 5 2 4 6 2" xfId="5279"/>
    <cellStyle name="Comma 2 5 2 4 7" xfId="5280"/>
    <cellStyle name="Comma 2 5 2 4 7 2" xfId="5281"/>
    <cellStyle name="Comma 2 5 2 4 7 2 2" xfId="5282"/>
    <cellStyle name="Comma 2 5 2 4 7 3" xfId="5283"/>
    <cellStyle name="Comma 2 5 2 4 7 3 2" xfId="5284"/>
    <cellStyle name="Comma 2 5 2 4 7 4" xfId="5285"/>
    <cellStyle name="Comma 2 5 2 4 8" xfId="5286"/>
    <cellStyle name="Comma 2 5 2 4 8 2" xfId="5287"/>
    <cellStyle name="Comma 2 5 2 4 9" xfId="5288"/>
    <cellStyle name="Comma 2 5 2 4 9 2" xfId="5289"/>
    <cellStyle name="Comma 2 5 2 5" xfId="5290"/>
    <cellStyle name="Comma 2 5 2 5 10" xfId="5291"/>
    <cellStyle name="Comma 2 5 2 5 2" xfId="5292"/>
    <cellStyle name="Comma 2 5 2 5 2 2" xfId="5293"/>
    <cellStyle name="Comma 2 5 2 5 2 2 2" xfId="5294"/>
    <cellStyle name="Comma 2 5 2 5 2 2 2 2" xfId="5295"/>
    <cellStyle name="Comma 2 5 2 5 2 2 2 2 2" xfId="5296"/>
    <cellStyle name="Comma 2 5 2 5 2 2 2 3" xfId="5297"/>
    <cellStyle name="Comma 2 5 2 5 2 2 2 3 2" xfId="5298"/>
    <cellStyle name="Comma 2 5 2 5 2 2 2 4" xfId="5299"/>
    <cellStyle name="Comma 2 5 2 5 2 2 2 4 2" xfId="5300"/>
    <cellStyle name="Comma 2 5 2 5 2 2 2 5" xfId="5301"/>
    <cellStyle name="Comma 2 5 2 5 2 2 3" xfId="5302"/>
    <cellStyle name="Comma 2 5 2 5 2 2 3 2" xfId="5303"/>
    <cellStyle name="Comma 2 5 2 5 2 2 4" xfId="5304"/>
    <cellStyle name="Comma 2 5 2 5 2 2 4 2" xfId="5305"/>
    <cellStyle name="Comma 2 5 2 5 2 2 4 2 2" xfId="5306"/>
    <cellStyle name="Comma 2 5 2 5 2 2 4 3" xfId="5307"/>
    <cellStyle name="Comma 2 5 2 5 2 2 4 3 2" xfId="5308"/>
    <cellStyle name="Comma 2 5 2 5 2 2 4 4" xfId="5309"/>
    <cellStyle name="Comma 2 5 2 5 2 2 5" xfId="5310"/>
    <cellStyle name="Comma 2 5 2 5 2 2 5 2" xfId="5311"/>
    <cellStyle name="Comma 2 5 2 5 2 2 6" xfId="5312"/>
    <cellStyle name="Comma 2 5 2 5 2 2 6 2" xfId="5313"/>
    <cellStyle name="Comma 2 5 2 5 2 2 7" xfId="5314"/>
    <cellStyle name="Comma 2 5 2 5 2 3" xfId="5315"/>
    <cellStyle name="Comma 2 5 2 5 2 3 2" xfId="5316"/>
    <cellStyle name="Comma 2 5 2 5 2 3 2 2" xfId="5317"/>
    <cellStyle name="Comma 2 5 2 5 2 3 2 2 2" xfId="5318"/>
    <cellStyle name="Comma 2 5 2 5 2 3 2 3" xfId="5319"/>
    <cellStyle name="Comma 2 5 2 5 2 3 2 3 2" xfId="5320"/>
    <cellStyle name="Comma 2 5 2 5 2 3 2 4" xfId="5321"/>
    <cellStyle name="Comma 2 5 2 5 2 3 2 4 2" xfId="5322"/>
    <cellStyle name="Comma 2 5 2 5 2 3 2 5" xfId="5323"/>
    <cellStyle name="Comma 2 5 2 5 2 3 3" xfId="5324"/>
    <cellStyle name="Comma 2 5 2 5 2 3 3 2" xfId="5325"/>
    <cellStyle name="Comma 2 5 2 5 2 3 4" xfId="5326"/>
    <cellStyle name="Comma 2 5 2 5 2 3 4 2" xfId="5327"/>
    <cellStyle name="Comma 2 5 2 5 2 3 4 2 2" xfId="5328"/>
    <cellStyle name="Comma 2 5 2 5 2 3 4 3" xfId="5329"/>
    <cellStyle name="Comma 2 5 2 5 2 3 4 3 2" xfId="5330"/>
    <cellStyle name="Comma 2 5 2 5 2 3 4 4" xfId="5331"/>
    <cellStyle name="Comma 2 5 2 5 2 3 5" xfId="5332"/>
    <cellStyle name="Comma 2 5 2 5 2 3 5 2" xfId="5333"/>
    <cellStyle name="Comma 2 5 2 5 2 3 6" xfId="5334"/>
    <cellStyle name="Comma 2 5 2 5 2 3 6 2" xfId="5335"/>
    <cellStyle name="Comma 2 5 2 5 2 3 7" xfId="5336"/>
    <cellStyle name="Comma 2 5 2 5 2 4" xfId="5337"/>
    <cellStyle name="Comma 2 5 2 5 2 4 2" xfId="5338"/>
    <cellStyle name="Comma 2 5 2 5 2 4 2 2" xfId="5339"/>
    <cellStyle name="Comma 2 5 2 5 2 4 3" xfId="5340"/>
    <cellStyle name="Comma 2 5 2 5 2 4 3 2" xfId="5341"/>
    <cellStyle name="Comma 2 5 2 5 2 4 4" xfId="5342"/>
    <cellStyle name="Comma 2 5 2 5 2 4 4 2" xfId="5343"/>
    <cellStyle name="Comma 2 5 2 5 2 4 5" xfId="5344"/>
    <cellStyle name="Comma 2 5 2 5 2 5" xfId="5345"/>
    <cellStyle name="Comma 2 5 2 5 2 5 2" xfId="5346"/>
    <cellStyle name="Comma 2 5 2 5 2 6" xfId="5347"/>
    <cellStyle name="Comma 2 5 2 5 2 6 2" xfId="5348"/>
    <cellStyle name="Comma 2 5 2 5 2 6 2 2" xfId="5349"/>
    <cellStyle name="Comma 2 5 2 5 2 6 3" xfId="5350"/>
    <cellStyle name="Comma 2 5 2 5 2 6 3 2" xfId="5351"/>
    <cellStyle name="Comma 2 5 2 5 2 6 4" xfId="5352"/>
    <cellStyle name="Comma 2 5 2 5 2 7" xfId="5353"/>
    <cellStyle name="Comma 2 5 2 5 2 7 2" xfId="5354"/>
    <cellStyle name="Comma 2 5 2 5 2 8" xfId="5355"/>
    <cellStyle name="Comma 2 5 2 5 2 8 2" xfId="5356"/>
    <cellStyle name="Comma 2 5 2 5 2 9" xfId="5357"/>
    <cellStyle name="Comma 2 5 2 5 3" xfId="5358"/>
    <cellStyle name="Comma 2 5 2 5 3 2" xfId="5359"/>
    <cellStyle name="Comma 2 5 2 5 3 2 2" xfId="5360"/>
    <cellStyle name="Comma 2 5 2 5 3 2 2 2" xfId="5361"/>
    <cellStyle name="Comma 2 5 2 5 3 2 3" xfId="5362"/>
    <cellStyle name="Comma 2 5 2 5 3 2 3 2" xfId="5363"/>
    <cellStyle name="Comma 2 5 2 5 3 2 4" xfId="5364"/>
    <cellStyle name="Comma 2 5 2 5 3 2 4 2" xfId="5365"/>
    <cellStyle name="Comma 2 5 2 5 3 2 5" xfId="5366"/>
    <cellStyle name="Comma 2 5 2 5 3 3" xfId="5367"/>
    <cellStyle name="Comma 2 5 2 5 3 3 2" xfId="5368"/>
    <cellStyle name="Comma 2 5 2 5 3 4" xfId="5369"/>
    <cellStyle name="Comma 2 5 2 5 3 4 2" xfId="5370"/>
    <cellStyle name="Comma 2 5 2 5 3 4 2 2" xfId="5371"/>
    <cellStyle name="Comma 2 5 2 5 3 4 3" xfId="5372"/>
    <cellStyle name="Comma 2 5 2 5 3 4 3 2" xfId="5373"/>
    <cellStyle name="Comma 2 5 2 5 3 4 4" xfId="5374"/>
    <cellStyle name="Comma 2 5 2 5 3 5" xfId="5375"/>
    <cellStyle name="Comma 2 5 2 5 3 5 2" xfId="5376"/>
    <cellStyle name="Comma 2 5 2 5 3 6" xfId="5377"/>
    <cellStyle name="Comma 2 5 2 5 3 6 2" xfId="5378"/>
    <cellStyle name="Comma 2 5 2 5 3 7" xfId="5379"/>
    <cellStyle name="Comma 2 5 2 5 4" xfId="5380"/>
    <cellStyle name="Comma 2 5 2 5 4 2" xfId="5381"/>
    <cellStyle name="Comma 2 5 2 5 4 2 2" xfId="5382"/>
    <cellStyle name="Comma 2 5 2 5 4 2 2 2" xfId="5383"/>
    <cellStyle name="Comma 2 5 2 5 4 2 3" xfId="5384"/>
    <cellStyle name="Comma 2 5 2 5 4 2 3 2" xfId="5385"/>
    <cellStyle name="Comma 2 5 2 5 4 2 4" xfId="5386"/>
    <cellStyle name="Comma 2 5 2 5 4 2 4 2" xfId="5387"/>
    <cellStyle name="Comma 2 5 2 5 4 2 5" xfId="5388"/>
    <cellStyle name="Comma 2 5 2 5 4 3" xfId="5389"/>
    <cellStyle name="Comma 2 5 2 5 4 3 2" xfId="5390"/>
    <cellStyle name="Comma 2 5 2 5 4 4" xfId="5391"/>
    <cellStyle name="Comma 2 5 2 5 4 4 2" xfId="5392"/>
    <cellStyle name="Comma 2 5 2 5 4 4 2 2" xfId="5393"/>
    <cellStyle name="Comma 2 5 2 5 4 4 3" xfId="5394"/>
    <cellStyle name="Comma 2 5 2 5 4 4 3 2" xfId="5395"/>
    <cellStyle name="Comma 2 5 2 5 4 4 4" xfId="5396"/>
    <cellStyle name="Comma 2 5 2 5 4 5" xfId="5397"/>
    <cellStyle name="Comma 2 5 2 5 4 5 2" xfId="5398"/>
    <cellStyle name="Comma 2 5 2 5 4 6" xfId="5399"/>
    <cellStyle name="Comma 2 5 2 5 4 6 2" xfId="5400"/>
    <cellStyle name="Comma 2 5 2 5 4 7" xfId="5401"/>
    <cellStyle name="Comma 2 5 2 5 5" xfId="5402"/>
    <cellStyle name="Comma 2 5 2 5 5 2" xfId="5403"/>
    <cellStyle name="Comma 2 5 2 5 5 2 2" xfId="5404"/>
    <cellStyle name="Comma 2 5 2 5 5 3" xfId="5405"/>
    <cellStyle name="Comma 2 5 2 5 5 3 2" xfId="5406"/>
    <cellStyle name="Comma 2 5 2 5 5 4" xfId="5407"/>
    <cellStyle name="Comma 2 5 2 5 5 4 2" xfId="5408"/>
    <cellStyle name="Comma 2 5 2 5 5 5" xfId="5409"/>
    <cellStyle name="Comma 2 5 2 5 6" xfId="5410"/>
    <cellStyle name="Comma 2 5 2 5 6 2" xfId="5411"/>
    <cellStyle name="Comma 2 5 2 5 7" xfId="5412"/>
    <cellStyle name="Comma 2 5 2 5 7 2" xfId="5413"/>
    <cellStyle name="Comma 2 5 2 5 7 2 2" xfId="5414"/>
    <cellStyle name="Comma 2 5 2 5 7 3" xfId="5415"/>
    <cellStyle name="Comma 2 5 2 5 7 3 2" xfId="5416"/>
    <cellStyle name="Comma 2 5 2 5 7 4" xfId="5417"/>
    <cellStyle name="Comma 2 5 2 5 8" xfId="5418"/>
    <cellStyle name="Comma 2 5 2 5 8 2" xfId="5419"/>
    <cellStyle name="Comma 2 5 2 5 9" xfId="5420"/>
    <cellStyle name="Comma 2 5 2 5 9 2" xfId="5421"/>
    <cellStyle name="Comma 2 5 2 6" xfId="5422"/>
    <cellStyle name="Comma 2 5 2 6 2" xfId="5423"/>
    <cellStyle name="Comma 2 5 2 6 2 2" xfId="5424"/>
    <cellStyle name="Comma 2 5 2 6 2 2 2" xfId="5425"/>
    <cellStyle name="Comma 2 5 2 6 2 2 2 2" xfId="5426"/>
    <cellStyle name="Comma 2 5 2 6 2 2 3" xfId="5427"/>
    <cellStyle name="Comma 2 5 2 6 2 2 3 2" xfId="5428"/>
    <cellStyle name="Comma 2 5 2 6 2 2 4" xfId="5429"/>
    <cellStyle name="Comma 2 5 2 6 2 2 4 2" xfId="5430"/>
    <cellStyle name="Comma 2 5 2 6 2 2 5" xfId="5431"/>
    <cellStyle name="Comma 2 5 2 6 2 3" xfId="5432"/>
    <cellStyle name="Comma 2 5 2 6 2 3 2" xfId="5433"/>
    <cellStyle name="Comma 2 5 2 6 2 4" xfId="5434"/>
    <cellStyle name="Comma 2 5 2 6 2 4 2" xfId="5435"/>
    <cellStyle name="Comma 2 5 2 6 2 4 2 2" xfId="5436"/>
    <cellStyle name="Comma 2 5 2 6 2 4 3" xfId="5437"/>
    <cellStyle name="Comma 2 5 2 6 2 4 3 2" xfId="5438"/>
    <cellStyle name="Comma 2 5 2 6 2 4 4" xfId="5439"/>
    <cellStyle name="Comma 2 5 2 6 2 5" xfId="5440"/>
    <cellStyle name="Comma 2 5 2 6 2 5 2" xfId="5441"/>
    <cellStyle name="Comma 2 5 2 6 2 6" xfId="5442"/>
    <cellStyle name="Comma 2 5 2 6 2 6 2" xfId="5443"/>
    <cellStyle name="Comma 2 5 2 6 2 7" xfId="5444"/>
    <cellStyle name="Comma 2 5 2 6 3" xfId="5445"/>
    <cellStyle name="Comma 2 5 2 6 3 2" xfId="5446"/>
    <cellStyle name="Comma 2 5 2 6 3 2 2" xfId="5447"/>
    <cellStyle name="Comma 2 5 2 6 3 2 2 2" xfId="5448"/>
    <cellStyle name="Comma 2 5 2 6 3 2 3" xfId="5449"/>
    <cellStyle name="Comma 2 5 2 6 3 2 3 2" xfId="5450"/>
    <cellStyle name="Comma 2 5 2 6 3 2 4" xfId="5451"/>
    <cellStyle name="Comma 2 5 2 6 3 2 4 2" xfId="5452"/>
    <cellStyle name="Comma 2 5 2 6 3 2 5" xfId="5453"/>
    <cellStyle name="Comma 2 5 2 6 3 3" xfId="5454"/>
    <cellStyle name="Comma 2 5 2 6 3 3 2" xfId="5455"/>
    <cellStyle name="Comma 2 5 2 6 3 4" xfId="5456"/>
    <cellStyle name="Comma 2 5 2 6 3 4 2" xfId="5457"/>
    <cellStyle name="Comma 2 5 2 6 3 4 2 2" xfId="5458"/>
    <cellStyle name="Comma 2 5 2 6 3 4 3" xfId="5459"/>
    <cellStyle name="Comma 2 5 2 6 3 4 3 2" xfId="5460"/>
    <cellStyle name="Comma 2 5 2 6 3 4 4" xfId="5461"/>
    <cellStyle name="Comma 2 5 2 6 3 5" xfId="5462"/>
    <cellStyle name="Comma 2 5 2 6 3 5 2" xfId="5463"/>
    <cellStyle name="Comma 2 5 2 6 3 6" xfId="5464"/>
    <cellStyle name="Comma 2 5 2 6 3 6 2" xfId="5465"/>
    <cellStyle name="Comma 2 5 2 6 3 7" xfId="5466"/>
    <cellStyle name="Comma 2 5 2 6 4" xfId="5467"/>
    <cellStyle name="Comma 2 5 2 6 4 2" xfId="5468"/>
    <cellStyle name="Comma 2 5 2 6 4 2 2" xfId="5469"/>
    <cellStyle name="Comma 2 5 2 6 4 3" xfId="5470"/>
    <cellStyle name="Comma 2 5 2 6 4 3 2" xfId="5471"/>
    <cellStyle name="Comma 2 5 2 6 4 4" xfId="5472"/>
    <cellStyle name="Comma 2 5 2 6 4 4 2" xfId="5473"/>
    <cellStyle name="Comma 2 5 2 6 4 5" xfId="5474"/>
    <cellStyle name="Comma 2 5 2 6 5" xfId="5475"/>
    <cellStyle name="Comma 2 5 2 6 5 2" xfId="5476"/>
    <cellStyle name="Comma 2 5 2 6 6" xfId="5477"/>
    <cellStyle name="Comma 2 5 2 6 6 2" xfId="5478"/>
    <cellStyle name="Comma 2 5 2 6 6 2 2" xfId="5479"/>
    <cellStyle name="Comma 2 5 2 6 6 3" xfId="5480"/>
    <cellStyle name="Comma 2 5 2 6 6 3 2" xfId="5481"/>
    <cellStyle name="Comma 2 5 2 6 6 4" xfId="5482"/>
    <cellStyle name="Comma 2 5 2 6 7" xfId="5483"/>
    <cellStyle name="Comma 2 5 2 6 7 2" xfId="5484"/>
    <cellStyle name="Comma 2 5 2 6 8" xfId="5485"/>
    <cellStyle name="Comma 2 5 2 6 8 2" xfId="5486"/>
    <cellStyle name="Comma 2 5 2 6 9" xfId="5487"/>
    <cellStyle name="Comma 2 5 2 7" xfId="5488"/>
    <cellStyle name="Comma 2 5 2 7 2" xfId="5489"/>
    <cellStyle name="Comma 2 5 2 7 2 2" xfId="5490"/>
    <cellStyle name="Comma 2 5 2 7 2 2 2" xfId="5491"/>
    <cellStyle name="Comma 2 5 2 7 2 3" xfId="5492"/>
    <cellStyle name="Comma 2 5 2 7 2 3 2" xfId="5493"/>
    <cellStyle name="Comma 2 5 2 7 2 4" xfId="5494"/>
    <cellStyle name="Comma 2 5 2 7 2 4 2" xfId="5495"/>
    <cellStyle name="Comma 2 5 2 7 2 5" xfId="5496"/>
    <cellStyle name="Comma 2 5 2 7 3" xfId="5497"/>
    <cellStyle name="Comma 2 5 2 7 3 2" xfId="5498"/>
    <cellStyle name="Comma 2 5 2 7 4" xfId="5499"/>
    <cellStyle name="Comma 2 5 2 7 4 2" xfId="5500"/>
    <cellStyle name="Comma 2 5 2 7 4 2 2" xfId="5501"/>
    <cellStyle name="Comma 2 5 2 7 4 3" xfId="5502"/>
    <cellStyle name="Comma 2 5 2 7 4 3 2" xfId="5503"/>
    <cellStyle name="Comma 2 5 2 7 4 4" xfId="5504"/>
    <cellStyle name="Comma 2 5 2 7 5" xfId="5505"/>
    <cellStyle name="Comma 2 5 2 7 5 2" xfId="5506"/>
    <cellStyle name="Comma 2 5 2 7 6" xfId="5507"/>
    <cellStyle name="Comma 2 5 2 7 6 2" xfId="5508"/>
    <cellStyle name="Comma 2 5 2 7 7" xfId="5509"/>
    <cellStyle name="Comma 2 5 2 8" xfId="5510"/>
    <cellStyle name="Comma 2 5 2 8 2" xfId="5511"/>
    <cellStyle name="Comma 2 5 2 8 2 2" xfId="5512"/>
    <cellStyle name="Comma 2 5 2 8 2 2 2" xfId="5513"/>
    <cellStyle name="Comma 2 5 2 8 2 3" xfId="5514"/>
    <cellStyle name="Comma 2 5 2 8 2 3 2" xfId="5515"/>
    <cellStyle name="Comma 2 5 2 8 2 4" xfId="5516"/>
    <cellStyle name="Comma 2 5 2 8 2 4 2" xfId="5517"/>
    <cellStyle name="Comma 2 5 2 8 2 5" xfId="5518"/>
    <cellStyle name="Comma 2 5 2 8 3" xfId="5519"/>
    <cellStyle name="Comma 2 5 2 8 3 2" xfId="5520"/>
    <cellStyle name="Comma 2 5 2 8 4" xfId="5521"/>
    <cellStyle name="Comma 2 5 2 8 4 2" xfId="5522"/>
    <cellStyle name="Comma 2 5 2 8 4 2 2" xfId="5523"/>
    <cellStyle name="Comma 2 5 2 8 4 3" xfId="5524"/>
    <cellStyle name="Comma 2 5 2 8 4 3 2" xfId="5525"/>
    <cellStyle name="Comma 2 5 2 8 4 4" xfId="5526"/>
    <cellStyle name="Comma 2 5 2 8 5" xfId="5527"/>
    <cellStyle name="Comma 2 5 2 8 5 2" xfId="5528"/>
    <cellStyle name="Comma 2 5 2 8 6" xfId="5529"/>
    <cellStyle name="Comma 2 5 2 8 6 2" xfId="5530"/>
    <cellStyle name="Comma 2 5 2 8 7" xfId="5531"/>
    <cellStyle name="Comma 2 5 2 9" xfId="5532"/>
    <cellStyle name="Comma 2 5 2 9 2" xfId="5533"/>
    <cellStyle name="Comma 2 5 2 9 2 2" xfId="5534"/>
    <cellStyle name="Comma 2 5 2 9 3" xfId="5535"/>
    <cellStyle name="Comma 2 5 2 9 3 2" xfId="5536"/>
    <cellStyle name="Comma 2 5 2 9 4" xfId="5537"/>
    <cellStyle name="Comma 2 5 2 9 4 2" xfId="5538"/>
    <cellStyle name="Comma 2 5 2 9 5" xfId="5539"/>
    <cellStyle name="Comma 2 5 3" xfId="5540"/>
    <cellStyle name="Comma 2 5 3 2" xfId="5541"/>
    <cellStyle name="Comma 2 5 3 2 2" xfId="5542"/>
    <cellStyle name="Comma 2 5 3 2 2 2" xfId="5543"/>
    <cellStyle name="Comma 2 5 3 2 3" xfId="5544"/>
    <cellStyle name="Comma 2 5 3 2 3 2" xfId="5545"/>
    <cellStyle name="Comma 2 5 3 2 4" xfId="5546"/>
    <cellStyle name="Comma 2 5 3 3" xfId="5547"/>
    <cellStyle name="Comma 2 5 3 3 2" xfId="5548"/>
    <cellStyle name="Comma 2 5 3 4" xfId="5549"/>
    <cellStyle name="Comma 2 5 3 4 2" xfId="5550"/>
    <cellStyle name="Comma 2 5 3 5" xfId="5551"/>
    <cellStyle name="Comma 2 5 3 6" xfId="19161"/>
    <cellStyle name="Comma 2 5 4" xfId="5552"/>
    <cellStyle name="Comma 2 5 4 10" xfId="5553"/>
    <cellStyle name="Comma 2 5 4 2" xfId="5554"/>
    <cellStyle name="Comma 2 5 4 2 2" xfId="5555"/>
    <cellStyle name="Comma 2 5 4 2 2 2" xfId="5556"/>
    <cellStyle name="Comma 2 5 4 2 2 2 2" xfId="5557"/>
    <cellStyle name="Comma 2 5 4 2 2 2 2 2" xfId="5558"/>
    <cellStyle name="Comma 2 5 4 2 2 2 3" xfId="5559"/>
    <cellStyle name="Comma 2 5 4 2 2 2 3 2" xfId="5560"/>
    <cellStyle name="Comma 2 5 4 2 2 2 4" xfId="5561"/>
    <cellStyle name="Comma 2 5 4 2 2 2 4 2" xfId="5562"/>
    <cellStyle name="Comma 2 5 4 2 2 2 5" xfId="5563"/>
    <cellStyle name="Comma 2 5 4 2 2 3" xfId="5564"/>
    <cellStyle name="Comma 2 5 4 2 2 3 2" xfId="5565"/>
    <cellStyle name="Comma 2 5 4 2 2 4" xfId="5566"/>
    <cellStyle name="Comma 2 5 4 2 2 4 2" xfId="5567"/>
    <cellStyle name="Comma 2 5 4 2 2 4 2 2" xfId="5568"/>
    <cellStyle name="Comma 2 5 4 2 2 4 3" xfId="5569"/>
    <cellStyle name="Comma 2 5 4 2 2 4 3 2" xfId="5570"/>
    <cellStyle name="Comma 2 5 4 2 2 4 4" xfId="5571"/>
    <cellStyle name="Comma 2 5 4 2 2 5" xfId="5572"/>
    <cellStyle name="Comma 2 5 4 2 2 5 2" xfId="5573"/>
    <cellStyle name="Comma 2 5 4 2 2 6" xfId="5574"/>
    <cellStyle name="Comma 2 5 4 2 2 6 2" xfId="5575"/>
    <cellStyle name="Comma 2 5 4 2 2 7" xfId="5576"/>
    <cellStyle name="Comma 2 5 4 2 3" xfId="5577"/>
    <cellStyle name="Comma 2 5 4 2 3 2" xfId="5578"/>
    <cellStyle name="Comma 2 5 4 2 3 2 2" xfId="5579"/>
    <cellStyle name="Comma 2 5 4 2 3 2 2 2" xfId="5580"/>
    <cellStyle name="Comma 2 5 4 2 3 2 3" xfId="5581"/>
    <cellStyle name="Comma 2 5 4 2 3 2 3 2" xfId="5582"/>
    <cellStyle name="Comma 2 5 4 2 3 2 4" xfId="5583"/>
    <cellStyle name="Comma 2 5 4 2 3 2 4 2" xfId="5584"/>
    <cellStyle name="Comma 2 5 4 2 3 2 5" xfId="5585"/>
    <cellStyle name="Comma 2 5 4 2 3 3" xfId="5586"/>
    <cellStyle name="Comma 2 5 4 2 3 3 2" xfId="5587"/>
    <cellStyle name="Comma 2 5 4 2 3 4" xfId="5588"/>
    <cellStyle name="Comma 2 5 4 2 3 4 2" xfId="5589"/>
    <cellStyle name="Comma 2 5 4 2 3 4 2 2" xfId="5590"/>
    <cellStyle name="Comma 2 5 4 2 3 4 3" xfId="5591"/>
    <cellStyle name="Comma 2 5 4 2 3 4 3 2" xfId="5592"/>
    <cellStyle name="Comma 2 5 4 2 3 4 4" xfId="5593"/>
    <cellStyle name="Comma 2 5 4 2 3 5" xfId="5594"/>
    <cellStyle name="Comma 2 5 4 2 3 5 2" xfId="5595"/>
    <cellStyle name="Comma 2 5 4 2 3 6" xfId="5596"/>
    <cellStyle name="Comma 2 5 4 2 3 6 2" xfId="5597"/>
    <cellStyle name="Comma 2 5 4 2 3 7" xfId="5598"/>
    <cellStyle name="Comma 2 5 4 2 4" xfId="5599"/>
    <cellStyle name="Comma 2 5 4 2 4 2" xfId="5600"/>
    <cellStyle name="Comma 2 5 4 2 4 2 2" xfId="5601"/>
    <cellStyle name="Comma 2 5 4 2 4 3" xfId="5602"/>
    <cellStyle name="Comma 2 5 4 2 4 3 2" xfId="5603"/>
    <cellStyle name="Comma 2 5 4 2 4 4" xfId="5604"/>
    <cellStyle name="Comma 2 5 4 2 4 4 2" xfId="5605"/>
    <cellStyle name="Comma 2 5 4 2 4 5" xfId="5606"/>
    <cellStyle name="Comma 2 5 4 2 5" xfId="5607"/>
    <cellStyle name="Comma 2 5 4 2 5 2" xfId="5608"/>
    <cellStyle name="Comma 2 5 4 2 6" xfId="5609"/>
    <cellStyle name="Comma 2 5 4 2 6 2" xfId="5610"/>
    <cellStyle name="Comma 2 5 4 2 6 2 2" xfId="5611"/>
    <cellStyle name="Comma 2 5 4 2 6 3" xfId="5612"/>
    <cellStyle name="Comma 2 5 4 2 6 3 2" xfId="5613"/>
    <cellStyle name="Comma 2 5 4 2 6 4" xfId="5614"/>
    <cellStyle name="Comma 2 5 4 2 7" xfId="5615"/>
    <cellStyle name="Comma 2 5 4 2 7 2" xfId="5616"/>
    <cellStyle name="Comma 2 5 4 2 8" xfId="5617"/>
    <cellStyle name="Comma 2 5 4 2 8 2" xfId="5618"/>
    <cellStyle name="Comma 2 5 4 2 9" xfId="5619"/>
    <cellStyle name="Comma 2 5 4 3" xfId="5620"/>
    <cellStyle name="Comma 2 5 4 3 2" xfId="5621"/>
    <cellStyle name="Comma 2 5 4 3 2 2" xfId="5622"/>
    <cellStyle name="Comma 2 5 4 3 2 2 2" xfId="5623"/>
    <cellStyle name="Comma 2 5 4 3 2 3" xfId="5624"/>
    <cellStyle name="Comma 2 5 4 3 2 3 2" xfId="5625"/>
    <cellStyle name="Comma 2 5 4 3 2 4" xfId="5626"/>
    <cellStyle name="Comma 2 5 4 3 2 4 2" xfId="5627"/>
    <cellStyle name="Comma 2 5 4 3 2 5" xfId="5628"/>
    <cellStyle name="Comma 2 5 4 3 3" xfId="5629"/>
    <cellStyle name="Comma 2 5 4 3 3 2" xfId="5630"/>
    <cellStyle name="Comma 2 5 4 3 4" xfId="5631"/>
    <cellStyle name="Comma 2 5 4 3 4 2" xfId="5632"/>
    <cellStyle name="Comma 2 5 4 3 4 2 2" xfId="5633"/>
    <cellStyle name="Comma 2 5 4 3 4 3" xfId="5634"/>
    <cellStyle name="Comma 2 5 4 3 4 3 2" xfId="5635"/>
    <cellStyle name="Comma 2 5 4 3 4 4" xfId="5636"/>
    <cellStyle name="Comma 2 5 4 3 5" xfId="5637"/>
    <cellStyle name="Comma 2 5 4 3 5 2" xfId="5638"/>
    <cellStyle name="Comma 2 5 4 3 6" xfId="5639"/>
    <cellStyle name="Comma 2 5 4 3 6 2" xfId="5640"/>
    <cellStyle name="Comma 2 5 4 3 7" xfId="5641"/>
    <cellStyle name="Comma 2 5 4 4" xfId="5642"/>
    <cellStyle name="Comma 2 5 4 4 2" xfId="5643"/>
    <cellStyle name="Comma 2 5 4 4 2 2" xfId="5644"/>
    <cellStyle name="Comma 2 5 4 4 2 2 2" xfId="5645"/>
    <cellStyle name="Comma 2 5 4 4 2 3" xfId="5646"/>
    <cellStyle name="Comma 2 5 4 4 2 3 2" xfId="5647"/>
    <cellStyle name="Comma 2 5 4 4 2 4" xfId="5648"/>
    <cellStyle name="Comma 2 5 4 4 2 4 2" xfId="5649"/>
    <cellStyle name="Comma 2 5 4 4 2 5" xfId="5650"/>
    <cellStyle name="Comma 2 5 4 4 3" xfId="5651"/>
    <cellStyle name="Comma 2 5 4 4 3 2" xfId="5652"/>
    <cellStyle name="Comma 2 5 4 4 4" xfId="5653"/>
    <cellStyle name="Comma 2 5 4 4 4 2" xfId="5654"/>
    <cellStyle name="Comma 2 5 4 4 4 2 2" xfId="5655"/>
    <cellStyle name="Comma 2 5 4 4 4 3" xfId="5656"/>
    <cellStyle name="Comma 2 5 4 4 4 3 2" xfId="5657"/>
    <cellStyle name="Comma 2 5 4 4 4 4" xfId="5658"/>
    <cellStyle name="Comma 2 5 4 4 5" xfId="5659"/>
    <cellStyle name="Comma 2 5 4 4 5 2" xfId="5660"/>
    <cellStyle name="Comma 2 5 4 4 6" xfId="5661"/>
    <cellStyle name="Comma 2 5 4 4 6 2" xfId="5662"/>
    <cellStyle name="Comma 2 5 4 4 7" xfId="5663"/>
    <cellStyle name="Comma 2 5 4 5" xfId="5664"/>
    <cellStyle name="Comma 2 5 4 5 2" xfId="5665"/>
    <cellStyle name="Comma 2 5 4 5 2 2" xfId="5666"/>
    <cellStyle name="Comma 2 5 4 5 3" xfId="5667"/>
    <cellStyle name="Comma 2 5 4 5 3 2" xfId="5668"/>
    <cellStyle name="Comma 2 5 4 5 4" xfId="5669"/>
    <cellStyle name="Comma 2 5 4 5 4 2" xfId="5670"/>
    <cellStyle name="Comma 2 5 4 5 5" xfId="5671"/>
    <cellStyle name="Comma 2 5 4 6" xfId="5672"/>
    <cellStyle name="Comma 2 5 4 6 2" xfId="5673"/>
    <cellStyle name="Comma 2 5 4 7" xfId="5674"/>
    <cellStyle name="Comma 2 5 4 7 2" xfId="5675"/>
    <cellStyle name="Comma 2 5 4 7 2 2" xfId="5676"/>
    <cellStyle name="Comma 2 5 4 7 3" xfId="5677"/>
    <cellStyle name="Comma 2 5 4 7 3 2" xfId="5678"/>
    <cellStyle name="Comma 2 5 4 7 4" xfId="5679"/>
    <cellStyle name="Comma 2 5 4 8" xfId="5680"/>
    <cellStyle name="Comma 2 5 4 8 2" xfId="5681"/>
    <cellStyle name="Comma 2 5 4 9" xfId="5682"/>
    <cellStyle name="Comma 2 5 4 9 2" xfId="5683"/>
    <cellStyle name="Comma 2 5 5" xfId="5684"/>
    <cellStyle name="Comma 2 5 5 10" xfId="5685"/>
    <cellStyle name="Comma 2 5 5 2" xfId="5686"/>
    <cellStyle name="Comma 2 5 5 2 2" xfId="5687"/>
    <cellStyle name="Comma 2 5 5 2 2 2" xfId="5688"/>
    <cellStyle name="Comma 2 5 5 2 2 2 2" xfId="5689"/>
    <cellStyle name="Comma 2 5 5 2 2 2 2 2" xfId="5690"/>
    <cellStyle name="Comma 2 5 5 2 2 2 3" xfId="5691"/>
    <cellStyle name="Comma 2 5 5 2 2 2 3 2" xfId="5692"/>
    <cellStyle name="Comma 2 5 5 2 2 2 4" xfId="5693"/>
    <cellStyle name="Comma 2 5 5 2 2 2 4 2" xfId="5694"/>
    <cellStyle name="Comma 2 5 5 2 2 2 5" xfId="5695"/>
    <cellStyle name="Comma 2 5 5 2 2 3" xfId="5696"/>
    <cellStyle name="Comma 2 5 5 2 2 3 2" xfId="5697"/>
    <cellStyle name="Comma 2 5 5 2 2 4" xfId="5698"/>
    <cellStyle name="Comma 2 5 5 2 2 4 2" xfId="5699"/>
    <cellStyle name="Comma 2 5 5 2 2 4 2 2" xfId="5700"/>
    <cellStyle name="Comma 2 5 5 2 2 4 3" xfId="5701"/>
    <cellStyle name="Comma 2 5 5 2 2 4 3 2" xfId="5702"/>
    <cellStyle name="Comma 2 5 5 2 2 4 4" xfId="5703"/>
    <cellStyle name="Comma 2 5 5 2 2 5" xfId="5704"/>
    <cellStyle name="Comma 2 5 5 2 2 5 2" xfId="5705"/>
    <cellStyle name="Comma 2 5 5 2 2 6" xfId="5706"/>
    <cellStyle name="Comma 2 5 5 2 2 6 2" xfId="5707"/>
    <cellStyle name="Comma 2 5 5 2 2 7" xfId="5708"/>
    <cellStyle name="Comma 2 5 5 2 3" xfId="5709"/>
    <cellStyle name="Comma 2 5 5 2 3 2" xfId="5710"/>
    <cellStyle name="Comma 2 5 5 2 3 2 2" xfId="5711"/>
    <cellStyle name="Comma 2 5 5 2 3 2 2 2" xfId="5712"/>
    <cellStyle name="Comma 2 5 5 2 3 2 3" xfId="5713"/>
    <cellStyle name="Comma 2 5 5 2 3 2 3 2" xfId="5714"/>
    <cellStyle name="Comma 2 5 5 2 3 2 4" xfId="5715"/>
    <cellStyle name="Comma 2 5 5 2 3 2 4 2" xfId="5716"/>
    <cellStyle name="Comma 2 5 5 2 3 2 5" xfId="5717"/>
    <cellStyle name="Comma 2 5 5 2 3 3" xfId="5718"/>
    <cellStyle name="Comma 2 5 5 2 3 3 2" xfId="5719"/>
    <cellStyle name="Comma 2 5 5 2 3 4" xfId="5720"/>
    <cellStyle name="Comma 2 5 5 2 3 4 2" xfId="5721"/>
    <cellStyle name="Comma 2 5 5 2 3 4 2 2" xfId="5722"/>
    <cellStyle name="Comma 2 5 5 2 3 4 3" xfId="5723"/>
    <cellStyle name="Comma 2 5 5 2 3 4 3 2" xfId="5724"/>
    <cellStyle name="Comma 2 5 5 2 3 4 4" xfId="5725"/>
    <cellStyle name="Comma 2 5 5 2 3 5" xfId="5726"/>
    <cellStyle name="Comma 2 5 5 2 3 5 2" xfId="5727"/>
    <cellStyle name="Comma 2 5 5 2 3 6" xfId="5728"/>
    <cellStyle name="Comma 2 5 5 2 3 6 2" xfId="5729"/>
    <cellStyle name="Comma 2 5 5 2 3 7" xfId="5730"/>
    <cellStyle name="Comma 2 5 5 2 4" xfId="5731"/>
    <cellStyle name="Comma 2 5 5 2 4 2" xfId="5732"/>
    <cellStyle name="Comma 2 5 5 2 4 2 2" xfId="5733"/>
    <cellStyle name="Comma 2 5 5 2 4 3" xfId="5734"/>
    <cellStyle name="Comma 2 5 5 2 4 3 2" xfId="5735"/>
    <cellStyle name="Comma 2 5 5 2 4 4" xfId="5736"/>
    <cellStyle name="Comma 2 5 5 2 4 4 2" xfId="5737"/>
    <cellStyle name="Comma 2 5 5 2 4 5" xfId="5738"/>
    <cellStyle name="Comma 2 5 5 2 5" xfId="5739"/>
    <cellStyle name="Comma 2 5 5 2 5 2" xfId="5740"/>
    <cellStyle name="Comma 2 5 5 2 6" xfId="5741"/>
    <cellStyle name="Comma 2 5 5 2 6 2" xfId="5742"/>
    <cellStyle name="Comma 2 5 5 2 6 2 2" xfId="5743"/>
    <cellStyle name="Comma 2 5 5 2 6 3" xfId="5744"/>
    <cellStyle name="Comma 2 5 5 2 6 3 2" xfId="5745"/>
    <cellStyle name="Comma 2 5 5 2 6 4" xfId="5746"/>
    <cellStyle name="Comma 2 5 5 2 7" xfId="5747"/>
    <cellStyle name="Comma 2 5 5 2 7 2" xfId="5748"/>
    <cellStyle name="Comma 2 5 5 2 8" xfId="5749"/>
    <cellStyle name="Comma 2 5 5 2 8 2" xfId="5750"/>
    <cellStyle name="Comma 2 5 5 2 9" xfId="5751"/>
    <cellStyle name="Comma 2 5 5 3" xfId="5752"/>
    <cellStyle name="Comma 2 5 5 3 2" xfId="5753"/>
    <cellStyle name="Comma 2 5 5 3 2 2" xfId="5754"/>
    <cellStyle name="Comma 2 5 5 3 2 2 2" xfId="5755"/>
    <cellStyle name="Comma 2 5 5 3 2 3" xfId="5756"/>
    <cellStyle name="Comma 2 5 5 3 2 3 2" xfId="5757"/>
    <cellStyle name="Comma 2 5 5 3 2 4" xfId="5758"/>
    <cellStyle name="Comma 2 5 5 3 2 4 2" xfId="5759"/>
    <cellStyle name="Comma 2 5 5 3 2 5" xfId="5760"/>
    <cellStyle name="Comma 2 5 5 3 3" xfId="5761"/>
    <cellStyle name="Comma 2 5 5 3 3 2" xfId="5762"/>
    <cellStyle name="Comma 2 5 5 3 4" xfId="5763"/>
    <cellStyle name="Comma 2 5 5 3 4 2" xfId="5764"/>
    <cellStyle name="Comma 2 5 5 3 4 2 2" xfId="5765"/>
    <cellStyle name="Comma 2 5 5 3 4 3" xfId="5766"/>
    <cellStyle name="Comma 2 5 5 3 4 3 2" xfId="5767"/>
    <cellStyle name="Comma 2 5 5 3 4 4" xfId="5768"/>
    <cellStyle name="Comma 2 5 5 3 5" xfId="5769"/>
    <cellStyle name="Comma 2 5 5 3 5 2" xfId="5770"/>
    <cellStyle name="Comma 2 5 5 3 6" xfId="5771"/>
    <cellStyle name="Comma 2 5 5 3 6 2" xfId="5772"/>
    <cellStyle name="Comma 2 5 5 3 7" xfId="5773"/>
    <cellStyle name="Comma 2 5 5 4" xfId="5774"/>
    <cellStyle name="Comma 2 5 5 4 2" xfId="5775"/>
    <cellStyle name="Comma 2 5 5 4 2 2" xfId="5776"/>
    <cellStyle name="Comma 2 5 5 4 2 2 2" xfId="5777"/>
    <cellStyle name="Comma 2 5 5 4 2 3" xfId="5778"/>
    <cellStyle name="Comma 2 5 5 4 2 3 2" xfId="5779"/>
    <cellStyle name="Comma 2 5 5 4 2 4" xfId="5780"/>
    <cellStyle name="Comma 2 5 5 4 2 4 2" xfId="5781"/>
    <cellStyle name="Comma 2 5 5 4 2 5" xfId="5782"/>
    <cellStyle name="Comma 2 5 5 4 3" xfId="5783"/>
    <cellStyle name="Comma 2 5 5 4 3 2" xfId="5784"/>
    <cellStyle name="Comma 2 5 5 4 4" xfId="5785"/>
    <cellStyle name="Comma 2 5 5 4 4 2" xfId="5786"/>
    <cellStyle name="Comma 2 5 5 4 4 2 2" xfId="5787"/>
    <cellStyle name="Comma 2 5 5 4 4 3" xfId="5788"/>
    <cellStyle name="Comma 2 5 5 4 4 3 2" xfId="5789"/>
    <cellStyle name="Comma 2 5 5 4 4 4" xfId="5790"/>
    <cellStyle name="Comma 2 5 5 4 5" xfId="5791"/>
    <cellStyle name="Comma 2 5 5 4 5 2" xfId="5792"/>
    <cellStyle name="Comma 2 5 5 4 6" xfId="5793"/>
    <cellStyle name="Comma 2 5 5 4 6 2" xfId="5794"/>
    <cellStyle name="Comma 2 5 5 4 7" xfId="5795"/>
    <cellStyle name="Comma 2 5 5 5" xfId="5796"/>
    <cellStyle name="Comma 2 5 5 5 2" xfId="5797"/>
    <cellStyle name="Comma 2 5 5 5 2 2" xfId="5798"/>
    <cellStyle name="Comma 2 5 5 5 3" xfId="5799"/>
    <cellStyle name="Comma 2 5 5 5 3 2" xfId="5800"/>
    <cellStyle name="Comma 2 5 5 5 4" xfId="5801"/>
    <cellStyle name="Comma 2 5 5 5 4 2" xfId="5802"/>
    <cellStyle name="Comma 2 5 5 5 5" xfId="5803"/>
    <cellStyle name="Comma 2 5 5 6" xfId="5804"/>
    <cellStyle name="Comma 2 5 5 6 2" xfId="5805"/>
    <cellStyle name="Comma 2 5 5 7" xfId="5806"/>
    <cellStyle name="Comma 2 5 5 7 2" xfId="5807"/>
    <cellStyle name="Comma 2 5 5 7 2 2" xfId="5808"/>
    <cellStyle name="Comma 2 5 5 7 3" xfId="5809"/>
    <cellStyle name="Comma 2 5 5 7 3 2" xfId="5810"/>
    <cellStyle name="Comma 2 5 5 7 4" xfId="5811"/>
    <cellStyle name="Comma 2 5 5 8" xfId="5812"/>
    <cellStyle name="Comma 2 5 5 8 2" xfId="5813"/>
    <cellStyle name="Comma 2 5 5 9" xfId="5814"/>
    <cellStyle name="Comma 2 5 5 9 2" xfId="5815"/>
    <cellStyle name="Comma 2 5 6" xfId="5816"/>
    <cellStyle name="Comma 2 5 6 10" xfId="5817"/>
    <cellStyle name="Comma 2 5 6 2" xfId="5818"/>
    <cellStyle name="Comma 2 5 6 2 2" xfId="5819"/>
    <cellStyle name="Comma 2 5 6 2 2 2" xfId="5820"/>
    <cellStyle name="Comma 2 5 6 2 2 2 2" xfId="5821"/>
    <cellStyle name="Comma 2 5 6 2 2 2 2 2" xfId="5822"/>
    <cellStyle name="Comma 2 5 6 2 2 2 3" xfId="5823"/>
    <cellStyle name="Comma 2 5 6 2 2 2 3 2" xfId="5824"/>
    <cellStyle name="Comma 2 5 6 2 2 2 4" xfId="5825"/>
    <cellStyle name="Comma 2 5 6 2 2 2 4 2" xfId="5826"/>
    <cellStyle name="Comma 2 5 6 2 2 2 5" xfId="5827"/>
    <cellStyle name="Comma 2 5 6 2 2 3" xfId="5828"/>
    <cellStyle name="Comma 2 5 6 2 2 3 2" xfId="5829"/>
    <cellStyle name="Comma 2 5 6 2 2 4" xfId="5830"/>
    <cellStyle name="Comma 2 5 6 2 2 4 2" xfId="5831"/>
    <cellStyle name="Comma 2 5 6 2 2 4 2 2" xfId="5832"/>
    <cellStyle name="Comma 2 5 6 2 2 4 3" xfId="5833"/>
    <cellStyle name="Comma 2 5 6 2 2 4 3 2" xfId="5834"/>
    <cellStyle name="Comma 2 5 6 2 2 4 4" xfId="5835"/>
    <cellStyle name="Comma 2 5 6 2 2 5" xfId="5836"/>
    <cellStyle name="Comma 2 5 6 2 2 5 2" xfId="5837"/>
    <cellStyle name="Comma 2 5 6 2 2 6" xfId="5838"/>
    <cellStyle name="Comma 2 5 6 2 2 6 2" xfId="5839"/>
    <cellStyle name="Comma 2 5 6 2 2 7" xfId="5840"/>
    <cellStyle name="Comma 2 5 6 2 3" xfId="5841"/>
    <cellStyle name="Comma 2 5 6 2 3 2" xfId="5842"/>
    <cellStyle name="Comma 2 5 6 2 3 2 2" xfId="5843"/>
    <cellStyle name="Comma 2 5 6 2 3 2 2 2" xfId="5844"/>
    <cellStyle name="Comma 2 5 6 2 3 2 3" xfId="5845"/>
    <cellStyle name="Comma 2 5 6 2 3 2 3 2" xfId="5846"/>
    <cellStyle name="Comma 2 5 6 2 3 2 4" xfId="5847"/>
    <cellStyle name="Comma 2 5 6 2 3 2 4 2" xfId="5848"/>
    <cellStyle name="Comma 2 5 6 2 3 2 5" xfId="5849"/>
    <cellStyle name="Comma 2 5 6 2 3 3" xfId="5850"/>
    <cellStyle name="Comma 2 5 6 2 3 3 2" xfId="5851"/>
    <cellStyle name="Comma 2 5 6 2 3 4" xfId="5852"/>
    <cellStyle name="Comma 2 5 6 2 3 4 2" xfId="5853"/>
    <cellStyle name="Comma 2 5 6 2 3 4 2 2" xfId="5854"/>
    <cellStyle name="Comma 2 5 6 2 3 4 3" xfId="5855"/>
    <cellStyle name="Comma 2 5 6 2 3 4 3 2" xfId="5856"/>
    <cellStyle name="Comma 2 5 6 2 3 4 4" xfId="5857"/>
    <cellStyle name="Comma 2 5 6 2 3 5" xfId="5858"/>
    <cellStyle name="Comma 2 5 6 2 3 5 2" xfId="5859"/>
    <cellStyle name="Comma 2 5 6 2 3 6" xfId="5860"/>
    <cellStyle name="Comma 2 5 6 2 3 6 2" xfId="5861"/>
    <cellStyle name="Comma 2 5 6 2 3 7" xfId="5862"/>
    <cellStyle name="Comma 2 5 6 2 4" xfId="5863"/>
    <cellStyle name="Comma 2 5 6 2 4 2" xfId="5864"/>
    <cellStyle name="Comma 2 5 6 2 4 2 2" xfId="5865"/>
    <cellStyle name="Comma 2 5 6 2 4 3" xfId="5866"/>
    <cellStyle name="Comma 2 5 6 2 4 3 2" xfId="5867"/>
    <cellStyle name="Comma 2 5 6 2 4 4" xfId="5868"/>
    <cellStyle name="Comma 2 5 6 2 4 4 2" xfId="5869"/>
    <cellStyle name="Comma 2 5 6 2 4 5" xfId="5870"/>
    <cellStyle name="Comma 2 5 6 2 5" xfId="5871"/>
    <cellStyle name="Comma 2 5 6 2 5 2" xfId="5872"/>
    <cellStyle name="Comma 2 5 6 2 6" xfId="5873"/>
    <cellStyle name="Comma 2 5 6 2 6 2" xfId="5874"/>
    <cellStyle name="Comma 2 5 6 2 6 2 2" xfId="5875"/>
    <cellStyle name="Comma 2 5 6 2 6 3" xfId="5876"/>
    <cellStyle name="Comma 2 5 6 2 6 3 2" xfId="5877"/>
    <cellStyle name="Comma 2 5 6 2 6 4" xfId="5878"/>
    <cellStyle name="Comma 2 5 6 2 7" xfId="5879"/>
    <cellStyle name="Comma 2 5 6 2 7 2" xfId="5880"/>
    <cellStyle name="Comma 2 5 6 2 8" xfId="5881"/>
    <cellStyle name="Comma 2 5 6 2 8 2" xfId="5882"/>
    <cellStyle name="Comma 2 5 6 2 9" xfId="5883"/>
    <cellStyle name="Comma 2 5 6 3" xfId="5884"/>
    <cellStyle name="Comma 2 5 6 3 2" xfId="5885"/>
    <cellStyle name="Comma 2 5 6 3 2 2" xfId="5886"/>
    <cellStyle name="Comma 2 5 6 3 2 2 2" xfId="5887"/>
    <cellStyle name="Comma 2 5 6 3 2 3" xfId="5888"/>
    <cellStyle name="Comma 2 5 6 3 2 3 2" xfId="5889"/>
    <cellStyle name="Comma 2 5 6 3 2 4" xfId="5890"/>
    <cellStyle name="Comma 2 5 6 3 2 4 2" xfId="5891"/>
    <cellStyle name="Comma 2 5 6 3 2 5" xfId="5892"/>
    <cellStyle name="Comma 2 5 6 3 3" xfId="5893"/>
    <cellStyle name="Comma 2 5 6 3 3 2" xfId="5894"/>
    <cellStyle name="Comma 2 5 6 3 4" xfId="5895"/>
    <cellStyle name="Comma 2 5 6 3 4 2" xfId="5896"/>
    <cellStyle name="Comma 2 5 6 3 4 2 2" xfId="5897"/>
    <cellStyle name="Comma 2 5 6 3 4 3" xfId="5898"/>
    <cellStyle name="Comma 2 5 6 3 4 3 2" xfId="5899"/>
    <cellStyle name="Comma 2 5 6 3 4 4" xfId="5900"/>
    <cellStyle name="Comma 2 5 6 3 5" xfId="5901"/>
    <cellStyle name="Comma 2 5 6 3 5 2" xfId="5902"/>
    <cellStyle name="Comma 2 5 6 3 6" xfId="5903"/>
    <cellStyle name="Comma 2 5 6 3 6 2" xfId="5904"/>
    <cellStyle name="Comma 2 5 6 3 7" xfId="5905"/>
    <cellStyle name="Comma 2 5 6 4" xfId="5906"/>
    <cellStyle name="Comma 2 5 6 4 2" xfId="5907"/>
    <cellStyle name="Comma 2 5 6 4 2 2" xfId="5908"/>
    <cellStyle name="Comma 2 5 6 4 2 2 2" xfId="5909"/>
    <cellStyle name="Comma 2 5 6 4 2 3" xfId="5910"/>
    <cellStyle name="Comma 2 5 6 4 2 3 2" xfId="5911"/>
    <cellStyle name="Comma 2 5 6 4 2 4" xfId="5912"/>
    <cellStyle name="Comma 2 5 6 4 2 4 2" xfId="5913"/>
    <cellStyle name="Comma 2 5 6 4 2 5" xfId="5914"/>
    <cellStyle name="Comma 2 5 6 4 3" xfId="5915"/>
    <cellStyle name="Comma 2 5 6 4 3 2" xfId="5916"/>
    <cellStyle name="Comma 2 5 6 4 4" xfId="5917"/>
    <cellStyle name="Comma 2 5 6 4 4 2" xfId="5918"/>
    <cellStyle name="Comma 2 5 6 4 4 2 2" xfId="5919"/>
    <cellStyle name="Comma 2 5 6 4 4 3" xfId="5920"/>
    <cellStyle name="Comma 2 5 6 4 4 3 2" xfId="5921"/>
    <cellStyle name="Comma 2 5 6 4 4 4" xfId="5922"/>
    <cellStyle name="Comma 2 5 6 4 5" xfId="5923"/>
    <cellStyle name="Comma 2 5 6 4 5 2" xfId="5924"/>
    <cellStyle name="Comma 2 5 6 4 6" xfId="5925"/>
    <cellStyle name="Comma 2 5 6 4 6 2" xfId="5926"/>
    <cellStyle name="Comma 2 5 6 4 7" xfId="5927"/>
    <cellStyle name="Comma 2 5 6 5" xfId="5928"/>
    <cellStyle name="Comma 2 5 6 5 2" xfId="5929"/>
    <cellStyle name="Comma 2 5 6 5 2 2" xfId="5930"/>
    <cellStyle name="Comma 2 5 6 5 3" xfId="5931"/>
    <cellStyle name="Comma 2 5 6 5 3 2" xfId="5932"/>
    <cellStyle name="Comma 2 5 6 5 4" xfId="5933"/>
    <cellStyle name="Comma 2 5 6 5 4 2" xfId="5934"/>
    <cellStyle name="Comma 2 5 6 5 5" xfId="5935"/>
    <cellStyle name="Comma 2 5 6 6" xfId="5936"/>
    <cellStyle name="Comma 2 5 6 6 2" xfId="5937"/>
    <cellStyle name="Comma 2 5 6 7" xfId="5938"/>
    <cellStyle name="Comma 2 5 6 7 2" xfId="5939"/>
    <cellStyle name="Comma 2 5 6 7 2 2" xfId="5940"/>
    <cellStyle name="Comma 2 5 6 7 3" xfId="5941"/>
    <cellStyle name="Comma 2 5 6 7 3 2" xfId="5942"/>
    <cellStyle name="Comma 2 5 6 7 4" xfId="5943"/>
    <cellStyle name="Comma 2 5 6 8" xfId="5944"/>
    <cellStyle name="Comma 2 5 6 8 2" xfId="5945"/>
    <cellStyle name="Comma 2 5 6 9" xfId="5946"/>
    <cellStyle name="Comma 2 5 6 9 2" xfId="5947"/>
    <cellStyle name="Comma 2 5 7" xfId="5948"/>
    <cellStyle name="Comma 2 5 7 2" xfId="5949"/>
    <cellStyle name="Comma 2 5 7 2 2" xfId="5950"/>
    <cellStyle name="Comma 2 5 7 2 2 2" xfId="5951"/>
    <cellStyle name="Comma 2 5 7 2 2 2 2" xfId="5952"/>
    <cellStyle name="Comma 2 5 7 2 2 3" xfId="5953"/>
    <cellStyle name="Comma 2 5 7 2 2 3 2" xfId="5954"/>
    <cellStyle name="Comma 2 5 7 2 2 4" xfId="5955"/>
    <cellStyle name="Comma 2 5 7 2 2 4 2" xfId="5956"/>
    <cellStyle name="Comma 2 5 7 2 2 5" xfId="5957"/>
    <cellStyle name="Comma 2 5 7 2 3" xfId="5958"/>
    <cellStyle name="Comma 2 5 7 2 3 2" xfId="5959"/>
    <cellStyle name="Comma 2 5 7 2 4" xfId="5960"/>
    <cellStyle name="Comma 2 5 7 2 4 2" xfId="5961"/>
    <cellStyle name="Comma 2 5 7 2 4 2 2" xfId="5962"/>
    <cellStyle name="Comma 2 5 7 2 4 3" xfId="5963"/>
    <cellStyle name="Comma 2 5 7 2 4 3 2" xfId="5964"/>
    <cellStyle name="Comma 2 5 7 2 4 4" xfId="5965"/>
    <cellStyle name="Comma 2 5 7 2 5" xfId="5966"/>
    <cellStyle name="Comma 2 5 7 2 5 2" xfId="5967"/>
    <cellStyle name="Comma 2 5 7 2 6" xfId="5968"/>
    <cellStyle name="Comma 2 5 7 2 6 2" xfId="5969"/>
    <cellStyle name="Comma 2 5 7 2 7" xfId="5970"/>
    <cellStyle name="Comma 2 5 7 3" xfId="5971"/>
    <cellStyle name="Comma 2 5 7 3 2" xfId="5972"/>
    <cellStyle name="Comma 2 5 7 3 2 2" xfId="5973"/>
    <cellStyle name="Comma 2 5 7 3 2 2 2" xfId="5974"/>
    <cellStyle name="Comma 2 5 7 3 2 3" xfId="5975"/>
    <cellStyle name="Comma 2 5 7 3 2 3 2" xfId="5976"/>
    <cellStyle name="Comma 2 5 7 3 2 4" xfId="5977"/>
    <cellStyle name="Comma 2 5 7 3 2 4 2" xfId="5978"/>
    <cellStyle name="Comma 2 5 7 3 2 5" xfId="5979"/>
    <cellStyle name="Comma 2 5 7 3 3" xfId="5980"/>
    <cellStyle name="Comma 2 5 7 3 3 2" xfId="5981"/>
    <cellStyle name="Comma 2 5 7 3 4" xfId="5982"/>
    <cellStyle name="Comma 2 5 7 3 4 2" xfId="5983"/>
    <cellStyle name="Comma 2 5 7 3 4 2 2" xfId="5984"/>
    <cellStyle name="Comma 2 5 7 3 4 3" xfId="5985"/>
    <cellStyle name="Comma 2 5 7 3 4 3 2" xfId="5986"/>
    <cellStyle name="Comma 2 5 7 3 4 4" xfId="5987"/>
    <cellStyle name="Comma 2 5 7 3 5" xfId="5988"/>
    <cellStyle name="Comma 2 5 7 3 5 2" xfId="5989"/>
    <cellStyle name="Comma 2 5 7 3 6" xfId="5990"/>
    <cellStyle name="Comma 2 5 7 3 6 2" xfId="5991"/>
    <cellStyle name="Comma 2 5 7 3 7" xfId="5992"/>
    <cellStyle name="Comma 2 5 7 4" xfId="5993"/>
    <cellStyle name="Comma 2 5 7 4 2" xfId="5994"/>
    <cellStyle name="Comma 2 5 7 4 2 2" xfId="5995"/>
    <cellStyle name="Comma 2 5 7 4 3" xfId="5996"/>
    <cellStyle name="Comma 2 5 7 4 3 2" xfId="5997"/>
    <cellStyle name="Comma 2 5 7 4 4" xfId="5998"/>
    <cellStyle name="Comma 2 5 7 4 4 2" xfId="5999"/>
    <cellStyle name="Comma 2 5 7 4 5" xfId="6000"/>
    <cellStyle name="Comma 2 5 7 5" xfId="6001"/>
    <cellStyle name="Comma 2 5 7 5 2" xfId="6002"/>
    <cellStyle name="Comma 2 5 7 6" xfId="6003"/>
    <cellStyle name="Comma 2 5 7 6 2" xfId="6004"/>
    <cellStyle name="Comma 2 5 7 6 2 2" xfId="6005"/>
    <cellStyle name="Comma 2 5 7 6 3" xfId="6006"/>
    <cellStyle name="Comma 2 5 7 6 3 2" xfId="6007"/>
    <cellStyle name="Comma 2 5 7 6 4" xfId="6008"/>
    <cellStyle name="Comma 2 5 7 7" xfId="6009"/>
    <cellStyle name="Comma 2 5 7 7 2" xfId="6010"/>
    <cellStyle name="Comma 2 5 7 8" xfId="6011"/>
    <cellStyle name="Comma 2 5 7 8 2" xfId="6012"/>
    <cellStyle name="Comma 2 5 7 9" xfId="6013"/>
    <cellStyle name="Comma 2 5 8" xfId="6014"/>
    <cellStyle name="Comma 2 5 8 2" xfId="6015"/>
    <cellStyle name="Comma 2 5 8 2 2" xfId="6016"/>
    <cellStyle name="Comma 2 5 8 2 2 2" xfId="6017"/>
    <cellStyle name="Comma 2 5 8 2 3" xfId="6018"/>
    <cellStyle name="Comma 2 5 8 2 3 2" xfId="6019"/>
    <cellStyle name="Comma 2 5 8 2 4" xfId="6020"/>
    <cellStyle name="Comma 2 5 8 2 4 2" xfId="6021"/>
    <cellStyle name="Comma 2 5 8 2 5" xfId="6022"/>
    <cellStyle name="Comma 2 5 8 3" xfId="6023"/>
    <cellStyle name="Comma 2 5 8 3 2" xfId="6024"/>
    <cellStyle name="Comma 2 5 8 4" xfId="6025"/>
    <cellStyle name="Comma 2 5 8 4 2" xfId="6026"/>
    <cellStyle name="Comma 2 5 8 4 2 2" xfId="6027"/>
    <cellStyle name="Comma 2 5 8 4 3" xfId="6028"/>
    <cellStyle name="Comma 2 5 8 4 3 2" xfId="6029"/>
    <cellStyle name="Comma 2 5 8 4 4" xfId="6030"/>
    <cellStyle name="Comma 2 5 8 5" xfId="6031"/>
    <cellStyle name="Comma 2 5 8 5 2" xfId="6032"/>
    <cellStyle name="Comma 2 5 8 6" xfId="6033"/>
    <cellStyle name="Comma 2 5 8 6 2" xfId="6034"/>
    <cellStyle name="Comma 2 5 8 7" xfId="6035"/>
    <cellStyle name="Comma 2 5 9" xfId="6036"/>
    <cellStyle name="Comma 2 5 9 2" xfId="6037"/>
    <cellStyle name="Comma 2 5 9 2 2" xfId="6038"/>
    <cellStyle name="Comma 2 5 9 2 2 2" xfId="6039"/>
    <cellStyle name="Comma 2 5 9 2 3" xfId="6040"/>
    <cellStyle name="Comma 2 5 9 2 3 2" xfId="6041"/>
    <cellStyle name="Comma 2 5 9 2 4" xfId="6042"/>
    <cellStyle name="Comma 2 5 9 2 4 2" xfId="6043"/>
    <cellStyle name="Comma 2 5 9 2 5" xfId="6044"/>
    <cellStyle name="Comma 2 5 9 3" xfId="6045"/>
    <cellStyle name="Comma 2 5 9 3 2" xfId="6046"/>
    <cellStyle name="Comma 2 5 9 4" xfId="6047"/>
    <cellStyle name="Comma 2 5 9 4 2" xfId="6048"/>
    <cellStyle name="Comma 2 5 9 4 2 2" xfId="6049"/>
    <cellStyle name="Comma 2 5 9 4 3" xfId="6050"/>
    <cellStyle name="Comma 2 5 9 4 3 2" xfId="6051"/>
    <cellStyle name="Comma 2 5 9 4 4" xfId="6052"/>
    <cellStyle name="Comma 2 5 9 5" xfId="6053"/>
    <cellStyle name="Comma 2 5 9 5 2" xfId="6054"/>
    <cellStyle name="Comma 2 5 9 6" xfId="6055"/>
    <cellStyle name="Comma 2 5 9 6 2" xfId="6056"/>
    <cellStyle name="Comma 2 5 9 7" xfId="6057"/>
    <cellStyle name="Comma 2 6" xfId="6058"/>
    <cellStyle name="Comma 2 6 2" xfId="6059"/>
    <cellStyle name="Comma 2 6 2 2" xfId="19162"/>
    <cellStyle name="Comma 2 6 3" xfId="16801"/>
    <cellStyle name="Comma 2 6 4" xfId="23080"/>
    <cellStyle name="Comma 2 7" xfId="6060"/>
    <cellStyle name="Comma 2 7 2" xfId="6061"/>
    <cellStyle name="Comma 2 7 2 2" xfId="6062"/>
    <cellStyle name="Comma 2 7 2 2 2" xfId="6063"/>
    <cellStyle name="Comma 2 7 2 2 2 2" xfId="6064"/>
    <cellStyle name="Comma 2 7 2 2 2 2 2" xfId="6065"/>
    <cellStyle name="Comma 2 7 2 2 2 3" xfId="6066"/>
    <cellStyle name="Comma 2 7 2 2 2 3 2" xfId="6067"/>
    <cellStyle name="Comma 2 7 2 2 2 4" xfId="6068"/>
    <cellStyle name="Comma 2 7 2 2 3" xfId="6069"/>
    <cellStyle name="Comma 2 7 2 2 3 2" xfId="6070"/>
    <cellStyle name="Comma 2 7 2 2 4" xfId="6071"/>
    <cellStyle name="Comma 2 7 2 2 4 2" xfId="6072"/>
    <cellStyle name="Comma 2 7 2 2 5" xfId="6073"/>
    <cellStyle name="Comma 2 7 2 3" xfId="6074"/>
    <cellStyle name="Comma 2 7 2 3 2" xfId="6075"/>
    <cellStyle name="Comma 2 7 2 3 2 2" xfId="6076"/>
    <cellStyle name="Comma 2 7 2 3 3" xfId="6077"/>
    <cellStyle name="Comma 2 7 2 3 3 2" xfId="6078"/>
    <cellStyle name="Comma 2 7 2 3 4" xfId="6079"/>
    <cellStyle name="Comma 2 7 2 4" xfId="6080"/>
    <cellStyle name="Comma 2 7 2 4 2" xfId="6081"/>
    <cellStyle name="Comma 2 7 2 5" xfId="6082"/>
    <cellStyle name="Comma 2 7 2 5 2" xfId="6083"/>
    <cellStyle name="Comma 2 7 2 6" xfId="6084"/>
    <cellStyle name="Comma 2 7 2 7" xfId="19164"/>
    <cellStyle name="Comma 2 7 3" xfId="6085"/>
    <cellStyle name="Comma 2 7 3 2" xfId="6086"/>
    <cellStyle name="Comma 2 7 3 2 2" xfId="6087"/>
    <cellStyle name="Comma 2 7 3 2 2 2" xfId="6088"/>
    <cellStyle name="Comma 2 7 3 2 3" xfId="6089"/>
    <cellStyle name="Comma 2 7 3 2 3 2" xfId="6090"/>
    <cellStyle name="Comma 2 7 3 2 4" xfId="6091"/>
    <cellStyle name="Comma 2 7 3 3" xfId="6092"/>
    <cellStyle name="Comma 2 7 3 3 2" xfId="6093"/>
    <cellStyle name="Comma 2 7 3 4" xfId="6094"/>
    <cellStyle name="Comma 2 7 3 4 2" xfId="6095"/>
    <cellStyle name="Comma 2 7 3 5" xfId="6096"/>
    <cellStyle name="Comma 2 7 3 6" xfId="19165"/>
    <cellStyle name="Comma 2 7 4" xfId="6097"/>
    <cellStyle name="Comma 2 7 4 2" xfId="6098"/>
    <cellStyle name="Comma 2 7 4 2 2" xfId="6099"/>
    <cellStyle name="Comma 2 7 4 3" xfId="6100"/>
    <cellStyle name="Comma 2 7 4 3 2" xfId="6101"/>
    <cellStyle name="Comma 2 7 4 4" xfId="6102"/>
    <cellStyle name="Comma 2 7 5" xfId="6103"/>
    <cellStyle name="Comma 2 7 5 2" xfId="6104"/>
    <cellStyle name="Comma 2 7 6" xfId="6105"/>
    <cellStyle name="Comma 2 7 6 2" xfId="6106"/>
    <cellStyle name="Comma 2 7 7" xfId="6107"/>
    <cellStyle name="Comma 2 7 8" xfId="19163"/>
    <cellStyle name="Comma 2 8" xfId="6108"/>
    <cellStyle name="Comma 2 8 10" xfId="6109"/>
    <cellStyle name="Comma 2 8 11" xfId="19166"/>
    <cellStyle name="Comma 2 8 2" xfId="6110"/>
    <cellStyle name="Comma 2 8 2 10" xfId="19167"/>
    <cellStyle name="Comma 2 8 2 2" xfId="6111"/>
    <cellStyle name="Comma 2 8 2 2 2" xfId="6112"/>
    <cellStyle name="Comma 2 8 2 2 2 2" xfId="6113"/>
    <cellStyle name="Comma 2 8 2 2 2 2 2" xfId="6114"/>
    <cellStyle name="Comma 2 8 2 2 2 3" xfId="6115"/>
    <cellStyle name="Comma 2 8 2 2 2 3 2" xfId="6116"/>
    <cellStyle name="Comma 2 8 2 2 2 4" xfId="6117"/>
    <cellStyle name="Comma 2 8 2 2 2 4 2" xfId="6118"/>
    <cellStyle name="Comma 2 8 2 2 2 5" xfId="6119"/>
    <cellStyle name="Comma 2 8 2 2 3" xfId="6120"/>
    <cellStyle name="Comma 2 8 2 2 3 2" xfId="6121"/>
    <cellStyle name="Comma 2 8 2 2 4" xfId="6122"/>
    <cellStyle name="Comma 2 8 2 2 4 2" xfId="6123"/>
    <cellStyle name="Comma 2 8 2 2 4 2 2" xfId="6124"/>
    <cellStyle name="Comma 2 8 2 2 4 3" xfId="6125"/>
    <cellStyle name="Comma 2 8 2 2 4 3 2" xfId="6126"/>
    <cellStyle name="Comma 2 8 2 2 4 4" xfId="6127"/>
    <cellStyle name="Comma 2 8 2 2 5" xfId="6128"/>
    <cellStyle name="Comma 2 8 2 2 5 2" xfId="6129"/>
    <cellStyle name="Comma 2 8 2 2 6" xfId="6130"/>
    <cellStyle name="Comma 2 8 2 2 6 2" xfId="6131"/>
    <cellStyle name="Comma 2 8 2 2 7" xfId="6132"/>
    <cellStyle name="Comma 2 8 2 3" xfId="6133"/>
    <cellStyle name="Comma 2 8 2 3 2" xfId="6134"/>
    <cellStyle name="Comma 2 8 2 3 2 2" xfId="6135"/>
    <cellStyle name="Comma 2 8 2 3 2 2 2" xfId="6136"/>
    <cellStyle name="Comma 2 8 2 3 2 3" xfId="6137"/>
    <cellStyle name="Comma 2 8 2 3 2 3 2" xfId="6138"/>
    <cellStyle name="Comma 2 8 2 3 2 4" xfId="6139"/>
    <cellStyle name="Comma 2 8 2 3 2 4 2" xfId="6140"/>
    <cellStyle name="Comma 2 8 2 3 2 5" xfId="6141"/>
    <cellStyle name="Comma 2 8 2 3 3" xfId="6142"/>
    <cellStyle name="Comma 2 8 2 3 3 2" xfId="6143"/>
    <cellStyle name="Comma 2 8 2 3 4" xfId="6144"/>
    <cellStyle name="Comma 2 8 2 3 4 2" xfId="6145"/>
    <cellStyle name="Comma 2 8 2 3 4 2 2" xfId="6146"/>
    <cellStyle name="Comma 2 8 2 3 4 3" xfId="6147"/>
    <cellStyle name="Comma 2 8 2 3 4 3 2" xfId="6148"/>
    <cellStyle name="Comma 2 8 2 3 4 4" xfId="6149"/>
    <cellStyle name="Comma 2 8 2 3 5" xfId="6150"/>
    <cellStyle name="Comma 2 8 2 3 5 2" xfId="6151"/>
    <cellStyle name="Comma 2 8 2 3 6" xfId="6152"/>
    <cellStyle name="Comma 2 8 2 3 6 2" xfId="6153"/>
    <cellStyle name="Comma 2 8 2 3 7" xfId="6154"/>
    <cellStyle name="Comma 2 8 2 4" xfId="6155"/>
    <cellStyle name="Comma 2 8 2 4 2" xfId="6156"/>
    <cellStyle name="Comma 2 8 2 4 2 2" xfId="6157"/>
    <cellStyle name="Comma 2 8 2 4 3" xfId="6158"/>
    <cellStyle name="Comma 2 8 2 4 3 2" xfId="6159"/>
    <cellStyle name="Comma 2 8 2 4 4" xfId="6160"/>
    <cellStyle name="Comma 2 8 2 4 4 2" xfId="6161"/>
    <cellStyle name="Comma 2 8 2 4 5" xfId="6162"/>
    <cellStyle name="Comma 2 8 2 5" xfId="6163"/>
    <cellStyle name="Comma 2 8 2 5 2" xfId="6164"/>
    <cellStyle name="Comma 2 8 2 6" xfId="6165"/>
    <cellStyle name="Comma 2 8 2 6 2" xfId="6166"/>
    <cellStyle name="Comma 2 8 2 6 2 2" xfId="6167"/>
    <cellStyle name="Comma 2 8 2 6 3" xfId="6168"/>
    <cellStyle name="Comma 2 8 2 6 3 2" xfId="6169"/>
    <cellStyle name="Comma 2 8 2 6 4" xfId="6170"/>
    <cellStyle name="Comma 2 8 2 7" xfId="6171"/>
    <cellStyle name="Comma 2 8 2 7 2" xfId="6172"/>
    <cellStyle name="Comma 2 8 2 8" xfId="6173"/>
    <cellStyle name="Comma 2 8 2 8 2" xfId="6174"/>
    <cellStyle name="Comma 2 8 2 9" xfId="6175"/>
    <cellStyle name="Comma 2 8 3" xfId="6176"/>
    <cellStyle name="Comma 2 8 3 2" xfId="6177"/>
    <cellStyle name="Comma 2 8 3 2 2" xfId="6178"/>
    <cellStyle name="Comma 2 8 3 2 2 2" xfId="6179"/>
    <cellStyle name="Comma 2 8 3 2 3" xfId="6180"/>
    <cellStyle name="Comma 2 8 3 2 3 2" xfId="6181"/>
    <cellStyle name="Comma 2 8 3 2 4" xfId="6182"/>
    <cellStyle name="Comma 2 8 3 2 4 2" xfId="6183"/>
    <cellStyle name="Comma 2 8 3 2 5" xfId="6184"/>
    <cellStyle name="Comma 2 8 3 3" xfId="6185"/>
    <cellStyle name="Comma 2 8 3 3 2" xfId="6186"/>
    <cellStyle name="Comma 2 8 3 4" xfId="6187"/>
    <cellStyle name="Comma 2 8 3 4 2" xfId="6188"/>
    <cellStyle name="Comma 2 8 3 4 2 2" xfId="6189"/>
    <cellStyle name="Comma 2 8 3 4 3" xfId="6190"/>
    <cellStyle name="Comma 2 8 3 4 3 2" xfId="6191"/>
    <cellStyle name="Comma 2 8 3 4 4" xfId="6192"/>
    <cellStyle name="Comma 2 8 3 5" xfId="6193"/>
    <cellStyle name="Comma 2 8 3 5 2" xfId="6194"/>
    <cellStyle name="Comma 2 8 3 6" xfId="6195"/>
    <cellStyle name="Comma 2 8 3 6 2" xfId="6196"/>
    <cellStyle name="Comma 2 8 3 7" xfId="6197"/>
    <cellStyle name="Comma 2 8 3 8" xfId="19168"/>
    <cellStyle name="Comma 2 8 4" xfId="6198"/>
    <cellStyle name="Comma 2 8 4 2" xfId="6199"/>
    <cellStyle name="Comma 2 8 4 2 2" xfId="6200"/>
    <cellStyle name="Comma 2 8 4 2 2 2" xfId="6201"/>
    <cellStyle name="Comma 2 8 4 2 3" xfId="6202"/>
    <cellStyle name="Comma 2 8 4 2 3 2" xfId="6203"/>
    <cellStyle name="Comma 2 8 4 2 4" xfId="6204"/>
    <cellStyle name="Comma 2 8 4 2 4 2" xfId="6205"/>
    <cellStyle name="Comma 2 8 4 2 5" xfId="6206"/>
    <cellStyle name="Comma 2 8 4 3" xfId="6207"/>
    <cellStyle name="Comma 2 8 4 3 2" xfId="6208"/>
    <cellStyle name="Comma 2 8 4 4" xfId="6209"/>
    <cellStyle name="Comma 2 8 4 4 2" xfId="6210"/>
    <cellStyle name="Comma 2 8 4 4 2 2" xfId="6211"/>
    <cellStyle name="Comma 2 8 4 4 3" xfId="6212"/>
    <cellStyle name="Comma 2 8 4 4 3 2" xfId="6213"/>
    <cellStyle name="Comma 2 8 4 4 4" xfId="6214"/>
    <cellStyle name="Comma 2 8 4 5" xfId="6215"/>
    <cellStyle name="Comma 2 8 4 5 2" xfId="6216"/>
    <cellStyle name="Comma 2 8 4 6" xfId="6217"/>
    <cellStyle name="Comma 2 8 4 6 2" xfId="6218"/>
    <cellStyle name="Comma 2 8 4 7" xfId="6219"/>
    <cellStyle name="Comma 2 8 5" xfId="6220"/>
    <cellStyle name="Comma 2 8 5 2" xfId="6221"/>
    <cellStyle name="Comma 2 8 5 2 2" xfId="6222"/>
    <cellStyle name="Comma 2 8 5 3" xfId="6223"/>
    <cellStyle name="Comma 2 8 5 3 2" xfId="6224"/>
    <cellStyle name="Comma 2 8 5 4" xfId="6225"/>
    <cellStyle name="Comma 2 8 5 4 2" xfId="6226"/>
    <cellStyle name="Comma 2 8 5 5" xfId="6227"/>
    <cellStyle name="Comma 2 8 6" xfId="6228"/>
    <cellStyle name="Comma 2 8 6 2" xfId="6229"/>
    <cellStyle name="Comma 2 8 7" xfId="6230"/>
    <cellStyle name="Comma 2 8 7 2" xfId="6231"/>
    <cellStyle name="Comma 2 8 7 2 2" xfId="6232"/>
    <cellStyle name="Comma 2 8 7 3" xfId="6233"/>
    <cellStyle name="Comma 2 8 7 3 2" xfId="6234"/>
    <cellStyle name="Comma 2 8 7 4" xfId="6235"/>
    <cellStyle name="Comma 2 8 8" xfId="6236"/>
    <cellStyle name="Comma 2 8 8 2" xfId="6237"/>
    <cellStyle name="Comma 2 8 9" xfId="6238"/>
    <cellStyle name="Comma 2 8 9 2" xfId="6239"/>
    <cellStyle name="Comma 2 9" xfId="6240"/>
    <cellStyle name="Comma 2 9 2" xfId="6241"/>
    <cellStyle name="Comma 2 9 2 2" xfId="6242"/>
    <cellStyle name="Comma 2 9 2 3" xfId="19170"/>
    <cellStyle name="Comma 2 9 3" xfId="6243"/>
    <cellStyle name="Comma 2 9 3 2" xfId="6244"/>
    <cellStyle name="Comma 2 9 3 3" xfId="19171"/>
    <cellStyle name="Comma 2 9 4" xfId="6245"/>
    <cellStyle name="Comma 2 9 4 2" xfId="6246"/>
    <cellStyle name="Comma 2 9 5" xfId="6247"/>
    <cellStyle name="Comma 2 9 6" xfId="19169"/>
    <cellStyle name="Comma 20" xfId="6248"/>
    <cellStyle name="Comma 20 10" xfId="23081"/>
    <cellStyle name="Comma 20 11" xfId="23082"/>
    <cellStyle name="Comma 20 2" xfId="6249"/>
    <cellStyle name="Comma 20 2 10" xfId="23083"/>
    <cellStyle name="Comma 20 2 2" xfId="6250"/>
    <cellStyle name="Comma 20 2 2 2" xfId="16802"/>
    <cellStyle name="Comma 20 2 2 2 2" xfId="16803"/>
    <cellStyle name="Comma 20 2 2 2 2 2" xfId="16804"/>
    <cellStyle name="Comma 20 2 2 2 2 2 2" xfId="23084"/>
    <cellStyle name="Comma 20 2 2 2 2 2 2 2" xfId="23085"/>
    <cellStyle name="Comma 20 2 2 2 2 2 2 2 2" xfId="23086"/>
    <cellStyle name="Comma 20 2 2 2 2 2 2 3" xfId="23087"/>
    <cellStyle name="Comma 20 2 2 2 2 2 3" xfId="23088"/>
    <cellStyle name="Comma 20 2 2 2 2 2 3 2" xfId="23089"/>
    <cellStyle name="Comma 20 2 2 2 2 2 4" xfId="23090"/>
    <cellStyle name="Comma 20 2 2 2 2 3" xfId="23091"/>
    <cellStyle name="Comma 20 2 2 2 2 3 2" xfId="23092"/>
    <cellStyle name="Comma 20 2 2 2 2 3 2 2" xfId="23093"/>
    <cellStyle name="Comma 20 2 2 2 2 3 3" xfId="23094"/>
    <cellStyle name="Comma 20 2 2 2 2 4" xfId="23095"/>
    <cellStyle name="Comma 20 2 2 2 2 4 2" xfId="23096"/>
    <cellStyle name="Comma 20 2 2 2 2 5" xfId="23097"/>
    <cellStyle name="Comma 20 2 2 2 3" xfId="16805"/>
    <cellStyle name="Comma 20 2 2 2 3 2" xfId="23098"/>
    <cellStyle name="Comma 20 2 2 2 3 2 2" xfId="23099"/>
    <cellStyle name="Comma 20 2 2 2 3 2 2 2" xfId="23100"/>
    <cellStyle name="Comma 20 2 2 2 3 2 3" xfId="23101"/>
    <cellStyle name="Comma 20 2 2 2 3 3" xfId="23102"/>
    <cellStyle name="Comma 20 2 2 2 3 3 2" xfId="23103"/>
    <cellStyle name="Comma 20 2 2 2 3 4" xfId="23104"/>
    <cellStyle name="Comma 20 2 2 2 4" xfId="23105"/>
    <cellStyle name="Comma 20 2 2 2 4 2" xfId="23106"/>
    <cellStyle name="Comma 20 2 2 2 4 2 2" xfId="23107"/>
    <cellStyle name="Comma 20 2 2 2 4 3" xfId="23108"/>
    <cellStyle name="Comma 20 2 2 2 5" xfId="23109"/>
    <cellStyle name="Comma 20 2 2 2 5 2" xfId="23110"/>
    <cellStyle name="Comma 20 2 2 2 6" xfId="23111"/>
    <cellStyle name="Comma 20 2 2 3" xfId="16806"/>
    <cellStyle name="Comma 20 2 2 3 2" xfId="16807"/>
    <cellStyle name="Comma 20 2 2 3 2 2" xfId="23112"/>
    <cellStyle name="Comma 20 2 2 3 2 2 2" xfId="23113"/>
    <cellStyle name="Comma 20 2 2 3 2 2 2 2" xfId="23114"/>
    <cellStyle name="Comma 20 2 2 3 2 2 3" xfId="23115"/>
    <cellStyle name="Comma 20 2 2 3 2 3" xfId="23116"/>
    <cellStyle name="Comma 20 2 2 3 2 3 2" xfId="23117"/>
    <cellStyle name="Comma 20 2 2 3 2 4" xfId="23118"/>
    <cellStyle name="Comma 20 2 2 3 3" xfId="23119"/>
    <cellStyle name="Comma 20 2 2 3 3 2" xfId="23120"/>
    <cellStyle name="Comma 20 2 2 3 3 2 2" xfId="23121"/>
    <cellStyle name="Comma 20 2 2 3 3 3" xfId="23122"/>
    <cellStyle name="Comma 20 2 2 3 4" xfId="23123"/>
    <cellStyle name="Comma 20 2 2 3 4 2" xfId="23124"/>
    <cellStyle name="Comma 20 2 2 3 5" xfId="23125"/>
    <cellStyle name="Comma 20 2 2 4" xfId="16808"/>
    <cellStyle name="Comma 20 2 2 4 2" xfId="23126"/>
    <cellStyle name="Comma 20 2 2 4 2 2" xfId="23127"/>
    <cellStyle name="Comma 20 2 2 4 2 2 2" xfId="23128"/>
    <cellStyle name="Comma 20 2 2 4 2 3" xfId="23129"/>
    <cellStyle name="Comma 20 2 2 4 3" xfId="23130"/>
    <cellStyle name="Comma 20 2 2 4 3 2" xfId="23131"/>
    <cellStyle name="Comma 20 2 2 4 4" xfId="23132"/>
    <cellStyle name="Comma 20 2 2 5" xfId="16809"/>
    <cellStyle name="Comma 20 2 2 5 2" xfId="23133"/>
    <cellStyle name="Comma 20 2 2 5 2 2" xfId="23134"/>
    <cellStyle name="Comma 20 2 2 5 3" xfId="23135"/>
    <cellStyle name="Comma 20 2 2 6" xfId="19174"/>
    <cellStyle name="Comma 20 2 2 6 2" xfId="23136"/>
    <cellStyle name="Comma 20 2 2 7" xfId="23137"/>
    <cellStyle name="Comma 20 2 3" xfId="16810"/>
    <cellStyle name="Comma 20 2 3 2" xfId="16811"/>
    <cellStyle name="Comma 20 2 3 2 2" xfId="16812"/>
    <cellStyle name="Comma 20 2 3 2 2 2" xfId="23138"/>
    <cellStyle name="Comma 20 2 3 2 2 2 2" xfId="23139"/>
    <cellStyle name="Comma 20 2 3 2 2 2 2 2" xfId="23140"/>
    <cellStyle name="Comma 20 2 3 2 2 2 3" xfId="23141"/>
    <cellStyle name="Comma 20 2 3 2 2 3" xfId="23142"/>
    <cellStyle name="Comma 20 2 3 2 2 3 2" xfId="23143"/>
    <cellStyle name="Comma 20 2 3 2 2 4" xfId="23144"/>
    <cellStyle name="Comma 20 2 3 2 3" xfId="23145"/>
    <cellStyle name="Comma 20 2 3 2 3 2" xfId="23146"/>
    <cellStyle name="Comma 20 2 3 2 3 2 2" xfId="23147"/>
    <cellStyle name="Comma 20 2 3 2 3 3" xfId="23148"/>
    <cellStyle name="Comma 20 2 3 2 4" xfId="23149"/>
    <cellStyle name="Comma 20 2 3 2 4 2" xfId="23150"/>
    <cellStyle name="Comma 20 2 3 2 5" xfId="23151"/>
    <cellStyle name="Comma 20 2 3 3" xfId="16813"/>
    <cellStyle name="Comma 20 2 3 3 2" xfId="23152"/>
    <cellStyle name="Comma 20 2 3 3 2 2" xfId="23153"/>
    <cellStyle name="Comma 20 2 3 3 2 2 2" xfId="23154"/>
    <cellStyle name="Comma 20 2 3 3 2 3" xfId="23155"/>
    <cellStyle name="Comma 20 2 3 3 3" xfId="23156"/>
    <cellStyle name="Comma 20 2 3 3 3 2" xfId="23157"/>
    <cellStyle name="Comma 20 2 3 3 4" xfId="23158"/>
    <cellStyle name="Comma 20 2 3 4" xfId="23159"/>
    <cellStyle name="Comma 20 2 3 4 2" xfId="23160"/>
    <cellStyle name="Comma 20 2 3 4 2 2" xfId="23161"/>
    <cellStyle name="Comma 20 2 3 4 3" xfId="23162"/>
    <cellStyle name="Comma 20 2 3 5" xfId="23163"/>
    <cellStyle name="Comma 20 2 3 5 2" xfId="23164"/>
    <cellStyle name="Comma 20 2 3 6" xfId="23165"/>
    <cellStyle name="Comma 20 2 4" xfId="16814"/>
    <cellStyle name="Comma 20 2 4 2" xfId="16815"/>
    <cellStyle name="Comma 20 2 4 2 2" xfId="23166"/>
    <cellStyle name="Comma 20 2 4 2 2 2" xfId="23167"/>
    <cellStyle name="Comma 20 2 4 2 2 2 2" xfId="23168"/>
    <cellStyle name="Comma 20 2 4 2 2 3" xfId="23169"/>
    <cellStyle name="Comma 20 2 4 2 3" xfId="23170"/>
    <cellStyle name="Comma 20 2 4 2 3 2" xfId="23171"/>
    <cellStyle name="Comma 20 2 4 2 4" xfId="23172"/>
    <cellStyle name="Comma 20 2 4 3" xfId="23173"/>
    <cellStyle name="Comma 20 2 4 3 2" xfId="23174"/>
    <cellStyle name="Comma 20 2 4 3 2 2" xfId="23175"/>
    <cellStyle name="Comma 20 2 4 3 3" xfId="23176"/>
    <cellStyle name="Comma 20 2 4 4" xfId="23177"/>
    <cellStyle name="Comma 20 2 4 4 2" xfId="23178"/>
    <cellStyle name="Comma 20 2 4 5" xfId="23179"/>
    <cellStyle name="Comma 20 2 5" xfId="16816"/>
    <cellStyle name="Comma 20 2 5 2" xfId="23180"/>
    <cellStyle name="Comma 20 2 5 2 2" xfId="23181"/>
    <cellStyle name="Comma 20 2 5 2 2 2" xfId="23182"/>
    <cellStyle name="Comma 20 2 5 2 3" xfId="23183"/>
    <cellStyle name="Comma 20 2 5 3" xfId="23184"/>
    <cellStyle name="Comma 20 2 5 3 2" xfId="23185"/>
    <cellStyle name="Comma 20 2 5 4" xfId="23186"/>
    <cellStyle name="Comma 20 2 6" xfId="16817"/>
    <cellStyle name="Comma 20 2 7" xfId="19173"/>
    <cellStyle name="Comma 20 2 7 2" xfId="23187"/>
    <cellStyle name="Comma 20 2 7 2 2" xfId="23188"/>
    <cellStyle name="Comma 20 2 7 3" xfId="23189"/>
    <cellStyle name="Comma 20 2 8" xfId="23190"/>
    <cellStyle name="Comma 20 2 8 2" xfId="23191"/>
    <cellStyle name="Comma 20 2 9" xfId="23192"/>
    <cellStyle name="Comma 20 3" xfId="6251"/>
    <cellStyle name="Comma 20 3 2" xfId="16818"/>
    <cellStyle name="Comma 20 3 2 2" xfId="16819"/>
    <cellStyle name="Comma 20 3 2 2 2" xfId="16820"/>
    <cellStyle name="Comma 20 3 2 2 2 2" xfId="23193"/>
    <cellStyle name="Comma 20 3 2 2 2 2 2" xfId="23194"/>
    <cellStyle name="Comma 20 3 2 2 2 2 2 2" xfId="23195"/>
    <cellStyle name="Comma 20 3 2 2 2 2 3" xfId="23196"/>
    <cellStyle name="Comma 20 3 2 2 2 3" xfId="23197"/>
    <cellStyle name="Comma 20 3 2 2 2 3 2" xfId="23198"/>
    <cellStyle name="Comma 20 3 2 2 2 4" xfId="23199"/>
    <cellStyle name="Comma 20 3 2 2 3" xfId="23200"/>
    <cellStyle name="Comma 20 3 2 2 3 2" xfId="23201"/>
    <cellStyle name="Comma 20 3 2 2 3 2 2" xfId="23202"/>
    <cellStyle name="Comma 20 3 2 2 3 3" xfId="23203"/>
    <cellStyle name="Comma 20 3 2 2 4" xfId="23204"/>
    <cellStyle name="Comma 20 3 2 2 4 2" xfId="23205"/>
    <cellStyle name="Comma 20 3 2 2 5" xfId="23206"/>
    <cellStyle name="Comma 20 3 2 3" xfId="16821"/>
    <cellStyle name="Comma 20 3 2 3 2" xfId="23207"/>
    <cellStyle name="Comma 20 3 2 3 2 2" xfId="23208"/>
    <cellStyle name="Comma 20 3 2 3 2 2 2" xfId="23209"/>
    <cellStyle name="Comma 20 3 2 3 2 3" xfId="23210"/>
    <cellStyle name="Comma 20 3 2 3 3" xfId="23211"/>
    <cellStyle name="Comma 20 3 2 3 3 2" xfId="23212"/>
    <cellStyle name="Comma 20 3 2 3 4" xfId="23213"/>
    <cellStyle name="Comma 20 3 2 4" xfId="23214"/>
    <cellStyle name="Comma 20 3 2 4 2" xfId="23215"/>
    <cellStyle name="Comma 20 3 2 4 2 2" xfId="23216"/>
    <cellStyle name="Comma 20 3 2 4 3" xfId="23217"/>
    <cellStyle name="Comma 20 3 2 5" xfId="23218"/>
    <cellStyle name="Comma 20 3 2 5 2" xfId="23219"/>
    <cellStyle name="Comma 20 3 2 6" xfId="23220"/>
    <cellStyle name="Comma 20 3 3" xfId="16822"/>
    <cellStyle name="Comma 20 3 3 2" xfId="16823"/>
    <cellStyle name="Comma 20 3 3 2 2" xfId="23221"/>
    <cellStyle name="Comma 20 3 3 2 2 2" xfId="23222"/>
    <cellStyle name="Comma 20 3 3 2 2 2 2" xfId="23223"/>
    <cellStyle name="Comma 20 3 3 2 2 3" xfId="23224"/>
    <cellStyle name="Comma 20 3 3 2 3" xfId="23225"/>
    <cellStyle name="Comma 20 3 3 2 3 2" xfId="23226"/>
    <cellStyle name="Comma 20 3 3 2 4" xfId="23227"/>
    <cellStyle name="Comma 20 3 3 3" xfId="23228"/>
    <cellStyle name="Comma 20 3 3 3 2" xfId="23229"/>
    <cellStyle name="Comma 20 3 3 3 2 2" xfId="23230"/>
    <cellStyle name="Comma 20 3 3 3 3" xfId="23231"/>
    <cellStyle name="Comma 20 3 3 4" xfId="23232"/>
    <cellStyle name="Comma 20 3 3 4 2" xfId="23233"/>
    <cellStyle name="Comma 20 3 3 5" xfId="23234"/>
    <cellStyle name="Comma 20 3 4" xfId="16824"/>
    <cellStyle name="Comma 20 3 4 2" xfId="23235"/>
    <cellStyle name="Comma 20 3 4 2 2" xfId="23236"/>
    <cellStyle name="Comma 20 3 4 2 2 2" xfId="23237"/>
    <cellStyle name="Comma 20 3 4 2 3" xfId="23238"/>
    <cellStyle name="Comma 20 3 4 3" xfId="23239"/>
    <cellStyle name="Comma 20 3 4 3 2" xfId="23240"/>
    <cellStyle name="Comma 20 3 4 4" xfId="23241"/>
    <cellStyle name="Comma 20 3 5" xfId="16825"/>
    <cellStyle name="Comma 20 3 5 2" xfId="23242"/>
    <cellStyle name="Comma 20 3 5 2 2" xfId="23243"/>
    <cellStyle name="Comma 20 3 5 3" xfId="23244"/>
    <cellStyle name="Comma 20 3 6" xfId="19175"/>
    <cellStyle name="Comma 20 3 6 2" xfId="23245"/>
    <cellStyle name="Comma 20 3 7" xfId="23246"/>
    <cellStyle name="Comma 20 4" xfId="16826"/>
    <cellStyle name="Comma 20 4 2" xfId="16827"/>
    <cellStyle name="Comma 20 4 2 2" xfId="16828"/>
    <cellStyle name="Comma 20 4 2 2 2" xfId="23247"/>
    <cellStyle name="Comma 20 4 2 2 2 2" xfId="23248"/>
    <cellStyle name="Comma 20 4 2 2 2 2 2" xfId="23249"/>
    <cellStyle name="Comma 20 4 2 2 2 3" xfId="23250"/>
    <cellStyle name="Comma 20 4 2 2 3" xfId="23251"/>
    <cellStyle name="Comma 20 4 2 2 3 2" xfId="23252"/>
    <cellStyle name="Comma 20 4 2 2 4" xfId="23253"/>
    <cellStyle name="Comma 20 4 2 3" xfId="23254"/>
    <cellStyle name="Comma 20 4 2 3 2" xfId="23255"/>
    <cellStyle name="Comma 20 4 2 3 2 2" xfId="23256"/>
    <cellStyle name="Comma 20 4 2 3 3" xfId="23257"/>
    <cellStyle name="Comma 20 4 2 4" xfId="23258"/>
    <cellStyle name="Comma 20 4 2 4 2" xfId="23259"/>
    <cellStyle name="Comma 20 4 2 5" xfId="23260"/>
    <cellStyle name="Comma 20 4 3" xfId="16829"/>
    <cellStyle name="Comma 20 4 3 2" xfId="23261"/>
    <cellStyle name="Comma 20 4 3 2 2" xfId="23262"/>
    <cellStyle name="Comma 20 4 3 2 2 2" xfId="23263"/>
    <cellStyle name="Comma 20 4 3 2 3" xfId="23264"/>
    <cellStyle name="Comma 20 4 3 3" xfId="23265"/>
    <cellStyle name="Comma 20 4 3 3 2" xfId="23266"/>
    <cellStyle name="Comma 20 4 3 4" xfId="23267"/>
    <cellStyle name="Comma 20 4 4" xfId="23268"/>
    <cellStyle name="Comma 20 4 4 2" xfId="23269"/>
    <cellStyle name="Comma 20 4 4 2 2" xfId="23270"/>
    <cellStyle name="Comma 20 4 4 3" xfId="23271"/>
    <cellStyle name="Comma 20 4 5" xfId="23272"/>
    <cellStyle name="Comma 20 4 5 2" xfId="23273"/>
    <cellStyle name="Comma 20 4 6" xfId="23274"/>
    <cellStyle name="Comma 20 5" xfId="16830"/>
    <cellStyle name="Comma 20 5 2" xfId="16831"/>
    <cellStyle name="Comma 20 5 2 2" xfId="23275"/>
    <cellStyle name="Comma 20 5 2 2 2" xfId="23276"/>
    <cellStyle name="Comma 20 5 2 2 2 2" xfId="23277"/>
    <cellStyle name="Comma 20 5 2 2 3" xfId="23278"/>
    <cellStyle name="Comma 20 5 2 3" xfId="23279"/>
    <cellStyle name="Comma 20 5 2 3 2" xfId="23280"/>
    <cellStyle name="Comma 20 5 2 4" xfId="23281"/>
    <cellStyle name="Comma 20 5 3" xfId="23282"/>
    <cellStyle name="Comma 20 5 3 2" xfId="23283"/>
    <cellStyle name="Comma 20 5 3 2 2" xfId="23284"/>
    <cellStyle name="Comma 20 5 3 3" xfId="23285"/>
    <cellStyle name="Comma 20 5 4" xfId="23286"/>
    <cellStyle name="Comma 20 5 4 2" xfId="23287"/>
    <cellStyle name="Comma 20 5 5" xfId="23288"/>
    <cellStyle name="Comma 20 6" xfId="16832"/>
    <cellStyle name="Comma 20 7" xfId="16833"/>
    <cellStyle name="Comma 20 7 2" xfId="23289"/>
    <cellStyle name="Comma 20 7 2 2" xfId="23290"/>
    <cellStyle name="Comma 20 7 2 2 2" xfId="23291"/>
    <cellStyle name="Comma 20 7 2 3" xfId="23292"/>
    <cellStyle name="Comma 20 7 3" xfId="23293"/>
    <cellStyle name="Comma 20 7 3 2" xfId="23294"/>
    <cellStyle name="Comma 20 7 4" xfId="23295"/>
    <cellStyle name="Comma 20 8" xfId="16834"/>
    <cellStyle name="Comma 20 8 2" xfId="23296"/>
    <cellStyle name="Comma 20 8 2 2" xfId="23297"/>
    <cellStyle name="Comma 20 8 3" xfId="23298"/>
    <cellStyle name="Comma 20 9" xfId="19172"/>
    <cellStyle name="Comma 20 9 2" xfId="23299"/>
    <cellStyle name="Comma 21" xfId="6252"/>
    <cellStyle name="Comma 21 10" xfId="23300"/>
    <cellStyle name="Comma 21 11" xfId="23301"/>
    <cellStyle name="Comma 21 2" xfId="6253"/>
    <cellStyle name="Comma 21 2 10" xfId="23302"/>
    <cellStyle name="Comma 21 2 2" xfId="16835"/>
    <cellStyle name="Comma 21 2 2 2" xfId="16836"/>
    <cellStyle name="Comma 21 2 2 2 2" xfId="16837"/>
    <cellStyle name="Comma 21 2 2 2 2 2" xfId="16838"/>
    <cellStyle name="Comma 21 2 2 2 2 2 2" xfId="23303"/>
    <cellStyle name="Comma 21 2 2 2 2 2 2 2" xfId="23304"/>
    <cellStyle name="Comma 21 2 2 2 2 2 2 2 2" xfId="23305"/>
    <cellStyle name="Comma 21 2 2 2 2 2 2 3" xfId="23306"/>
    <cellStyle name="Comma 21 2 2 2 2 2 3" xfId="23307"/>
    <cellStyle name="Comma 21 2 2 2 2 2 3 2" xfId="23308"/>
    <cellStyle name="Comma 21 2 2 2 2 2 4" xfId="23309"/>
    <cellStyle name="Comma 21 2 2 2 2 3" xfId="23310"/>
    <cellStyle name="Comma 21 2 2 2 2 3 2" xfId="23311"/>
    <cellStyle name="Comma 21 2 2 2 2 3 2 2" xfId="23312"/>
    <cellStyle name="Comma 21 2 2 2 2 3 3" xfId="23313"/>
    <cellStyle name="Comma 21 2 2 2 2 4" xfId="23314"/>
    <cellStyle name="Comma 21 2 2 2 2 4 2" xfId="23315"/>
    <cellStyle name="Comma 21 2 2 2 2 5" xfId="23316"/>
    <cellStyle name="Comma 21 2 2 2 3" xfId="16839"/>
    <cellStyle name="Comma 21 2 2 2 3 2" xfId="23317"/>
    <cellStyle name="Comma 21 2 2 2 3 2 2" xfId="23318"/>
    <cellStyle name="Comma 21 2 2 2 3 2 2 2" xfId="23319"/>
    <cellStyle name="Comma 21 2 2 2 3 2 3" xfId="23320"/>
    <cellStyle name="Comma 21 2 2 2 3 3" xfId="23321"/>
    <cellStyle name="Comma 21 2 2 2 3 3 2" xfId="23322"/>
    <cellStyle name="Comma 21 2 2 2 3 4" xfId="23323"/>
    <cellStyle name="Comma 21 2 2 2 4" xfId="23324"/>
    <cellStyle name="Comma 21 2 2 2 4 2" xfId="23325"/>
    <cellStyle name="Comma 21 2 2 2 4 2 2" xfId="23326"/>
    <cellStyle name="Comma 21 2 2 2 4 3" xfId="23327"/>
    <cellStyle name="Comma 21 2 2 2 5" xfId="23328"/>
    <cellStyle name="Comma 21 2 2 2 5 2" xfId="23329"/>
    <cellStyle name="Comma 21 2 2 2 6" xfId="23330"/>
    <cellStyle name="Comma 21 2 2 3" xfId="16840"/>
    <cellStyle name="Comma 21 2 2 3 2" xfId="16841"/>
    <cellStyle name="Comma 21 2 2 3 2 2" xfId="23331"/>
    <cellStyle name="Comma 21 2 2 3 2 2 2" xfId="23332"/>
    <cellStyle name="Comma 21 2 2 3 2 2 2 2" xfId="23333"/>
    <cellStyle name="Comma 21 2 2 3 2 2 3" xfId="23334"/>
    <cellStyle name="Comma 21 2 2 3 2 3" xfId="23335"/>
    <cellStyle name="Comma 21 2 2 3 2 3 2" xfId="23336"/>
    <cellStyle name="Comma 21 2 2 3 2 4" xfId="23337"/>
    <cellStyle name="Comma 21 2 2 3 3" xfId="23338"/>
    <cellStyle name="Comma 21 2 2 3 3 2" xfId="23339"/>
    <cellStyle name="Comma 21 2 2 3 3 2 2" xfId="23340"/>
    <cellStyle name="Comma 21 2 2 3 3 3" xfId="23341"/>
    <cellStyle name="Comma 21 2 2 3 4" xfId="23342"/>
    <cellStyle name="Comma 21 2 2 3 4 2" xfId="23343"/>
    <cellStyle name="Comma 21 2 2 3 5" xfId="23344"/>
    <cellStyle name="Comma 21 2 2 4" xfId="16842"/>
    <cellStyle name="Comma 21 2 2 4 2" xfId="23345"/>
    <cellStyle name="Comma 21 2 2 4 2 2" xfId="23346"/>
    <cellStyle name="Comma 21 2 2 4 2 2 2" xfId="23347"/>
    <cellStyle name="Comma 21 2 2 4 2 3" xfId="23348"/>
    <cellStyle name="Comma 21 2 2 4 3" xfId="23349"/>
    <cellStyle name="Comma 21 2 2 4 3 2" xfId="23350"/>
    <cellStyle name="Comma 21 2 2 4 4" xfId="23351"/>
    <cellStyle name="Comma 21 2 2 5" xfId="16843"/>
    <cellStyle name="Comma 21 2 2 5 2" xfId="23352"/>
    <cellStyle name="Comma 21 2 2 5 2 2" xfId="23353"/>
    <cellStyle name="Comma 21 2 2 5 3" xfId="23354"/>
    <cellStyle name="Comma 21 2 2 6" xfId="19178"/>
    <cellStyle name="Comma 21 2 2 6 2" xfId="23355"/>
    <cellStyle name="Comma 21 2 2 7" xfId="23356"/>
    <cellStyle name="Comma 21 2 3" xfId="16844"/>
    <cellStyle name="Comma 21 2 3 2" xfId="16845"/>
    <cellStyle name="Comma 21 2 3 2 2" xfId="16846"/>
    <cellStyle name="Comma 21 2 3 2 2 2" xfId="23357"/>
    <cellStyle name="Comma 21 2 3 2 2 2 2" xfId="23358"/>
    <cellStyle name="Comma 21 2 3 2 2 2 2 2" xfId="23359"/>
    <cellStyle name="Comma 21 2 3 2 2 2 3" xfId="23360"/>
    <cellStyle name="Comma 21 2 3 2 2 3" xfId="23361"/>
    <cellStyle name="Comma 21 2 3 2 2 3 2" xfId="23362"/>
    <cellStyle name="Comma 21 2 3 2 2 4" xfId="23363"/>
    <cellStyle name="Comma 21 2 3 2 3" xfId="23364"/>
    <cellStyle name="Comma 21 2 3 2 3 2" xfId="23365"/>
    <cellStyle name="Comma 21 2 3 2 3 2 2" xfId="23366"/>
    <cellStyle name="Comma 21 2 3 2 3 3" xfId="23367"/>
    <cellStyle name="Comma 21 2 3 2 4" xfId="23368"/>
    <cellStyle name="Comma 21 2 3 2 4 2" xfId="23369"/>
    <cellStyle name="Comma 21 2 3 2 5" xfId="23370"/>
    <cellStyle name="Comma 21 2 3 3" xfId="16847"/>
    <cellStyle name="Comma 21 2 3 3 2" xfId="23371"/>
    <cellStyle name="Comma 21 2 3 3 2 2" xfId="23372"/>
    <cellStyle name="Comma 21 2 3 3 2 2 2" xfId="23373"/>
    <cellStyle name="Comma 21 2 3 3 2 3" xfId="23374"/>
    <cellStyle name="Comma 21 2 3 3 3" xfId="23375"/>
    <cellStyle name="Comma 21 2 3 3 3 2" xfId="23376"/>
    <cellStyle name="Comma 21 2 3 3 4" xfId="23377"/>
    <cellStyle name="Comma 21 2 3 4" xfId="23378"/>
    <cellStyle name="Comma 21 2 3 4 2" xfId="23379"/>
    <cellStyle name="Comma 21 2 3 4 2 2" xfId="23380"/>
    <cellStyle name="Comma 21 2 3 4 3" xfId="23381"/>
    <cellStyle name="Comma 21 2 3 5" xfId="23382"/>
    <cellStyle name="Comma 21 2 3 5 2" xfId="23383"/>
    <cellStyle name="Comma 21 2 3 6" xfId="23384"/>
    <cellStyle name="Comma 21 2 4" xfId="16848"/>
    <cellStyle name="Comma 21 2 4 2" xfId="16849"/>
    <cellStyle name="Comma 21 2 4 2 2" xfId="23385"/>
    <cellStyle name="Comma 21 2 4 2 2 2" xfId="23386"/>
    <cellStyle name="Comma 21 2 4 2 2 2 2" xfId="23387"/>
    <cellStyle name="Comma 21 2 4 2 2 3" xfId="23388"/>
    <cellStyle name="Comma 21 2 4 2 3" xfId="23389"/>
    <cellStyle name="Comma 21 2 4 2 3 2" xfId="23390"/>
    <cellStyle name="Comma 21 2 4 2 4" xfId="23391"/>
    <cellStyle name="Comma 21 2 4 3" xfId="23392"/>
    <cellStyle name="Comma 21 2 4 3 2" xfId="23393"/>
    <cellStyle name="Comma 21 2 4 3 2 2" xfId="23394"/>
    <cellStyle name="Comma 21 2 4 3 3" xfId="23395"/>
    <cellStyle name="Comma 21 2 4 4" xfId="23396"/>
    <cellStyle name="Comma 21 2 4 4 2" xfId="23397"/>
    <cellStyle name="Comma 21 2 4 5" xfId="23398"/>
    <cellStyle name="Comma 21 2 5" xfId="16850"/>
    <cellStyle name="Comma 21 2 5 2" xfId="23399"/>
    <cellStyle name="Comma 21 2 5 2 2" xfId="23400"/>
    <cellStyle name="Comma 21 2 5 2 2 2" xfId="23401"/>
    <cellStyle name="Comma 21 2 5 2 3" xfId="23402"/>
    <cellStyle name="Comma 21 2 5 3" xfId="23403"/>
    <cellStyle name="Comma 21 2 5 3 2" xfId="23404"/>
    <cellStyle name="Comma 21 2 5 4" xfId="23405"/>
    <cellStyle name="Comma 21 2 6" xfId="16851"/>
    <cellStyle name="Comma 21 2 7" xfId="19177"/>
    <cellStyle name="Comma 21 2 7 2" xfId="23406"/>
    <cellStyle name="Comma 21 2 7 2 2" xfId="23407"/>
    <cellStyle name="Comma 21 2 7 3" xfId="23408"/>
    <cellStyle name="Comma 21 2 8" xfId="23409"/>
    <cellStyle name="Comma 21 2 8 2" xfId="23410"/>
    <cellStyle name="Comma 21 2 9" xfId="23411"/>
    <cellStyle name="Comma 21 3" xfId="16852"/>
    <cellStyle name="Comma 21 3 2" xfId="16853"/>
    <cellStyle name="Comma 21 3 2 2" xfId="16854"/>
    <cellStyle name="Comma 21 3 2 2 2" xfId="16855"/>
    <cellStyle name="Comma 21 3 2 2 2 2" xfId="23412"/>
    <cellStyle name="Comma 21 3 2 2 2 2 2" xfId="23413"/>
    <cellStyle name="Comma 21 3 2 2 2 2 2 2" xfId="23414"/>
    <cellStyle name="Comma 21 3 2 2 2 2 3" xfId="23415"/>
    <cellStyle name="Comma 21 3 2 2 2 3" xfId="23416"/>
    <cellStyle name="Comma 21 3 2 2 2 3 2" xfId="23417"/>
    <cellStyle name="Comma 21 3 2 2 2 4" xfId="23418"/>
    <cellStyle name="Comma 21 3 2 2 3" xfId="23419"/>
    <cellStyle name="Comma 21 3 2 2 3 2" xfId="23420"/>
    <cellStyle name="Comma 21 3 2 2 3 2 2" xfId="23421"/>
    <cellStyle name="Comma 21 3 2 2 3 3" xfId="23422"/>
    <cellStyle name="Comma 21 3 2 2 4" xfId="23423"/>
    <cellStyle name="Comma 21 3 2 2 4 2" xfId="23424"/>
    <cellStyle name="Comma 21 3 2 2 5" xfId="23425"/>
    <cellStyle name="Comma 21 3 2 3" xfId="16856"/>
    <cellStyle name="Comma 21 3 2 3 2" xfId="23426"/>
    <cellStyle name="Comma 21 3 2 3 2 2" xfId="23427"/>
    <cellStyle name="Comma 21 3 2 3 2 2 2" xfId="23428"/>
    <cellStyle name="Comma 21 3 2 3 2 3" xfId="23429"/>
    <cellStyle name="Comma 21 3 2 3 3" xfId="23430"/>
    <cellStyle name="Comma 21 3 2 3 3 2" xfId="23431"/>
    <cellStyle name="Comma 21 3 2 3 4" xfId="23432"/>
    <cellStyle name="Comma 21 3 2 4" xfId="23433"/>
    <cellStyle name="Comma 21 3 2 4 2" xfId="23434"/>
    <cellStyle name="Comma 21 3 2 4 2 2" xfId="23435"/>
    <cellStyle name="Comma 21 3 2 4 3" xfId="23436"/>
    <cellStyle name="Comma 21 3 2 5" xfId="23437"/>
    <cellStyle name="Comma 21 3 2 5 2" xfId="23438"/>
    <cellStyle name="Comma 21 3 2 6" xfId="23439"/>
    <cellStyle name="Comma 21 3 3" xfId="16857"/>
    <cellStyle name="Comma 21 3 3 2" xfId="16858"/>
    <cellStyle name="Comma 21 3 3 2 2" xfId="23440"/>
    <cellStyle name="Comma 21 3 3 2 2 2" xfId="23441"/>
    <cellStyle name="Comma 21 3 3 2 2 2 2" xfId="23442"/>
    <cellStyle name="Comma 21 3 3 2 2 3" xfId="23443"/>
    <cellStyle name="Comma 21 3 3 2 3" xfId="23444"/>
    <cellStyle name="Comma 21 3 3 2 3 2" xfId="23445"/>
    <cellStyle name="Comma 21 3 3 2 4" xfId="23446"/>
    <cellStyle name="Comma 21 3 3 3" xfId="23447"/>
    <cellStyle name="Comma 21 3 3 3 2" xfId="23448"/>
    <cellStyle name="Comma 21 3 3 3 2 2" xfId="23449"/>
    <cellStyle name="Comma 21 3 3 3 3" xfId="23450"/>
    <cellStyle name="Comma 21 3 3 4" xfId="23451"/>
    <cellStyle name="Comma 21 3 3 4 2" xfId="23452"/>
    <cellStyle name="Comma 21 3 3 5" xfId="23453"/>
    <cellStyle name="Comma 21 3 4" xfId="16859"/>
    <cellStyle name="Comma 21 3 4 2" xfId="23454"/>
    <cellStyle name="Comma 21 3 4 2 2" xfId="23455"/>
    <cellStyle name="Comma 21 3 4 2 2 2" xfId="23456"/>
    <cellStyle name="Comma 21 3 4 2 3" xfId="23457"/>
    <cellStyle name="Comma 21 3 4 3" xfId="23458"/>
    <cellStyle name="Comma 21 3 4 3 2" xfId="23459"/>
    <cellStyle name="Comma 21 3 4 4" xfId="23460"/>
    <cellStyle name="Comma 21 3 5" xfId="16860"/>
    <cellStyle name="Comma 21 3 5 2" xfId="23461"/>
    <cellStyle name="Comma 21 3 5 2 2" xfId="23462"/>
    <cellStyle name="Comma 21 3 5 3" xfId="23463"/>
    <cellStyle name="Comma 21 3 6" xfId="19179"/>
    <cellStyle name="Comma 21 3 6 2" xfId="23464"/>
    <cellStyle name="Comma 21 3 7" xfId="23465"/>
    <cellStyle name="Comma 21 4" xfId="16861"/>
    <cellStyle name="Comma 21 4 2" xfId="16862"/>
    <cellStyle name="Comma 21 4 2 2" xfId="16863"/>
    <cellStyle name="Comma 21 4 2 2 2" xfId="23466"/>
    <cellStyle name="Comma 21 4 2 2 2 2" xfId="23467"/>
    <cellStyle name="Comma 21 4 2 2 2 2 2" xfId="23468"/>
    <cellStyle name="Comma 21 4 2 2 2 3" xfId="23469"/>
    <cellStyle name="Comma 21 4 2 2 3" xfId="23470"/>
    <cellStyle name="Comma 21 4 2 2 3 2" xfId="23471"/>
    <cellStyle name="Comma 21 4 2 2 4" xfId="23472"/>
    <cellStyle name="Comma 21 4 2 3" xfId="23473"/>
    <cellStyle name="Comma 21 4 2 3 2" xfId="23474"/>
    <cellStyle name="Comma 21 4 2 3 2 2" xfId="23475"/>
    <cellStyle name="Comma 21 4 2 3 3" xfId="23476"/>
    <cellStyle name="Comma 21 4 2 4" xfId="23477"/>
    <cellStyle name="Comma 21 4 2 4 2" xfId="23478"/>
    <cellStyle name="Comma 21 4 2 5" xfId="23479"/>
    <cellStyle name="Comma 21 4 3" xfId="16864"/>
    <cellStyle name="Comma 21 4 3 2" xfId="23480"/>
    <cellStyle name="Comma 21 4 3 2 2" xfId="23481"/>
    <cellStyle name="Comma 21 4 3 2 2 2" xfId="23482"/>
    <cellStyle name="Comma 21 4 3 2 3" xfId="23483"/>
    <cellStyle name="Comma 21 4 3 3" xfId="23484"/>
    <cellStyle name="Comma 21 4 3 3 2" xfId="23485"/>
    <cellStyle name="Comma 21 4 3 4" xfId="23486"/>
    <cellStyle name="Comma 21 4 4" xfId="23487"/>
    <cellStyle name="Comma 21 4 4 2" xfId="23488"/>
    <cellStyle name="Comma 21 4 4 2 2" xfId="23489"/>
    <cellStyle name="Comma 21 4 4 3" xfId="23490"/>
    <cellStyle name="Comma 21 4 5" xfId="23491"/>
    <cellStyle name="Comma 21 4 5 2" xfId="23492"/>
    <cellStyle name="Comma 21 4 6" xfId="23493"/>
    <cellStyle name="Comma 21 5" xfId="16865"/>
    <cellStyle name="Comma 21 5 2" xfId="16866"/>
    <cellStyle name="Comma 21 5 2 2" xfId="23494"/>
    <cellStyle name="Comma 21 5 2 2 2" xfId="23495"/>
    <cellStyle name="Comma 21 5 2 2 2 2" xfId="23496"/>
    <cellStyle name="Comma 21 5 2 2 3" xfId="23497"/>
    <cellStyle name="Comma 21 5 2 3" xfId="23498"/>
    <cellStyle name="Comma 21 5 2 3 2" xfId="23499"/>
    <cellStyle name="Comma 21 5 2 4" xfId="23500"/>
    <cellStyle name="Comma 21 5 3" xfId="23501"/>
    <cellStyle name="Comma 21 5 3 2" xfId="23502"/>
    <cellStyle name="Comma 21 5 3 2 2" xfId="23503"/>
    <cellStyle name="Comma 21 5 3 3" xfId="23504"/>
    <cellStyle name="Comma 21 5 4" xfId="23505"/>
    <cellStyle name="Comma 21 5 4 2" xfId="23506"/>
    <cellStyle name="Comma 21 5 5" xfId="23507"/>
    <cellStyle name="Comma 21 6" xfId="16867"/>
    <cellStyle name="Comma 21 7" xfId="16868"/>
    <cellStyle name="Comma 21 7 2" xfId="23508"/>
    <cellStyle name="Comma 21 7 2 2" xfId="23509"/>
    <cellStyle name="Comma 21 7 2 2 2" xfId="23510"/>
    <cellStyle name="Comma 21 7 2 3" xfId="23511"/>
    <cellStyle name="Comma 21 7 3" xfId="23512"/>
    <cellStyle name="Comma 21 7 3 2" xfId="23513"/>
    <cellStyle name="Comma 21 7 4" xfId="23514"/>
    <cellStyle name="Comma 21 8" xfId="16869"/>
    <cellStyle name="Comma 21 8 2" xfId="23515"/>
    <cellStyle name="Comma 21 8 2 2" xfId="23516"/>
    <cellStyle name="Comma 21 8 3" xfId="23517"/>
    <cellStyle name="Comma 21 9" xfId="19176"/>
    <cellStyle name="Comma 21 9 2" xfId="23518"/>
    <cellStyle name="Comma 22" xfId="6254"/>
    <cellStyle name="Comma 22 10" xfId="23519"/>
    <cellStyle name="Comma 22 2" xfId="6255"/>
    <cellStyle name="Comma 22 2 10" xfId="23520"/>
    <cellStyle name="Comma 22 2 2" xfId="16870"/>
    <cellStyle name="Comma 22 2 2 2" xfId="16871"/>
    <cellStyle name="Comma 22 2 2 2 2" xfId="16872"/>
    <cellStyle name="Comma 22 2 2 2 2 2" xfId="16873"/>
    <cellStyle name="Comma 22 2 2 2 2 2 2" xfId="16874"/>
    <cellStyle name="Comma 22 2 2 2 2 2 2 2" xfId="23521"/>
    <cellStyle name="Comma 22 2 2 2 2 2 2 2 2" xfId="23522"/>
    <cellStyle name="Comma 22 2 2 2 2 2 2 2 2 2" xfId="23523"/>
    <cellStyle name="Comma 22 2 2 2 2 2 2 2 3" xfId="23524"/>
    <cellStyle name="Comma 22 2 2 2 2 2 2 3" xfId="23525"/>
    <cellStyle name="Comma 22 2 2 2 2 2 2 3 2" xfId="23526"/>
    <cellStyle name="Comma 22 2 2 2 2 2 2 4" xfId="23527"/>
    <cellStyle name="Comma 22 2 2 2 2 2 3" xfId="23528"/>
    <cellStyle name="Comma 22 2 2 2 2 2 3 2" xfId="23529"/>
    <cellStyle name="Comma 22 2 2 2 2 2 3 2 2" xfId="23530"/>
    <cellStyle name="Comma 22 2 2 2 2 2 3 3" xfId="23531"/>
    <cellStyle name="Comma 22 2 2 2 2 2 4" xfId="23532"/>
    <cellStyle name="Comma 22 2 2 2 2 2 4 2" xfId="23533"/>
    <cellStyle name="Comma 22 2 2 2 2 2 5" xfId="23534"/>
    <cellStyle name="Comma 22 2 2 2 2 3" xfId="16875"/>
    <cellStyle name="Comma 22 2 2 2 2 3 2" xfId="23535"/>
    <cellStyle name="Comma 22 2 2 2 2 3 2 2" xfId="23536"/>
    <cellStyle name="Comma 22 2 2 2 2 3 2 2 2" xfId="23537"/>
    <cellStyle name="Comma 22 2 2 2 2 3 2 3" xfId="23538"/>
    <cellStyle name="Comma 22 2 2 2 2 3 3" xfId="23539"/>
    <cellStyle name="Comma 22 2 2 2 2 3 3 2" xfId="23540"/>
    <cellStyle name="Comma 22 2 2 2 2 3 4" xfId="23541"/>
    <cellStyle name="Comma 22 2 2 2 2 4" xfId="23542"/>
    <cellStyle name="Comma 22 2 2 2 2 4 2" xfId="23543"/>
    <cellStyle name="Comma 22 2 2 2 2 4 2 2" xfId="23544"/>
    <cellStyle name="Comma 22 2 2 2 2 4 3" xfId="23545"/>
    <cellStyle name="Comma 22 2 2 2 2 5" xfId="23546"/>
    <cellStyle name="Comma 22 2 2 2 2 5 2" xfId="23547"/>
    <cellStyle name="Comma 22 2 2 2 2 6" xfId="23548"/>
    <cellStyle name="Comma 22 2 2 2 3" xfId="16876"/>
    <cellStyle name="Comma 22 2 2 2 3 2" xfId="16877"/>
    <cellStyle name="Comma 22 2 2 2 3 2 2" xfId="23549"/>
    <cellStyle name="Comma 22 2 2 2 3 2 2 2" xfId="23550"/>
    <cellStyle name="Comma 22 2 2 2 3 2 2 2 2" xfId="23551"/>
    <cellStyle name="Comma 22 2 2 2 3 2 2 3" xfId="23552"/>
    <cellStyle name="Comma 22 2 2 2 3 2 3" xfId="23553"/>
    <cellStyle name="Comma 22 2 2 2 3 2 3 2" xfId="23554"/>
    <cellStyle name="Comma 22 2 2 2 3 2 4" xfId="23555"/>
    <cellStyle name="Comma 22 2 2 2 3 3" xfId="23556"/>
    <cellStyle name="Comma 22 2 2 2 3 3 2" xfId="23557"/>
    <cellStyle name="Comma 22 2 2 2 3 3 2 2" xfId="23558"/>
    <cellStyle name="Comma 22 2 2 2 3 3 3" xfId="23559"/>
    <cellStyle name="Comma 22 2 2 2 3 4" xfId="23560"/>
    <cellStyle name="Comma 22 2 2 2 3 4 2" xfId="23561"/>
    <cellStyle name="Comma 22 2 2 2 3 5" xfId="23562"/>
    <cellStyle name="Comma 22 2 2 2 4" xfId="16878"/>
    <cellStyle name="Comma 22 2 2 2 4 2" xfId="23563"/>
    <cellStyle name="Comma 22 2 2 2 4 2 2" xfId="23564"/>
    <cellStyle name="Comma 22 2 2 2 4 2 2 2" xfId="23565"/>
    <cellStyle name="Comma 22 2 2 2 4 2 3" xfId="23566"/>
    <cellStyle name="Comma 22 2 2 2 4 3" xfId="23567"/>
    <cellStyle name="Comma 22 2 2 2 4 3 2" xfId="23568"/>
    <cellStyle name="Comma 22 2 2 2 4 4" xfId="23569"/>
    <cellStyle name="Comma 22 2 2 2 5" xfId="16879"/>
    <cellStyle name="Comma 22 2 2 2 5 2" xfId="23570"/>
    <cellStyle name="Comma 22 2 2 2 5 2 2" xfId="23571"/>
    <cellStyle name="Comma 22 2 2 2 5 3" xfId="23572"/>
    <cellStyle name="Comma 22 2 2 2 6" xfId="19183"/>
    <cellStyle name="Comma 22 2 2 2 6 2" xfId="23573"/>
    <cellStyle name="Comma 22 2 2 2 7" xfId="23574"/>
    <cellStyle name="Comma 22 2 2 3" xfId="16880"/>
    <cellStyle name="Comma 22 2 2 3 2" xfId="16881"/>
    <cellStyle name="Comma 22 2 2 3 2 2" xfId="16882"/>
    <cellStyle name="Comma 22 2 2 3 2 2 2" xfId="23575"/>
    <cellStyle name="Comma 22 2 2 3 2 2 2 2" xfId="23576"/>
    <cellStyle name="Comma 22 2 2 3 2 2 2 2 2" xfId="23577"/>
    <cellStyle name="Comma 22 2 2 3 2 2 2 3" xfId="23578"/>
    <cellStyle name="Comma 22 2 2 3 2 2 3" xfId="23579"/>
    <cellStyle name="Comma 22 2 2 3 2 2 3 2" xfId="23580"/>
    <cellStyle name="Comma 22 2 2 3 2 2 4" xfId="23581"/>
    <cellStyle name="Comma 22 2 2 3 2 3" xfId="23582"/>
    <cellStyle name="Comma 22 2 2 3 2 3 2" xfId="23583"/>
    <cellStyle name="Comma 22 2 2 3 2 3 2 2" xfId="23584"/>
    <cellStyle name="Comma 22 2 2 3 2 3 3" xfId="23585"/>
    <cellStyle name="Comma 22 2 2 3 2 4" xfId="23586"/>
    <cellStyle name="Comma 22 2 2 3 2 4 2" xfId="23587"/>
    <cellStyle name="Comma 22 2 2 3 2 5" xfId="23588"/>
    <cellStyle name="Comma 22 2 2 3 3" xfId="16883"/>
    <cellStyle name="Comma 22 2 2 3 3 2" xfId="23589"/>
    <cellStyle name="Comma 22 2 2 3 3 2 2" xfId="23590"/>
    <cellStyle name="Comma 22 2 2 3 3 2 2 2" xfId="23591"/>
    <cellStyle name="Comma 22 2 2 3 3 2 3" xfId="23592"/>
    <cellStyle name="Comma 22 2 2 3 3 3" xfId="23593"/>
    <cellStyle name="Comma 22 2 2 3 3 3 2" xfId="23594"/>
    <cellStyle name="Comma 22 2 2 3 3 4" xfId="23595"/>
    <cellStyle name="Comma 22 2 2 3 4" xfId="23596"/>
    <cellStyle name="Comma 22 2 2 3 4 2" xfId="23597"/>
    <cellStyle name="Comma 22 2 2 3 4 2 2" xfId="23598"/>
    <cellStyle name="Comma 22 2 2 3 4 3" xfId="23599"/>
    <cellStyle name="Comma 22 2 2 3 5" xfId="23600"/>
    <cellStyle name="Comma 22 2 2 3 5 2" xfId="23601"/>
    <cellStyle name="Comma 22 2 2 3 6" xfId="23602"/>
    <cellStyle name="Comma 22 2 2 4" xfId="16884"/>
    <cellStyle name="Comma 22 2 2 4 2" xfId="16885"/>
    <cellStyle name="Comma 22 2 2 4 2 2" xfId="23603"/>
    <cellStyle name="Comma 22 2 2 4 2 2 2" xfId="23604"/>
    <cellStyle name="Comma 22 2 2 4 2 2 2 2" xfId="23605"/>
    <cellStyle name="Comma 22 2 2 4 2 2 3" xfId="23606"/>
    <cellStyle name="Comma 22 2 2 4 2 3" xfId="23607"/>
    <cellStyle name="Comma 22 2 2 4 2 3 2" xfId="23608"/>
    <cellStyle name="Comma 22 2 2 4 2 4" xfId="23609"/>
    <cellStyle name="Comma 22 2 2 4 3" xfId="23610"/>
    <cellStyle name="Comma 22 2 2 4 3 2" xfId="23611"/>
    <cellStyle name="Comma 22 2 2 4 3 2 2" xfId="23612"/>
    <cellStyle name="Comma 22 2 2 4 3 3" xfId="23613"/>
    <cellStyle name="Comma 22 2 2 4 4" xfId="23614"/>
    <cellStyle name="Comma 22 2 2 4 4 2" xfId="23615"/>
    <cellStyle name="Comma 22 2 2 4 5" xfId="23616"/>
    <cellStyle name="Comma 22 2 2 5" xfId="16886"/>
    <cellStyle name="Comma 22 2 2 5 2" xfId="23617"/>
    <cellStyle name="Comma 22 2 2 5 2 2" xfId="23618"/>
    <cellStyle name="Comma 22 2 2 5 2 2 2" xfId="23619"/>
    <cellStyle name="Comma 22 2 2 5 2 3" xfId="23620"/>
    <cellStyle name="Comma 22 2 2 5 3" xfId="23621"/>
    <cellStyle name="Comma 22 2 2 5 3 2" xfId="23622"/>
    <cellStyle name="Comma 22 2 2 5 4" xfId="23623"/>
    <cellStyle name="Comma 22 2 2 6" xfId="16887"/>
    <cellStyle name="Comma 22 2 2 6 2" xfId="23624"/>
    <cellStyle name="Comma 22 2 2 6 2 2" xfId="23625"/>
    <cellStyle name="Comma 22 2 2 6 3" xfId="23626"/>
    <cellStyle name="Comma 22 2 2 7" xfId="19182"/>
    <cellStyle name="Comma 22 2 2 7 2" xfId="23627"/>
    <cellStyle name="Comma 22 2 2 8" xfId="23628"/>
    <cellStyle name="Comma 22 2 3" xfId="16888"/>
    <cellStyle name="Comma 22 2 3 2" xfId="16889"/>
    <cellStyle name="Comma 22 2 3 2 2" xfId="16890"/>
    <cellStyle name="Comma 22 2 3 2 2 2" xfId="16891"/>
    <cellStyle name="Comma 22 2 3 2 2 2 2" xfId="23629"/>
    <cellStyle name="Comma 22 2 3 2 2 2 2 2" xfId="23630"/>
    <cellStyle name="Comma 22 2 3 2 2 2 2 2 2" xfId="23631"/>
    <cellStyle name="Comma 22 2 3 2 2 2 2 3" xfId="23632"/>
    <cellStyle name="Comma 22 2 3 2 2 2 3" xfId="23633"/>
    <cellStyle name="Comma 22 2 3 2 2 2 3 2" xfId="23634"/>
    <cellStyle name="Comma 22 2 3 2 2 2 4" xfId="23635"/>
    <cellStyle name="Comma 22 2 3 2 2 3" xfId="23636"/>
    <cellStyle name="Comma 22 2 3 2 2 3 2" xfId="23637"/>
    <cellStyle name="Comma 22 2 3 2 2 3 2 2" xfId="23638"/>
    <cellStyle name="Comma 22 2 3 2 2 3 3" xfId="23639"/>
    <cellStyle name="Comma 22 2 3 2 2 4" xfId="23640"/>
    <cellStyle name="Comma 22 2 3 2 2 4 2" xfId="23641"/>
    <cellStyle name="Comma 22 2 3 2 2 5" xfId="23642"/>
    <cellStyle name="Comma 22 2 3 2 3" xfId="16892"/>
    <cellStyle name="Comma 22 2 3 2 3 2" xfId="23643"/>
    <cellStyle name="Comma 22 2 3 2 3 2 2" xfId="23644"/>
    <cellStyle name="Comma 22 2 3 2 3 2 2 2" xfId="23645"/>
    <cellStyle name="Comma 22 2 3 2 3 2 3" xfId="23646"/>
    <cellStyle name="Comma 22 2 3 2 3 3" xfId="23647"/>
    <cellStyle name="Comma 22 2 3 2 3 3 2" xfId="23648"/>
    <cellStyle name="Comma 22 2 3 2 3 4" xfId="23649"/>
    <cellStyle name="Comma 22 2 3 2 4" xfId="23650"/>
    <cellStyle name="Comma 22 2 3 2 4 2" xfId="23651"/>
    <cellStyle name="Comma 22 2 3 2 4 2 2" xfId="23652"/>
    <cellStyle name="Comma 22 2 3 2 4 3" xfId="23653"/>
    <cellStyle name="Comma 22 2 3 2 5" xfId="23654"/>
    <cellStyle name="Comma 22 2 3 2 5 2" xfId="23655"/>
    <cellStyle name="Comma 22 2 3 2 6" xfId="23656"/>
    <cellStyle name="Comma 22 2 3 3" xfId="16893"/>
    <cellStyle name="Comma 22 2 3 3 2" xfId="16894"/>
    <cellStyle name="Comma 22 2 3 3 2 2" xfId="23657"/>
    <cellStyle name="Comma 22 2 3 3 2 2 2" xfId="23658"/>
    <cellStyle name="Comma 22 2 3 3 2 2 2 2" xfId="23659"/>
    <cellStyle name="Comma 22 2 3 3 2 2 3" xfId="23660"/>
    <cellStyle name="Comma 22 2 3 3 2 3" xfId="23661"/>
    <cellStyle name="Comma 22 2 3 3 2 3 2" xfId="23662"/>
    <cellStyle name="Comma 22 2 3 3 2 4" xfId="23663"/>
    <cellStyle name="Comma 22 2 3 3 3" xfId="23664"/>
    <cellStyle name="Comma 22 2 3 3 3 2" xfId="23665"/>
    <cellStyle name="Comma 22 2 3 3 3 2 2" xfId="23666"/>
    <cellStyle name="Comma 22 2 3 3 3 3" xfId="23667"/>
    <cellStyle name="Comma 22 2 3 3 4" xfId="23668"/>
    <cellStyle name="Comma 22 2 3 3 4 2" xfId="23669"/>
    <cellStyle name="Comma 22 2 3 3 5" xfId="23670"/>
    <cellStyle name="Comma 22 2 3 4" xfId="16895"/>
    <cellStyle name="Comma 22 2 3 4 2" xfId="23671"/>
    <cellStyle name="Comma 22 2 3 4 2 2" xfId="23672"/>
    <cellStyle name="Comma 22 2 3 4 2 2 2" xfId="23673"/>
    <cellStyle name="Comma 22 2 3 4 2 3" xfId="23674"/>
    <cellStyle name="Comma 22 2 3 4 3" xfId="23675"/>
    <cellStyle name="Comma 22 2 3 4 3 2" xfId="23676"/>
    <cellStyle name="Comma 22 2 3 4 4" xfId="23677"/>
    <cellStyle name="Comma 22 2 3 5" xfId="16896"/>
    <cellStyle name="Comma 22 2 3 5 2" xfId="23678"/>
    <cellStyle name="Comma 22 2 3 5 2 2" xfId="23679"/>
    <cellStyle name="Comma 22 2 3 5 3" xfId="23680"/>
    <cellStyle name="Comma 22 2 3 6" xfId="19184"/>
    <cellStyle name="Comma 22 2 3 6 2" xfId="23681"/>
    <cellStyle name="Comma 22 2 3 7" xfId="23682"/>
    <cellStyle name="Comma 22 2 4" xfId="16897"/>
    <cellStyle name="Comma 22 2 4 2" xfId="16898"/>
    <cellStyle name="Comma 22 2 4 2 2" xfId="16899"/>
    <cellStyle name="Comma 22 2 4 2 2 2" xfId="23683"/>
    <cellStyle name="Comma 22 2 4 2 2 2 2" xfId="23684"/>
    <cellStyle name="Comma 22 2 4 2 2 2 2 2" xfId="23685"/>
    <cellStyle name="Comma 22 2 4 2 2 2 3" xfId="23686"/>
    <cellStyle name="Comma 22 2 4 2 2 3" xfId="23687"/>
    <cellStyle name="Comma 22 2 4 2 2 3 2" xfId="23688"/>
    <cellStyle name="Comma 22 2 4 2 2 4" xfId="23689"/>
    <cellStyle name="Comma 22 2 4 2 3" xfId="23690"/>
    <cellStyle name="Comma 22 2 4 2 3 2" xfId="23691"/>
    <cellStyle name="Comma 22 2 4 2 3 2 2" xfId="23692"/>
    <cellStyle name="Comma 22 2 4 2 3 3" xfId="23693"/>
    <cellStyle name="Comma 22 2 4 2 4" xfId="23694"/>
    <cellStyle name="Comma 22 2 4 2 4 2" xfId="23695"/>
    <cellStyle name="Comma 22 2 4 2 5" xfId="23696"/>
    <cellStyle name="Comma 22 2 4 3" xfId="16900"/>
    <cellStyle name="Comma 22 2 4 3 2" xfId="23697"/>
    <cellStyle name="Comma 22 2 4 3 2 2" xfId="23698"/>
    <cellStyle name="Comma 22 2 4 3 2 2 2" xfId="23699"/>
    <cellStyle name="Comma 22 2 4 3 2 3" xfId="23700"/>
    <cellStyle name="Comma 22 2 4 3 3" xfId="23701"/>
    <cellStyle name="Comma 22 2 4 3 3 2" xfId="23702"/>
    <cellStyle name="Comma 22 2 4 3 4" xfId="23703"/>
    <cellStyle name="Comma 22 2 4 4" xfId="23704"/>
    <cellStyle name="Comma 22 2 4 4 2" xfId="23705"/>
    <cellStyle name="Comma 22 2 4 4 2 2" xfId="23706"/>
    <cellStyle name="Comma 22 2 4 4 3" xfId="23707"/>
    <cellStyle name="Comma 22 2 4 5" xfId="23708"/>
    <cellStyle name="Comma 22 2 4 5 2" xfId="23709"/>
    <cellStyle name="Comma 22 2 4 6" xfId="23710"/>
    <cellStyle name="Comma 22 2 5" xfId="16901"/>
    <cellStyle name="Comma 22 2 5 2" xfId="16902"/>
    <cellStyle name="Comma 22 2 5 2 2" xfId="23711"/>
    <cellStyle name="Comma 22 2 5 2 2 2" xfId="23712"/>
    <cellStyle name="Comma 22 2 5 2 2 2 2" xfId="23713"/>
    <cellStyle name="Comma 22 2 5 2 2 3" xfId="23714"/>
    <cellStyle name="Comma 22 2 5 2 3" xfId="23715"/>
    <cellStyle name="Comma 22 2 5 2 3 2" xfId="23716"/>
    <cellStyle name="Comma 22 2 5 2 4" xfId="23717"/>
    <cellStyle name="Comma 22 2 5 3" xfId="23718"/>
    <cellStyle name="Comma 22 2 5 3 2" xfId="23719"/>
    <cellStyle name="Comma 22 2 5 3 2 2" xfId="23720"/>
    <cellStyle name="Comma 22 2 5 3 3" xfId="23721"/>
    <cellStyle name="Comma 22 2 5 4" xfId="23722"/>
    <cellStyle name="Comma 22 2 5 4 2" xfId="23723"/>
    <cellStyle name="Comma 22 2 5 5" xfId="23724"/>
    <cellStyle name="Comma 22 2 6" xfId="16903"/>
    <cellStyle name="Comma 22 2 6 2" xfId="23725"/>
    <cellStyle name="Comma 22 2 6 2 2" xfId="23726"/>
    <cellStyle name="Comma 22 2 6 2 2 2" xfId="23727"/>
    <cellStyle name="Comma 22 2 6 2 3" xfId="23728"/>
    <cellStyle name="Comma 22 2 6 3" xfId="23729"/>
    <cellStyle name="Comma 22 2 6 3 2" xfId="23730"/>
    <cellStyle name="Comma 22 2 6 4" xfId="23731"/>
    <cellStyle name="Comma 22 2 7" xfId="16904"/>
    <cellStyle name="Comma 22 2 7 2" xfId="23732"/>
    <cellStyle name="Comma 22 2 7 2 2" xfId="23733"/>
    <cellStyle name="Comma 22 2 7 3" xfId="23734"/>
    <cellStyle name="Comma 22 2 8" xfId="19181"/>
    <cellStyle name="Comma 22 2 8 2" xfId="23735"/>
    <cellStyle name="Comma 22 2 9" xfId="23736"/>
    <cellStyle name="Comma 22 3" xfId="16905"/>
    <cellStyle name="Comma 22 3 2" xfId="16906"/>
    <cellStyle name="Comma 22 3 2 2" xfId="16907"/>
    <cellStyle name="Comma 22 3 2 2 2" xfId="16908"/>
    <cellStyle name="Comma 22 3 2 2 2 2" xfId="23737"/>
    <cellStyle name="Comma 22 3 2 2 2 2 2" xfId="23738"/>
    <cellStyle name="Comma 22 3 2 2 2 2 2 2" xfId="23739"/>
    <cellStyle name="Comma 22 3 2 2 2 2 3" xfId="23740"/>
    <cellStyle name="Comma 22 3 2 2 2 3" xfId="23741"/>
    <cellStyle name="Comma 22 3 2 2 2 3 2" xfId="23742"/>
    <cellStyle name="Comma 22 3 2 2 2 4" xfId="23743"/>
    <cellStyle name="Comma 22 3 2 2 3" xfId="23744"/>
    <cellStyle name="Comma 22 3 2 2 3 2" xfId="23745"/>
    <cellStyle name="Comma 22 3 2 2 3 2 2" xfId="23746"/>
    <cellStyle name="Comma 22 3 2 2 3 3" xfId="23747"/>
    <cellStyle name="Comma 22 3 2 2 4" xfId="23748"/>
    <cellStyle name="Comma 22 3 2 2 4 2" xfId="23749"/>
    <cellStyle name="Comma 22 3 2 2 5" xfId="23750"/>
    <cellStyle name="Comma 22 3 2 3" xfId="16909"/>
    <cellStyle name="Comma 22 3 2 3 2" xfId="23751"/>
    <cellStyle name="Comma 22 3 2 3 2 2" xfId="23752"/>
    <cellStyle name="Comma 22 3 2 3 2 2 2" xfId="23753"/>
    <cellStyle name="Comma 22 3 2 3 2 3" xfId="23754"/>
    <cellStyle name="Comma 22 3 2 3 3" xfId="23755"/>
    <cellStyle name="Comma 22 3 2 3 3 2" xfId="23756"/>
    <cellStyle name="Comma 22 3 2 3 4" xfId="23757"/>
    <cellStyle name="Comma 22 3 2 4" xfId="23758"/>
    <cellStyle name="Comma 22 3 2 4 2" xfId="23759"/>
    <cellStyle name="Comma 22 3 2 4 2 2" xfId="23760"/>
    <cellStyle name="Comma 22 3 2 4 3" xfId="23761"/>
    <cellStyle name="Comma 22 3 2 5" xfId="23762"/>
    <cellStyle name="Comma 22 3 2 5 2" xfId="23763"/>
    <cellStyle name="Comma 22 3 2 6" xfId="23764"/>
    <cellStyle name="Comma 22 3 3" xfId="16910"/>
    <cellStyle name="Comma 22 3 3 2" xfId="16911"/>
    <cellStyle name="Comma 22 3 3 2 2" xfId="23765"/>
    <cellStyle name="Comma 22 3 3 2 2 2" xfId="23766"/>
    <cellStyle name="Comma 22 3 3 2 2 2 2" xfId="23767"/>
    <cellStyle name="Comma 22 3 3 2 2 3" xfId="23768"/>
    <cellStyle name="Comma 22 3 3 2 3" xfId="23769"/>
    <cellStyle name="Comma 22 3 3 2 3 2" xfId="23770"/>
    <cellStyle name="Comma 22 3 3 2 4" xfId="23771"/>
    <cellStyle name="Comma 22 3 3 3" xfId="23772"/>
    <cellStyle name="Comma 22 3 3 3 2" xfId="23773"/>
    <cellStyle name="Comma 22 3 3 3 2 2" xfId="23774"/>
    <cellStyle name="Comma 22 3 3 3 3" xfId="23775"/>
    <cellStyle name="Comma 22 3 3 4" xfId="23776"/>
    <cellStyle name="Comma 22 3 3 4 2" xfId="23777"/>
    <cellStyle name="Comma 22 3 3 5" xfId="23778"/>
    <cellStyle name="Comma 22 3 4" xfId="16912"/>
    <cellStyle name="Comma 22 3 4 2" xfId="23779"/>
    <cellStyle name="Comma 22 3 4 2 2" xfId="23780"/>
    <cellStyle name="Comma 22 3 4 2 2 2" xfId="23781"/>
    <cellStyle name="Comma 22 3 4 2 3" xfId="23782"/>
    <cellStyle name="Comma 22 3 4 3" xfId="23783"/>
    <cellStyle name="Comma 22 3 4 3 2" xfId="23784"/>
    <cellStyle name="Comma 22 3 4 4" xfId="23785"/>
    <cellStyle name="Comma 22 3 5" xfId="16913"/>
    <cellStyle name="Comma 22 3 5 2" xfId="23786"/>
    <cellStyle name="Comma 22 3 5 2 2" xfId="23787"/>
    <cellStyle name="Comma 22 3 5 3" xfId="23788"/>
    <cellStyle name="Comma 22 3 6" xfId="19185"/>
    <cellStyle name="Comma 22 3 6 2" xfId="23789"/>
    <cellStyle name="Comma 22 3 7" xfId="23790"/>
    <cellStyle name="Comma 22 4" xfId="16914"/>
    <cellStyle name="Comma 22 4 2" xfId="16915"/>
    <cellStyle name="Comma 22 4 2 2" xfId="16916"/>
    <cellStyle name="Comma 22 4 2 2 2" xfId="23791"/>
    <cellStyle name="Comma 22 4 2 2 2 2" xfId="23792"/>
    <cellStyle name="Comma 22 4 2 2 2 2 2" xfId="23793"/>
    <cellStyle name="Comma 22 4 2 2 2 3" xfId="23794"/>
    <cellStyle name="Comma 22 4 2 2 3" xfId="23795"/>
    <cellStyle name="Comma 22 4 2 2 3 2" xfId="23796"/>
    <cellStyle name="Comma 22 4 2 2 4" xfId="23797"/>
    <cellStyle name="Comma 22 4 2 3" xfId="23798"/>
    <cellStyle name="Comma 22 4 2 3 2" xfId="23799"/>
    <cellStyle name="Comma 22 4 2 3 2 2" xfId="23800"/>
    <cellStyle name="Comma 22 4 2 3 3" xfId="23801"/>
    <cellStyle name="Comma 22 4 2 4" xfId="23802"/>
    <cellStyle name="Comma 22 4 2 4 2" xfId="23803"/>
    <cellStyle name="Comma 22 4 2 5" xfId="23804"/>
    <cellStyle name="Comma 22 4 3" xfId="16917"/>
    <cellStyle name="Comma 22 4 3 2" xfId="23805"/>
    <cellStyle name="Comma 22 4 3 2 2" xfId="23806"/>
    <cellStyle name="Comma 22 4 3 2 2 2" xfId="23807"/>
    <cellStyle name="Comma 22 4 3 2 3" xfId="23808"/>
    <cellStyle name="Comma 22 4 3 3" xfId="23809"/>
    <cellStyle name="Comma 22 4 3 3 2" xfId="23810"/>
    <cellStyle name="Comma 22 4 3 4" xfId="23811"/>
    <cellStyle name="Comma 22 4 4" xfId="23812"/>
    <cellStyle name="Comma 22 4 4 2" xfId="23813"/>
    <cellStyle name="Comma 22 4 4 2 2" xfId="23814"/>
    <cellStyle name="Comma 22 4 4 3" xfId="23815"/>
    <cellStyle name="Comma 22 4 5" xfId="23816"/>
    <cellStyle name="Comma 22 4 5 2" xfId="23817"/>
    <cellStyle name="Comma 22 4 6" xfId="23818"/>
    <cellStyle name="Comma 22 5" xfId="16918"/>
    <cellStyle name="Comma 22 5 2" xfId="16919"/>
    <cellStyle name="Comma 22 5 2 2" xfId="23819"/>
    <cellStyle name="Comma 22 5 2 2 2" xfId="23820"/>
    <cellStyle name="Comma 22 5 2 2 2 2" xfId="23821"/>
    <cellStyle name="Comma 22 5 2 2 3" xfId="23822"/>
    <cellStyle name="Comma 22 5 2 3" xfId="23823"/>
    <cellStyle name="Comma 22 5 2 3 2" xfId="23824"/>
    <cellStyle name="Comma 22 5 2 4" xfId="23825"/>
    <cellStyle name="Comma 22 5 3" xfId="23826"/>
    <cellStyle name="Comma 22 5 3 2" xfId="23827"/>
    <cellStyle name="Comma 22 5 3 2 2" xfId="23828"/>
    <cellStyle name="Comma 22 5 3 3" xfId="23829"/>
    <cellStyle name="Comma 22 5 4" xfId="23830"/>
    <cellStyle name="Comma 22 5 4 2" xfId="23831"/>
    <cellStyle name="Comma 22 5 5" xfId="23832"/>
    <cellStyle name="Comma 22 6" xfId="16920"/>
    <cellStyle name="Comma 22 6 2" xfId="23833"/>
    <cellStyle name="Comma 22 6 2 2" xfId="23834"/>
    <cellStyle name="Comma 22 6 2 2 2" xfId="23835"/>
    <cellStyle name="Comma 22 6 2 3" xfId="23836"/>
    <cellStyle name="Comma 22 6 3" xfId="23837"/>
    <cellStyle name="Comma 22 6 3 2" xfId="23838"/>
    <cellStyle name="Comma 22 6 4" xfId="23839"/>
    <cellStyle name="Comma 22 7" xfId="16921"/>
    <cellStyle name="Comma 22 7 2" xfId="23840"/>
    <cellStyle name="Comma 22 7 2 2" xfId="23841"/>
    <cellStyle name="Comma 22 7 3" xfId="23842"/>
    <cellStyle name="Comma 22 8" xfId="19180"/>
    <cellStyle name="Comma 22 8 2" xfId="23843"/>
    <cellStyle name="Comma 22 9" xfId="23844"/>
    <cellStyle name="Comma 23" xfId="6256"/>
    <cellStyle name="Comma 23 2" xfId="6257"/>
    <cellStyle name="Comma 23 2 2" xfId="23845"/>
    <cellStyle name="Comma 23 2 3" xfId="23846"/>
    <cellStyle name="Comma 23 3" xfId="19186"/>
    <cellStyle name="Comma 23 4" xfId="23847"/>
    <cellStyle name="Comma 24" xfId="6258"/>
    <cellStyle name="Comma 24 2" xfId="6259"/>
    <cellStyle name="Comma 24 2 2" xfId="16922"/>
    <cellStyle name="Comma 24 2 2 2" xfId="16923"/>
    <cellStyle name="Comma 24 2 2 2 2" xfId="16924"/>
    <cellStyle name="Comma 24 2 2 2 2 2" xfId="23848"/>
    <cellStyle name="Comma 24 2 2 2 2 2 2" xfId="23849"/>
    <cellStyle name="Comma 24 2 2 2 2 2 2 2" xfId="23850"/>
    <cellStyle name="Comma 24 2 2 2 2 2 3" xfId="23851"/>
    <cellStyle name="Comma 24 2 2 2 2 3" xfId="23852"/>
    <cellStyle name="Comma 24 2 2 2 2 3 2" xfId="23853"/>
    <cellStyle name="Comma 24 2 2 2 2 4" xfId="23854"/>
    <cellStyle name="Comma 24 2 2 2 3" xfId="23855"/>
    <cellStyle name="Comma 24 2 2 2 3 2" xfId="23856"/>
    <cellStyle name="Comma 24 2 2 2 3 2 2" xfId="23857"/>
    <cellStyle name="Comma 24 2 2 2 3 3" xfId="23858"/>
    <cellStyle name="Comma 24 2 2 2 4" xfId="23859"/>
    <cellStyle name="Comma 24 2 2 2 4 2" xfId="23860"/>
    <cellStyle name="Comma 24 2 2 2 5" xfId="23861"/>
    <cellStyle name="Comma 24 2 2 3" xfId="16925"/>
    <cellStyle name="Comma 24 2 2 3 2" xfId="23862"/>
    <cellStyle name="Comma 24 2 2 3 2 2" xfId="23863"/>
    <cellStyle name="Comma 24 2 2 3 2 2 2" xfId="23864"/>
    <cellStyle name="Comma 24 2 2 3 2 3" xfId="23865"/>
    <cellStyle name="Comma 24 2 2 3 3" xfId="23866"/>
    <cellStyle name="Comma 24 2 2 3 3 2" xfId="23867"/>
    <cellStyle name="Comma 24 2 2 3 4" xfId="23868"/>
    <cellStyle name="Comma 24 2 2 4" xfId="23869"/>
    <cellStyle name="Comma 24 2 2 4 2" xfId="23870"/>
    <cellStyle name="Comma 24 2 2 4 2 2" xfId="23871"/>
    <cellStyle name="Comma 24 2 2 4 3" xfId="23872"/>
    <cellStyle name="Comma 24 2 2 5" xfId="23873"/>
    <cellStyle name="Comma 24 2 2 5 2" xfId="23874"/>
    <cellStyle name="Comma 24 2 2 6" xfId="23875"/>
    <cellStyle name="Comma 24 2 3" xfId="16926"/>
    <cellStyle name="Comma 24 2 3 2" xfId="16927"/>
    <cellStyle name="Comma 24 2 3 2 2" xfId="23876"/>
    <cellStyle name="Comma 24 2 3 2 2 2" xfId="23877"/>
    <cellStyle name="Comma 24 2 3 2 2 2 2" xfId="23878"/>
    <cellStyle name="Comma 24 2 3 2 2 3" xfId="23879"/>
    <cellStyle name="Comma 24 2 3 2 3" xfId="23880"/>
    <cellStyle name="Comma 24 2 3 2 3 2" xfId="23881"/>
    <cellStyle name="Comma 24 2 3 2 4" xfId="23882"/>
    <cellStyle name="Comma 24 2 3 3" xfId="23883"/>
    <cellStyle name="Comma 24 2 3 3 2" xfId="23884"/>
    <cellStyle name="Comma 24 2 3 3 2 2" xfId="23885"/>
    <cellStyle name="Comma 24 2 3 3 3" xfId="23886"/>
    <cellStyle name="Comma 24 2 3 4" xfId="23887"/>
    <cellStyle name="Comma 24 2 3 4 2" xfId="23888"/>
    <cellStyle name="Comma 24 2 3 5" xfId="23889"/>
    <cellStyle name="Comma 24 2 4" xfId="16928"/>
    <cellStyle name="Comma 24 2 4 2" xfId="23890"/>
    <cellStyle name="Comma 24 2 4 2 2" xfId="23891"/>
    <cellStyle name="Comma 24 2 4 2 2 2" xfId="23892"/>
    <cellStyle name="Comma 24 2 4 2 3" xfId="23893"/>
    <cellStyle name="Comma 24 2 4 3" xfId="23894"/>
    <cellStyle name="Comma 24 2 4 3 2" xfId="23895"/>
    <cellStyle name="Comma 24 2 4 4" xfId="23896"/>
    <cellStyle name="Comma 24 2 5" xfId="16929"/>
    <cellStyle name="Comma 24 2 5 2" xfId="23897"/>
    <cellStyle name="Comma 24 2 5 2 2" xfId="23898"/>
    <cellStyle name="Comma 24 2 5 3" xfId="23899"/>
    <cellStyle name="Comma 24 2 6" xfId="19188"/>
    <cellStyle name="Comma 24 2 6 2" xfId="23900"/>
    <cellStyle name="Comma 24 2 7" xfId="23901"/>
    <cellStyle name="Comma 24 2 8" xfId="23902"/>
    <cellStyle name="Comma 24 3" xfId="16930"/>
    <cellStyle name="Comma 24 3 2" xfId="16931"/>
    <cellStyle name="Comma 24 3 2 2" xfId="16932"/>
    <cellStyle name="Comma 24 3 2 2 2" xfId="23903"/>
    <cellStyle name="Comma 24 3 2 2 2 2" xfId="23904"/>
    <cellStyle name="Comma 24 3 2 2 2 2 2" xfId="23905"/>
    <cellStyle name="Comma 24 3 2 2 2 3" xfId="23906"/>
    <cellStyle name="Comma 24 3 2 2 3" xfId="23907"/>
    <cellStyle name="Comma 24 3 2 2 3 2" xfId="23908"/>
    <cellStyle name="Comma 24 3 2 2 4" xfId="23909"/>
    <cellStyle name="Comma 24 3 2 3" xfId="23910"/>
    <cellStyle name="Comma 24 3 2 3 2" xfId="23911"/>
    <cellStyle name="Comma 24 3 2 3 2 2" xfId="23912"/>
    <cellStyle name="Comma 24 3 2 3 3" xfId="23913"/>
    <cellStyle name="Comma 24 3 2 4" xfId="23914"/>
    <cellStyle name="Comma 24 3 2 4 2" xfId="23915"/>
    <cellStyle name="Comma 24 3 2 5" xfId="23916"/>
    <cellStyle name="Comma 24 3 3" xfId="16933"/>
    <cellStyle name="Comma 24 3 3 2" xfId="23917"/>
    <cellStyle name="Comma 24 3 3 2 2" xfId="23918"/>
    <cellStyle name="Comma 24 3 3 2 2 2" xfId="23919"/>
    <cellStyle name="Comma 24 3 3 2 3" xfId="23920"/>
    <cellStyle name="Comma 24 3 3 3" xfId="23921"/>
    <cellStyle name="Comma 24 3 3 3 2" xfId="23922"/>
    <cellStyle name="Comma 24 3 3 4" xfId="23923"/>
    <cellStyle name="Comma 24 3 4" xfId="23924"/>
    <cellStyle name="Comma 24 3 4 2" xfId="23925"/>
    <cellStyle name="Comma 24 3 4 2 2" xfId="23926"/>
    <cellStyle name="Comma 24 3 4 3" xfId="23927"/>
    <cellStyle name="Comma 24 3 5" xfId="23928"/>
    <cellStyle name="Comma 24 3 5 2" xfId="23929"/>
    <cellStyle name="Comma 24 3 6" xfId="23930"/>
    <cellStyle name="Comma 24 4" xfId="16934"/>
    <cellStyle name="Comma 24 4 2" xfId="16935"/>
    <cellStyle name="Comma 24 4 2 2" xfId="23931"/>
    <cellStyle name="Comma 24 4 2 2 2" xfId="23932"/>
    <cellStyle name="Comma 24 4 2 2 2 2" xfId="23933"/>
    <cellStyle name="Comma 24 4 2 2 3" xfId="23934"/>
    <cellStyle name="Comma 24 4 2 3" xfId="23935"/>
    <cellStyle name="Comma 24 4 2 3 2" xfId="23936"/>
    <cellStyle name="Comma 24 4 2 4" xfId="23937"/>
    <cellStyle name="Comma 24 4 3" xfId="23938"/>
    <cellStyle name="Comma 24 4 3 2" xfId="23939"/>
    <cellStyle name="Comma 24 4 3 2 2" xfId="23940"/>
    <cellStyle name="Comma 24 4 3 3" xfId="23941"/>
    <cellStyle name="Comma 24 4 4" xfId="23942"/>
    <cellStyle name="Comma 24 4 4 2" xfId="23943"/>
    <cellStyle name="Comma 24 4 5" xfId="23944"/>
    <cellStyle name="Comma 24 5" xfId="16936"/>
    <cellStyle name="Comma 24 5 2" xfId="23945"/>
    <cellStyle name="Comma 24 5 2 2" xfId="23946"/>
    <cellStyle name="Comma 24 5 2 2 2" xfId="23947"/>
    <cellStyle name="Comma 24 5 2 3" xfId="23948"/>
    <cellStyle name="Comma 24 5 3" xfId="23949"/>
    <cellStyle name="Comma 24 5 3 2" xfId="23950"/>
    <cellStyle name="Comma 24 5 4" xfId="23951"/>
    <cellStyle name="Comma 24 6" xfId="16937"/>
    <cellStyle name="Comma 24 6 2" xfId="23952"/>
    <cellStyle name="Comma 24 6 2 2" xfId="23953"/>
    <cellStyle name="Comma 24 6 3" xfId="23954"/>
    <cellStyle name="Comma 24 7" xfId="19187"/>
    <cellStyle name="Comma 24 7 2" xfId="23955"/>
    <cellStyle name="Comma 24 8" xfId="23956"/>
    <cellStyle name="Comma 24 9" xfId="23957"/>
    <cellStyle name="Comma 25" xfId="6260"/>
    <cellStyle name="Comma 25 2" xfId="6261"/>
    <cellStyle name="Comma 25 2 2" xfId="16938"/>
    <cellStyle name="Comma 25 2 2 2" xfId="16939"/>
    <cellStyle name="Comma 25 2 2 2 2" xfId="16940"/>
    <cellStyle name="Comma 25 2 2 2 2 2" xfId="23958"/>
    <cellStyle name="Comma 25 2 2 2 2 2 2" xfId="23959"/>
    <cellStyle name="Comma 25 2 2 2 2 2 2 2" xfId="23960"/>
    <cellStyle name="Comma 25 2 2 2 2 2 3" xfId="23961"/>
    <cellStyle name="Comma 25 2 2 2 2 3" xfId="23962"/>
    <cellStyle name="Comma 25 2 2 2 2 3 2" xfId="23963"/>
    <cellStyle name="Comma 25 2 2 2 2 4" xfId="23964"/>
    <cellStyle name="Comma 25 2 2 2 3" xfId="23965"/>
    <cellStyle name="Comma 25 2 2 2 3 2" xfId="23966"/>
    <cellStyle name="Comma 25 2 2 2 3 2 2" xfId="23967"/>
    <cellStyle name="Comma 25 2 2 2 3 3" xfId="23968"/>
    <cellStyle name="Comma 25 2 2 2 4" xfId="23969"/>
    <cellStyle name="Comma 25 2 2 2 4 2" xfId="23970"/>
    <cellStyle name="Comma 25 2 2 2 5" xfId="23971"/>
    <cellStyle name="Comma 25 2 2 3" xfId="16941"/>
    <cellStyle name="Comma 25 2 2 3 2" xfId="23972"/>
    <cellStyle name="Comma 25 2 2 3 2 2" xfId="23973"/>
    <cellStyle name="Comma 25 2 2 3 2 2 2" xfId="23974"/>
    <cellStyle name="Comma 25 2 2 3 2 3" xfId="23975"/>
    <cellStyle name="Comma 25 2 2 3 3" xfId="23976"/>
    <cellStyle name="Comma 25 2 2 3 3 2" xfId="23977"/>
    <cellStyle name="Comma 25 2 2 3 4" xfId="23978"/>
    <cellStyle name="Comma 25 2 2 4" xfId="23979"/>
    <cellStyle name="Comma 25 2 2 4 2" xfId="23980"/>
    <cellStyle name="Comma 25 2 2 4 2 2" xfId="23981"/>
    <cellStyle name="Comma 25 2 2 4 3" xfId="23982"/>
    <cellStyle name="Comma 25 2 2 5" xfId="23983"/>
    <cellStyle name="Comma 25 2 2 5 2" xfId="23984"/>
    <cellStyle name="Comma 25 2 2 6" xfId="23985"/>
    <cellStyle name="Comma 25 2 3" xfId="16942"/>
    <cellStyle name="Comma 25 2 3 2" xfId="16943"/>
    <cellStyle name="Comma 25 2 3 2 2" xfId="23986"/>
    <cellStyle name="Comma 25 2 3 2 2 2" xfId="23987"/>
    <cellStyle name="Comma 25 2 3 2 2 2 2" xfId="23988"/>
    <cellStyle name="Comma 25 2 3 2 2 3" xfId="23989"/>
    <cellStyle name="Comma 25 2 3 2 3" xfId="23990"/>
    <cellStyle name="Comma 25 2 3 2 3 2" xfId="23991"/>
    <cellStyle name="Comma 25 2 3 2 4" xfId="23992"/>
    <cellStyle name="Comma 25 2 3 3" xfId="23993"/>
    <cellStyle name="Comma 25 2 3 3 2" xfId="23994"/>
    <cellStyle name="Comma 25 2 3 3 2 2" xfId="23995"/>
    <cellStyle name="Comma 25 2 3 3 3" xfId="23996"/>
    <cellStyle name="Comma 25 2 3 4" xfId="23997"/>
    <cellStyle name="Comma 25 2 3 4 2" xfId="23998"/>
    <cellStyle name="Comma 25 2 3 5" xfId="23999"/>
    <cellStyle name="Comma 25 2 4" xfId="16944"/>
    <cellStyle name="Comma 25 2 4 2" xfId="24000"/>
    <cellStyle name="Comma 25 2 4 2 2" xfId="24001"/>
    <cellStyle name="Comma 25 2 4 2 2 2" xfId="24002"/>
    <cellStyle name="Comma 25 2 4 2 3" xfId="24003"/>
    <cellStyle name="Comma 25 2 4 3" xfId="24004"/>
    <cellStyle name="Comma 25 2 4 3 2" xfId="24005"/>
    <cellStyle name="Comma 25 2 4 4" xfId="24006"/>
    <cellStyle name="Comma 25 2 5" xfId="16945"/>
    <cellStyle name="Comma 25 2 5 2" xfId="24007"/>
    <cellStyle name="Comma 25 2 5 2 2" xfId="24008"/>
    <cellStyle name="Comma 25 2 5 3" xfId="24009"/>
    <cellStyle name="Comma 25 2 6" xfId="19190"/>
    <cellStyle name="Comma 25 2 6 2" xfId="24010"/>
    <cellStyle name="Comma 25 2 7" xfId="24011"/>
    <cellStyle name="Comma 25 2 8" xfId="24012"/>
    <cellStyle name="Comma 25 3" xfId="16946"/>
    <cellStyle name="Comma 25 3 2" xfId="16947"/>
    <cellStyle name="Comma 25 3 2 2" xfId="16948"/>
    <cellStyle name="Comma 25 3 2 2 2" xfId="24013"/>
    <cellStyle name="Comma 25 3 2 2 2 2" xfId="24014"/>
    <cellStyle name="Comma 25 3 2 2 2 2 2" xfId="24015"/>
    <cellStyle name="Comma 25 3 2 2 2 3" xfId="24016"/>
    <cellStyle name="Comma 25 3 2 2 3" xfId="24017"/>
    <cellStyle name="Comma 25 3 2 2 3 2" xfId="24018"/>
    <cellStyle name="Comma 25 3 2 2 4" xfId="24019"/>
    <cellStyle name="Comma 25 3 2 3" xfId="24020"/>
    <cellStyle name="Comma 25 3 2 3 2" xfId="24021"/>
    <cellStyle name="Comma 25 3 2 3 2 2" xfId="24022"/>
    <cellStyle name="Comma 25 3 2 3 3" xfId="24023"/>
    <cellStyle name="Comma 25 3 2 4" xfId="24024"/>
    <cellStyle name="Comma 25 3 2 4 2" xfId="24025"/>
    <cellStyle name="Comma 25 3 2 5" xfId="24026"/>
    <cellStyle name="Comma 25 3 3" xfId="16949"/>
    <cellStyle name="Comma 25 3 3 2" xfId="24027"/>
    <cellStyle name="Comma 25 3 3 2 2" xfId="24028"/>
    <cellStyle name="Comma 25 3 3 2 2 2" xfId="24029"/>
    <cellStyle name="Comma 25 3 3 2 3" xfId="24030"/>
    <cellStyle name="Comma 25 3 3 3" xfId="24031"/>
    <cellStyle name="Comma 25 3 3 3 2" xfId="24032"/>
    <cellStyle name="Comma 25 3 3 4" xfId="24033"/>
    <cellStyle name="Comma 25 3 4" xfId="24034"/>
    <cellStyle name="Comma 25 3 4 2" xfId="24035"/>
    <cellStyle name="Comma 25 3 4 2 2" xfId="24036"/>
    <cellStyle name="Comma 25 3 4 3" xfId="24037"/>
    <cellStyle name="Comma 25 3 5" xfId="24038"/>
    <cellStyle name="Comma 25 3 5 2" xfId="24039"/>
    <cellStyle name="Comma 25 3 6" xfId="24040"/>
    <cellStyle name="Comma 25 4" xfId="16950"/>
    <cellStyle name="Comma 25 4 2" xfId="16951"/>
    <cellStyle name="Comma 25 4 2 2" xfId="24041"/>
    <cellStyle name="Comma 25 4 2 2 2" xfId="24042"/>
    <cellStyle name="Comma 25 4 2 2 2 2" xfId="24043"/>
    <cellStyle name="Comma 25 4 2 2 3" xfId="24044"/>
    <cellStyle name="Comma 25 4 2 3" xfId="24045"/>
    <cellStyle name="Comma 25 4 2 3 2" xfId="24046"/>
    <cellStyle name="Comma 25 4 2 4" xfId="24047"/>
    <cellStyle name="Comma 25 4 3" xfId="24048"/>
    <cellStyle name="Comma 25 4 3 2" xfId="24049"/>
    <cellStyle name="Comma 25 4 3 2 2" xfId="24050"/>
    <cellStyle name="Comma 25 4 3 3" xfId="24051"/>
    <cellStyle name="Comma 25 4 4" xfId="24052"/>
    <cellStyle name="Comma 25 4 4 2" xfId="24053"/>
    <cellStyle name="Comma 25 4 5" xfId="24054"/>
    <cellStyle name="Comma 25 5" xfId="16952"/>
    <cellStyle name="Comma 25 5 2" xfId="24055"/>
    <cellStyle name="Comma 25 5 2 2" xfId="24056"/>
    <cellStyle name="Comma 25 5 2 2 2" xfId="24057"/>
    <cellStyle name="Comma 25 5 2 3" xfId="24058"/>
    <cellStyle name="Comma 25 5 3" xfId="24059"/>
    <cellStyle name="Comma 25 5 3 2" xfId="24060"/>
    <cellStyle name="Comma 25 5 4" xfId="24061"/>
    <cellStyle name="Comma 25 6" xfId="16953"/>
    <cellStyle name="Comma 25 6 2" xfId="24062"/>
    <cellStyle name="Comma 25 6 2 2" xfId="24063"/>
    <cellStyle name="Comma 25 6 3" xfId="24064"/>
    <cellStyle name="Comma 25 7" xfId="19189"/>
    <cellStyle name="Comma 25 7 2" xfId="24065"/>
    <cellStyle name="Comma 25 8" xfId="24066"/>
    <cellStyle name="Comma 25 9" xfId="24067"/>
    <cellStyle name="Comma 26" xfId="6262"/>
    <cellStyle name="Comma 26 2" xfId="6263"/>
    <cellStyle name="Comma 26 2 2" xfId="19192"/>
    <cellStyle name="Comma 26 2 3" xfId="24068"/>
    <cellStyle name="Comma 26 3" xfId="19191"/>
    <cellStyle name="Comma 26 4" xfId="24069"/>
    <cellStyle name="Comma 27" xfId="6264"/>
    <cellStyle name="Comma 27 2" xfId="6265"/>
    <cellStyle name="Comma 27 2 2" xfId="16954"/>
    <cellStyle name="Comma 27 2 2 2" xfId="16955"/>
    <cellStyle name="Comma 27 2 2 2 2" xfId="16956"/>
    <cellStyle name="Comma 27 2 2 2 2 2" xfId="24070"/>
    <cellStyle name="Comma 27 2 2 2 2 2 2" xfId="24071"/>
    <cellStyle name="Comma 27 2 2 2 2 2 2 2" xfId="24072"/>
    <cellStyle name="Comma 27 2 2 2 2 2 3" xfId="24073"/>
    <cellStyle name="Comma 27 2 2 2 2 3" xfId="24074"/>
    <cellStyle name="Comma 27 2 2 2 2 3 2" xfId="24075"/>
    <cellStyle name="Comma 27 2 2 2 2 4" xfId="24076"/>
    <cellStyle name="Comma 27 2 2 2 3" xfId="24077"/>
    <cellStyle name="Comma 27 2 2 2 3 2" xfId="24078"/>
    <cellStyle name="Comma 27 2 2 2 3 2 2" xfId="24079"/>
    <cellStyle name="Comma 27 2 2 2 3 3" xfId="24080"/>
    <cellStyle name="Comma 27 2 2 2 4" xfId="24081"/>
    <cellStyle name="Comma 27 2 2 2 4 2" xfId="24082"/>
    <cellStyle name="Comma 27 2 2 2 5" xfId="24083"/>
    <cellStyle name="Comma 27 2 2 3" xfId="16957"/>
    <cellStyle name="Comma 27 2 2 3 2" xfId="24084"/>
    <cellStyle name="Comma 27 2 2 3 2 2" xfId="24085"/>
    <cellStyle name="Comma 27 2 2 3 2 2 2" xfId="24086"/>
    <cellStyle name="Comma 27 2 2 3 2 3" xfId="24087"/>
    <cellStyle name="Comma 27 2 2 3 3" xfId="24088"/>
    <cellStyle name="Comma 27 2 2 3 3 2" xfId="24089"/>
    <cellStyle name="Comma 27 2 2 3 4" xfId="24090"/>
    <cellStyle name="Comma 27 2 2 4" xfId="24091"/>
    <cellStyle name="Comma 27 2 2 4 2" xfId="24092"/>
    <cellStyle name="Comma 27 2 2 4 2 2" xfId="24093"/>
    <cellStyle name="Comma 27 2 2 4 3" xfId="24094"/>
    <cellStyle name="Comma 27 2 2 5" xfId="24095"/>
    <cellStyle name="Comma 27 2 2 5 2" xfId="24096"/>
    <cellStyle name="Comma 27 2 2 6" xfId="24097"/>
    <cellStyle name="Comma 27 2 3" xfId="16958"/>
    <cellStyle name="Comma 27 2 3 2" xfId="16959"/>
    <cellStyle name="Comma 27 2 3 2 2" xfId="24098"/>
    <cellStyle name="Comma 27 2 3 2 2 2" xfId="24099"/>
    <cellStyle name="Comma 27 2 3 2 2 2 2" xfId="24100"/>
    <cellStyle name="Comma 27 2 3 2 2 3" xfId="24101"/>
    <cellStyle name="Comma 27 2 3 2 3" xfId="24102"/>
    <cellStyle name="Comma 27 2 3 2 3 2" xfId="24103"/>
    <cellStyle name="Comma 27 2 3 2 4" xfId="24104"/>
    <cellStyle name="Comma 27 2 3 3" xfId="24105"/>
    <cellStyle name="Comma 27 2 3 3 2" xfId="24106"/>
    <cellStyle name="Comma 27 2 3 3 2 2" xfId="24107"/>
    <cellStyle name="Comma 27 2 3 3 3" xfId="24108"/>
    <cellStyle name="Comma 27 2 3 4" xfId="24109"/>
    <cellStyle name="Comma 27 2 3 4 2" xfId="24110"/>
    <cellStyle name="Comma 27 2 3 5" xfId="24111"/>
    <cellStyle name="Comma 27 2 4" xfId="16960"/>
    <cellStyle name="Comma 27 2 4 2" xfId="24112"/>
    <cellStyle name="Comma 27 2 4 2 2" xfId="24113"/>
    <cellStyle name="Comma 27 2 4 2 2 2" xfId="24114"/>
    <cellStyle name="Comma 27 2 4 2 3" xfId="24115"/>
    <cellStyle name="Comma 27 2 4 3" xfId="24116"/>
    <cellStyle name="Comma 27 2 4 3 2" xfId="24117"/>
    <cellStyle name="Comma 27 2 4 4" xfId="24118"/>
    <cellStyle name="Comma 27 2 5" xfId="16961"/>
    <cellStyle name="Comma 27 2 5 2" xfId="24119"/>
    <cellStyle name="Comma 27 2 5 2 2" xfId="24120"/>
    <cellStyle name="Comma 27 2 5 3" xfId="24121"/>
    <cellStyle name="Comma 27 2 6" xfId="19194"/>
    <cellStyle name="Comma 27 2 6 2" xfId="24122"/>
    <cellStyle name="Comma 27 2 7" xfId="24123"/>
    <cellStyle name="Comma 27 2 8" xfId="24124"/>
    <cellStyle name="Comma 27 3" xfId="16962"/>
    <cellStyle name="Comma 27 3 2" xfId="16963"/>
    <cellStyle name="Comma 27 3 2 2" xfId="16964"/>
    <cellStyle name="Comma 27 3 2 2 2" xfId="24125"/>
    <cellStyle name="Comma 27 3 2 2 2 2" xfId="24126"/>
    <cellStyle name="Comma 27 3 2 2 2 2 2" xfId="24127"/>
    <cellStyle name="Comma 27 3 2 2 2 3" xfId="24128"/>
    <cellStyle name="Comma 27 3 2 2 3" xfId="24129"/>
    <cellStyle name="Comma 27 3 2 2 3 2" xfId="24130"/>
    <cellStyle name="Comma 27 3 2 2 4" xfId="24131"/>
    <cellStyle name="Comma 27 3 2 3" xfId="24132"/>
    <cellStyle name="Comma 27 3 2 3 2" xfId="24133"/>
    <cellStyle name="Comma 27 3 2 3 2 2" xfId="24134"/>
    <cellStyle name="Comma 27 3 2 3 3" xfId="24135"/>
    <cellStyle name="Comma 27 3 2 4" xfId="24136"/>
    <cellStyle name="Comma 27 3 2 4 2" xfId="24137"/>
    <cellStyle name="Comma 27 3 2 5" xfId="24138"/>
    <cellStyle name="Comma 27 3 3" xfId="16965"/>
    <cellStyle name="Comma 27 3 3 2" xfId="24139"/>
    <cellStyle name="Comma 27 3 3 2 2" xfId="24140"/>
    <cellStyle name="Comma 27 3 3 2 2 2" xfId="24141"/>
    <cellStyle name="Comma 27 3 3 2 3" xfId="24142"/>
    <cellStyle name="Comma 27 3 3 3" xfId="24143"/>
    <cellStyle name="Comma 27 3 3 3 2" xfId="24144"/>
    <cellStyle name="Comma 27 3 3 4" xfId="24145"/>
    <cellStyle name="Comma 27 3 4" xfId="24146"/>
    <cellStyle name="Comma 27 3 4 2" xfId="24147"/>
    <cellStyle name="Comma 27 3 4 2 2" xfId="24148"/>
    <cellStyle name="Comma 27 3 4 3" xfId="24149"/>
    <cellStyle name="Comma 27 3 5" xfId="24150"/>
    <cellStyle name="Comma 27 3 5 2" xfId="24151"/>
    <cellStyle name="Comma 27 3 6" xfId="24152"/>
    <cellStyle name="Comma 27 4" xfId="16966"/>
    <cellStyle name="Comma 27 4 2" xfId="16967"/>
    <cellStyle name="Comma 27 4 2 2" xfId="24153"/>
    <cellStyle name="Comma 27 4 2 2 2" xfId="24154"/>
    <cellStyle name="Comma 27 4 2 2 2 2" xfId="24155"/>
    <cellStyle name="Comma 27 4 2 2 3" xfId="24156"/>
    <cellStyle name="Comma 27 4 2 3" xfId="24157"/>
    <cellStyle name="Comma 27 4 2 3 2" xfId="24158"/>
    <cellStyle name="Comma 27 4 2 4" xfId="24159"/>
    <cellStyle name="Comma 27 4 3" xfId="24160"/>
    <cellStyle name="Comma 27 4 3 2" xfId="24161"/>
    <cellStyle name="Comma 27 4 3 2 2" xfId="24162"/>
    <cellStyle name="Comma 27 4 3 3" xfId="24163"/>
    <cellStyle name="Comma 27 4 4" xfId="24164"/>
    <cellStyle name="Comma 27 4 4 2" xfId="24165"/>
    <cellStyle name="Comma 27 4 5" xfId="24166"/>
    <cellStyle name="Comma 27 5" xfId="16968"/>
    <cellStyle name="Comma 27 5 2" xfId="24167"/>
    <cellStyle name="Comma 27 5 2 2" xfId="24168"/>
    <cellStyle name="Comma 27 5 2 2 2" xfId="24169"/>
    <cellStyle name="Comma 27 5 2 3" xfId="24170"/>
    <cellStyle name="Comma 27 5 3" xfId="24171"/>
    <cellStyle name="Comma 27 5 3 2" xfId="24172"/>
    <cellStyle name="Comma 27 5 4" xfId="24173"/>
    <cellStyle name="Comma 27 6" xfId="16969"/>
    <cellStyle name="Comma 27 6 2" xfId="24174"/>
    <cellStyle name="Comma 27 6 2 2" xfId="24175"/>
    <cellStyle name="Comma 27 6 3" xfId="24176"/>
    <cellStyle name="Comma 27 7" xfId="19193"/>
    <cellStyle name="Comma 27 7 2" xfId="24177"/>
    <cellStyle name="Comma 27 8" xfId="24178"/>
    <cellStyle name="Comma 27 9" xfId="24179"/>
    <cellStyle name="Comma 28" xfId="6266"/>
    <cellStyle name="Comma 28 2" xfId="6267"/>
    <cellStyle name="Comma 28 2 2" xfId="24180"/>
    <cellStyle name="Comma 28 2 3" xfId="24181"/>
    <cellStyle name="Comma 28 3" xfId="19195"/>
    <cellStyle name="Comma 28 4" xfId="24182"/>
    <cellStyle name="Comma 29" xfId="46"/>
    <cellStyle name="Comma 29 2" xfId="6268"/>
    <cellStyle name="Comma 29 2 2" xfId="16970"/>
    <cellStyle name="Comma 29 2 2 2" xfId="16971"/>
    <cellStyle name="Comma 29 2 2 2 2" xfId="24183"/>
    <cellStyle name="Comma 29 2 2 2 2 2" xfId="24184"/>
    <cellStyle name="Comma 29 2 2 2 2 2 2" xfId="24185"/>
    <cellStyle name="Comma 29 2 2 2 2 3" xfId="24186"/>
    <cellStyle name="Comma 29 2 2 2 3" xfId="24187"/>
    <cellStyle name="Comma 29 2 2 2 3 2" xfId="24188"/>
    <cellStyle name="Comma 29 2 2 2 4" xfId="24189"/>
    <cellStyle name="Comma 29 2 2 3" xfId="24190"/>
    <cellStyle name="Comma 29 2 2 3 2" xfId="24191"/>
    <cellStyle name="Comma 29 2 2 3 2 2" xfId="24192"/>
    <cellStyle name="Comma 29 2 2 3 3" xfId="24193"/>
    <cellStyle name="Comma 29 2 2 4" xfId="24194"/>
    <cellStyle name="Comma 29 2 2 4 2" xfId="24195"/>
    <cellStyle name="Comma 29 2 2 5" xfId="24196"/>
    <cellStyle name="Comma 29 2 3" xfId="16972"/>
    <cellStyle name="Comma 29 2 3 2" xfId="24197"/>
    <cellStyle name="Comma 29 2 3 2 2" xfId="24198"/>
    <cellStyle name="Comma 29 2 3 2 2 2" xfId="24199"/>
    <cellStyle name="Comma 29 2 3 2 3" xfId="24200"/>
    <cellStyle name="Comma 29 2 3 3" xfId="24201"/>
    <cellStyle name="Comma 29 2 3 3 2" xfId="24202"/>
    <cellStyle name="Comma 29 2 3 4" xfId="24203"/>
    <cellStyle name="Comma 29 2 4" xfId="24204"/>
    <cellStyle name="Comma 29 2 4 2" xfId="24205"/>
    <cellStyle name="Comma 29 2 4 2 2" xfId="24206"/>
    <cellStyle name="Comma 29 2 4 3" xfId="24207"/>
    <cellStyle name="Comma 29 2 5" xfId="24208"/>
    <cellStyle name="Comma 29 2 5 2" xfId="24209"/>
    <cellStyle name="Comma 29 2 6" xfId="24210"/>
    <cellStyle name="Comma 29 2 7" xfId="24211"/>
    <cellStyle name="Comma 29 3" xfId="16973"/>
    <cellStyle name="Comma 29 3 2" xfId="16974"/>
    <cellStyle name="Comma 29 3 2 2" xfId="24212"/>
    <cellStyle name="Comma 29 3 2 2 2" xfId="24213"/>
    <cellStyle name="Comma 29 3 2 2 2 2" xfId="24214"/>
    <cellStyle name="Comma 29 3 2 2 3" xfId="24215"/>
    <cellStyle name="Comma 29 3 2 3" xfId="24216"/>
    <cellStyle name="Comma 29 3 2 3 2" xfId="24217"/>
    <cellStyle name="Comma 29 3 2 4" xfId="24218"/>
    <cellStyle name="Comma 29 3 3" xfId="24219"/>
    <cellStyle name="Comma 29 3 3 2" xfId="24220"/>
    <cellStyle name="Comma 29 3 3 2 2" xfId="24221"/>
    <cellStyle name="Comma 29 3 3 3" xfId="24222"/>
    <cellStyle name="Comma 29 3 4" xfId="24223"/>
    <cellStyle name="Comma 29 3 4 2" xfId="24224"/>
    <cellStyle name="Comma 29 3 5" xfId="24225"/>
    <cellStyle name="Comma 29 4" xfId="16975"/>
    <cellStyle name="Comma 29 4 2" xfId="24226"/>
    <cellStyle name="Comma 29 4 2 2" xfId="24227"/>
    <cellStyle name="Comma 29 4 2 2 2" xfId="24228"/>
    <cellStyle name="Comma 29 4 2 3" xfId="24229"/>
    <cellStyle name="Comma 29 4 3" xfId="24230"/>
    <cellStyle name="Comma 29 4 3 2" xfId="24231"/>
    <cellStyle name="Comma 29 4 4" xfId="24232"/>
    <cellStyle name="Comma 29 5" xfId="16976"/>
    <cellStyle name="Comma 29 5 2" xfId="24233"/>
    <cellStyle name="Comma 29 5 2 2" xfId="24234"/>
    <cellStyle name="Comma 29 5 3" xfId="24235"/>
    <cellStyle name="Comma 29 6" xfId="24236"/>
    <cellStyle name="Comma 29 6 2" xfId="24237"/>
    <cellStyle name="Comma 29 7" xfId="24238"/>
    <cellStyle name="Comma 29 8" xfId="24239"/>
    <cellStyle name="Comma 3" xfId="47"/>
    <cellStyle name="Comma 3 10" xfId="16977"/>
    <cellStyle name="Comma 3 10 2" xfId="24240"/>
    <cellStyle name="Comma 3 11" xfId="16978"/>
    <cellStyle name="Comma 3 12" xfId="16979"/>
    <cellStyle name="Comma 3 12 2" xfId="24241"/>
    <cellStyle name="Comma 3 12 2 2" xfId="24242"/>
    <cellStyle name="Comma 3 12 2 2 2" xfId="24243"/>
    <cellStyle name="Comma 3 12 2 3" xfId="24244"/>
    <cellStyle name="Comma 3 12 3" xfId="24245"/>
    <cellStyle name="Comma 3 12 3 2" xfId="24246"/>
    <cellStyle name="Comma 3 12 4" xfId="24247"/>
    <cellStyle name="Comma 3 13" xfId="16980"/>
    <cellStyle name="Comma 3 14" xfId="24248"/>
    <cellStyle name="Comma 3 15" xfId="24249"/>
    <cellStyle name="Comma 3 16" xfId="24250"/>
    <cellStyle name="Comma 3 2" xfId="6269"/>
    <cellStyle name="Comma 3 2 2" xfId="6270"/>
    <cellStyle name="Comma 3 2 2 2" xfId="19196"/>
    <cellStyle name="Comma 3 2 2 3" xfId="24251"/>
    <cellStyle name="Comma 3 2 3" xfId="16981"/>
    <cellStyle name="Comma 3 2 3 2" xfId="24252"/>
    <cellStyle name="Comma 3 2 4" xfId="16982"/>
    <cellStyle name="Comma 3 2 5" xfId="24253"/>
    <cellStyle name="Comma 3 2 6" xfId="24254"/>
    <cellStyle name="Comma 3 2 7" xfId="24255"/>
    <cellStyle name="Comma 3 3" xfId="6271"/>
    <cellStyle name="Comma 3 3 2" xfId="6272"/>
    <cellStyle name="Comma 3 3 2 2" xfId="19197"/>
    <cellStyle name="Comma 3 3 2 3" xfId="24256"/>
    <cellStyle name="Comma 3 3 3" xfId="16983"/>
    <cellStyle name="Comma 3 3 3 2" xfId="24257"/>
    <cellStyle name="Comma 3 3 4" xfId="24258"/>
    <cellStyle name="Comma 3 4" xfId="6273"/>
    <cellStyle name="Comma 3 4 2" xfId="6274"/>
    <cellStyle name="Comma 3 4 2 2" xfId="19198"/>
    <cellStyle name="Comma 3 4 3" xfId="16984"/>
    <cellStyle name="Comma 3 5" xfId="6275"/>
    <cellStyle name="Comma 3 5 2" xfId="6276"/>
    <cellStyle name="Comma 3 5 2 2" xfId="19199"/>
    <cellStyle name="Comma 3 5 3" xfId="16985"/>
    <cellStyle name="Comma 3 6" xfId="6277"/>
    <cellStyle name="Comma 3 6 2" xfId="6278"/>
    <cellStyle name="Comma 3 6 2 2" xfId="19200"/>
    <cellStyle name="Comma 3 6 3" xfId="16986"/>
    <cellStyle name="Comma 3 7" xfId="6279"/>
    <cellStyle name="Comma 3 7 2" xfId="6280"/>
    <cellStyle name="Comma 3 7 2 2" xfId="19201"/>
    <cellStyle name="Comma 3 7 3" xfId="16987"/>
    <cellStyle name="Comma 3 8" xfId="6281"/>
    <cellStyle name="Comma 3 8 2" xfId="16988"/>
    <cellStyle name="Comma 3 8 2 2" xfId="24259"/>
    <cellStyle name="Comma 3 8 3" xfId="16989"/>
    <cellStyle name="Comma 3 9" xfId="6282"/>
    <cellStyle name="Comma 3 9 2" xfId="19202"/>
    <cellStyle name="Comma 30" xfId="16990"/>
    <cellStyle name="Comma 30 2" xfId="16991"/>
    <cellStyle name="Comma 30 2 2" xfId="16992"/>
    <cellStyle name="Comma 30 2 2 2" xfId="16993"/>
    <cellStyle name="Comma 30 2 2 2 2" xfId="24260"/>
    <cellStyle name="Comma 30 2 2 2 2 2" xfId="24261"/>
    <cellStyle name="Comma 30 2 2 2 2 2 2" xfId="24262"/>
    <cellStyle name="Comma 30 2 2 2 2 3" xfId="24263"/>
    <cellStyle name="Comma 30 2 2 2 3" xfId="24264"/>
    <cellStyle name="Comma 30 2 2 2 3 2" xfId="24265"/>
    <cellStyle name="Comma 30 2 2 2 4" xfId="24266"/>
    <cellStyle name="Comma 30 2 2 3" xfId="24267"/>
    <cellStyle name="Comma 30 2 2 3 2" xfId="24268"/>
    <cellStyle name="Comma 30 2 2 3 2 2" xfId="24269"/>
    <cellStyle name="Comma 30 2 2 3 3" xfId="24270"/>
    <cellStyle name="Comma 30 2 2 4" xfId="24271"/>
    <cellStyle name="Comma 30 2 2 4 2" xfId="24272"/>
    <cellStyle name="Comma 30 2 2 5" xfId="24273"/>
    <cellStyle name="Comma 30 2 3" xfId="16994"/>
    <cellStyle name="Comma 30 2 3 2" xfId="24274"/>
    <cellStyle name="Comma 30 2 3 2 2" xfId="24275"/>
    <cellStyle name="Comma 30 2 3 2 2 2" xfId="24276"/>
    <cellStyle name="Comma 30 2 3 2 3" xfId="24277"/>
    <cellStyle name="Comma 30 2 3 3" xfId="24278"/>
    <cellStyle name="Comma 30 2 3 3 2" xfId="24279"/>
    <cellStyle name="Comma 30 2 3 4" xfId="24280"/>
    <cellStyle name="Comma 30 2 4" xfId="24281"/>
    <cellStyle name="Comma 30 2 4 2" xfId="24282"/>
    <cellStyle name="Comma 30 2 4 2 2" xfId="24283"/>
    <cellStyle name="Comma 30 2 4 3" xfId="24284"/>
    <cellStyle name="Comma 30 2 5" xfId="24285"/>
    <cellStyle name="Comma 30 2 5 2" xfId="24286"/>
    <cellStyle name="Comma 30 2 6" xfId="24287"/>
    <cellStyle name="Comma 30 3" xfId="16995"/>
    <cellStyle name="Comma 30 3 2" xfId="16996"/>
    <cellStyle name="Comma 30 3 2 2" xfId="24288"/>
    <cellStyle name="Comma 30 3 2 2 2" xfId="24289"/>
    <cellStyle name="Comma 30 3 2 2 2 2" xfId="24290"/>
    <cellStyle name="Comma 30 3 2 2 3" xfId="24291"/>
    <cellStyle name="Comma 30 3 2 3" xfId="24292"/>
    <cellStyle name="Comma 30 3 2 3 2" xfId="24293"/>
    <cellStyle name="Comma 30 3 2 4" xfId="24294"/>
    <cellStyle name="Comma 30 3 3" xfId="24295"/>
    <cellStyle name="Comma 30 3 3 2" xfId="24296"/>
    <cellStyle name="Comma 30 3 3 2 2" xfId="24297"/>
    <cellStyle name="Comma 30 3 3 3" xfId="24298"/>
    <cellStyle name="Comma 30 3 4" xfId="24299"/>
    <cellStyle name="Comma 30 3 4 2" xfId="24300"/>
    <cellStyle name="Comma 30 3 5" xfId="24301"/>
    <cellStyle name="Comma 30 4" xfId="16997"/>
    <cellStyle name="Comma 30 4 2" xfId="24302"/>
    <cellStyle name="Comma 30 4 2 2" xfId="24303"/>
    <cellStyle name="Comma 30 4 2 2 2" xfId="24304"/>
    <cellStyle name="Comma 30 4 2 3" xfId="24305"/>
    <cellStyle name="Comma 30 4 3" xfId="24306"/>
    <cellStyle name="Comma 30 4 3 2" xfId="24307"/>
    <cellStyle name="Comma 30 4 4" xfId="24308"/>
    <cellStyle name="Comma 30 5" xfId="16998"/>
    <cellStyle name="Comma 30 5 2" xfId="24309"/>
    <cellStyle name="Comma 30 5 2 2" xfId="24310"/>
    <cellStyle name="Comma 30 5 3" xfId="24311"/>
    <cellStyle name="Comma 30 6" xfId="19203"/>
    <cellStyle name="Comma 30 6 2" xfId="24312"/>
    <cellStyle name="Comma 30 7" xfId="24313"/>
    <cellStyle name="Comma 31" xfId="16999"/>
    <cellStyle name="Comma 31 2" xfId="17000"/>
    <cellStyle name="Comma 31 2 2" xfId="17001"/>
    <cellStyle name="Comma 31 2 2 2" xfId="17002"/>
    <cellStyle name="Comma 31 2 2 2 2" xfId="24314"/>
    <cellStyle name="Comma 31 2 2 2 2 2" xfId="24315"/>
    <cellStyle name="Comma 31 2 2 2 2 2 2" xfId="24316"/>
    <cellStyle name="Comma 31 2 2 2 2 3" xfId="24317"/>
    <cellStyle name="Comma 31 2 2 2 3" xfId="24318"/>
    <cellStyle name="Comma 31 2 2 2 3 2" xfId="24319"/>
    <cellStyle name="Comma 31 2 2 2 4" xfId="24320"/>
    <cellStyle name="Comma 31 2 2 3" xfId="24321"/>
    <cellStyle name="Comma 31 2 2 3 2" xfId="24322"/>
    <cellStyle name="Comma 31 2 2 3 2 2" xfId="24323"/>
    <cellStyle name="Comma 31 2 2 3 3" xfId="24324"/>
    <cellStyle name="Comma 31 2 2 4" xfId="24325"/>
    <cellStyle name="Comma 31 2 2 4 2" xfId="24326"/>
    <cellStyle name="Comma 31 2 2 5" xfId="24327"/>
    <cellStyle name="Comma 31 2 3" xfId="17003"/>
    <cellStyle name="Comma 31 2 3 2" xfId="24328"/>
    <cellStyle name="Comma 31 2 3 2 2" xfId="24329"/>
    <cellStyle name="Comma 31 2 3 2 2 2" xfId="24330"/>
    <cellStyle name="Comma 31 2 3 2 3" xfId="24331"/>
    <cellStyle name="Comma 31 2 3 3" xfId="24332"/>
    <cellStyle name="Comma 31 2 3 3 2" xfId="24333"/>
    <cellStyle name="Comma 31 2 3 4" xfId="24334"/>
    <cellStyle name="Comma 31 2 4" xfId="24335"/>
    <cellStyle name="Comma 31 2 4 2" xfId="24336"/>
    <cellStyle name="Comma 31 2 4 2 2" xfId="24337"/>
    <cellStyle name="Comma 31 2 4 3" xfId="24338"/>
    <cellStyle name="Comma 31 2 5" xfId="24339"/>
    <cellStyle name="Comma 31 2 5 2" xfId="24340"/>
    <cellStyle name="Comma 31 2 6" xfId="24341"/>
    <cellStyle name="Comma 31 3" xfId="17004"/>
    <cellStyle name="Comma 31 3 2" xfId="17005"/>
    <cellStyle name="Comma 31 3 2 2" xfId="24342"/>
    <cellStyle name="Comma 31 3 2 2 2" xfId="24343"/>
    <cellStyle name="Comma 31 3 2 2 2 2" xfId="24344"/>
    <cellStyle name="Comma 31 3 2 2 3" xfId="24345"/>
    <cellStyle name="Comma 31 3 2 3" xfId="24346"/>
    <cellStyle name="Comma 31 3 2 3 2" xfId="24347"/>
    <cellStyle name="Comma 31 3 2 4" xfId="24348"/>
    <cellStyle name="Comma 31 3 3" xfId="24349"/>
    <cellStyle name="Comma 31 3 3 2" xfId="24350"/>
    <cellStyle name="Comma 31 3 3 2 2" xfId="24351"/>
    <cellStyle name="Comma 31 3 3 3" xfId="24352"/>
    <cellStyle name="Comma 31 3 4" xfId="24353"/>
    <cellStyle name="Comma 31 3 4 2" xfId="24354"/>
    <cellStyle name="Comma 31 3 5" xfId="24355"/>
    <cellStyle name="Comma 31 4" xfId="17006"/>
    <cellStyle name="Comma 31 4 2" xfId="24356"/>
    <cellStyle name="Comma 31 4 2 2" xfId="24357"/>
    <cellStyle name="Comma 31 4 2 2 2" xfId="24358"/>
    <cellStyle name="Comma 31 4 2 3" xfId="24359"/>
    <cellStyle name="Comma 31 4 3" xfId="24360"/>
    <cellStyle name="Comma 31 4 3 2" xfId="24361"/>
    <cellStyle name="Comma 31 4 4" xfId="24362"/>
    <cellStyle name="Comma 31 5" xfId="17007"/>
    <cellStyle name="Comma 31 5 2" xfId="24363"/>
    <cellStyle name="Comma 31 5 2 2" xfId="24364"/>
    <cellStyle name="Comma 31 5 3" xfId="24365"/>
    <cellStyle name="Comma 31 6" xfId="19204"/>
    <cellStyle name="Comma 31 6 2" xfId="24366"/>
    <cellStyle name="Comma 31 7" xfId="24367"/>
    <cellStyle name="Comma 32" xfId="17008"/>
    <cellStyle name="Comma 32 2" xfId="17009"/>
    <cellStyle name="Comma 32 2 2" xfId="17010"/>
    <cellStyle name="Comma 32 2 2 2" xfId="17011"/>
    <cellStyle name="Comma 32 2 2 2 2" xfId="24368"/>
    <cellStyle name="Comma 32 2 2 2 2 2" xfId="24369"/>
    <cellStyle name="Comma 32 2 2 2 2 2 2" xfId="24370"/>
    <cellStyle name="Comma 32 2 2 2 2 3" xfId="24371"/>
    <cellStyle name="Comma 32 2 2 2 3" xfId="24372"/>
    <cellStyle name="Comma 32 2 2 2 3 2" xfId="24373"/>
    <cellStyle name="Comma 32 2 2 2 4" xfId="24374"/>
    <cellStyle name="Comma 32 2 2 3" xfId="24375"/>
    <cellStyle name="Comma 32 2 2 3 2" xfId="24376"/>
    <cellStyle name="Comma 32 2 2 3 2 2" xfId="24377"/>
    <cellStyle name="Comma 32 2 2 3 3" xfId="24378"/>
    <cellStyle name="Comma 32 2 2 4" xfId="24379"/>
    <cellStyle name="Comma 32 2 2 4 2" xfId="24380"/>
    <cellStyle name="Comma 32 2 2 5" xfId="24381"/>
    <cellStyle name="Comma 32 2 3" xfId="17012"/>
    <cellStyle name="Comma 32 2 3 2" xfId="24382"/>
    <cellStyle name="Comma 32 2 3 2 2" xfId="24383"/>
    <cellStyle name="Comma 32 2 3 2 2 2" xfId="24384"/>
    <cellStyle name="Comma 32 2 3 2 3" xfId="24385"/>
    <cellStyle name="Comma 32 2 3 3" xfId="24386"/>
    <cellStyle name="Comma 32 2 3 3 2" xfId="24387"/>
    <cellStyle name="Comma 32 2 3 4" xfId="24388"/>
    <cellStyle name="Comma 32 2 4" xfId="24389"/>
    <cellStyle name="Comma 32 2 4 2" xfId="24390"/>
    <cellStyle name="Comma 32 2 4 2 2" xfId="24391"/>
    <cellStyle name="Comma 32 2 4 3" xfId="24392"/>
    <cellStyle name="Comma 32 2 5" xfId="24393"/>
    <cellStyle name="Comma 32 2 5 2" xfId="24394"/>
    <cellStyle name="Comma 32 2 6" xfId="24395"/>
    <cellStyle name="Comma 32 3" xfId="17013"/>
    <cellStyle name="Comma 32 3 2" xfId="17014"/>
    <cellStyle name="Comma 32 3 2 2" xfId="24396"/>
    <cellStyle name="Comma 32 3 2 2 2" xfId="24397"/>
    <cellStyle name="Comma 32 3 2 2 2 2" xfId="24398"/>
    <cellStyle name="Comma 32 3 2 2 3" xfId="24399"/>
    <cellStyle name="Comma 32 3 2 3" xfId="24400"/>
    <cellStyle name="Comma 32 3 2 3 2" xfId="24401"/>
    <cellStyle name="Comma 32 3 2 4" xfId="24402"/>
    <cellStyle name="Comma 32 3 3" xfId="24403"/>
    <cellStyle name="Comma 32 3 3 2" xfId="24404"/>
    <cellStyle name="Comma 32 3 3 2 2" xfId="24405"/>
    <cellStyle name="Comma 32 3 3 3" xfId="24406"/>
    <cellStyle name="Comma 32 3 4" xfId="24407"/>
    <cellStyle name="Comma 32 3 4 2" xfId="24408"/>
    <cellStyle name="Comma 32 3 5" xfId="24409"/>
    <cellStyle name="Comma 32 4" xfId="17015"/>
    <cellStyle name="Comma 32 4 2" xfId="24410"/>
    <cellStyle name="Comma 32 4 2 2" xfId="24411"/>
    <cellStyle name="Comma 32 4 2 2 2" xfId="24412"/>
    <cellStyle name="Comma 32 4 2 3" xfId="24413"/>
    <cellStyle name="Comma 32 4 3" xfId="24414"/>
    <cellStyle name="Comma 32 4 3 2" xfId="24415"/>
    <cellStyle name="Comma 32 4 4" xfId="24416"/>
    <cellStyle name="Comma 32 5" xfId="17016"/>
    <cellStyle name="Comma 32 5 2" xfId="24417"/>
    <cellStyle name="Comma 32 5 2 2" xfId="24418"/>
    <cellStyle name="Comma 32 5 3" xfId="24419"/>
    <cellStyle name="Comma 32 6" xfId="19205"/>
    <cellStyle name="Comma 32 6 2" xfId="24420"/>
    <cellStyle name="Comma 32 7" xfId="24421"/>
    <cellStyle name="Comma 33" xfId="17017"/>
    <cellStyle name="Comma 33 2" xfId="17018"/>
    <cellStyle name="Comma 33 2 2" xfId="17019"/>
    <cellStyle name="Comma 33 2 2 2" xfId="17020"/>
    <cellStyle name="Comma 33 2 2 2 2" xfId="24422"/>
    <cellStyle name="Comma 33 2 2 2 2 2" xfId="24423"/>
    <cellStyle name="Comma 33 2 2 2 2 2 2" xfId="24424"/>
    <cellStyle name="Comma 33 2 2 2 2 3" xfId="24425"/>
    <cellStyle name="Comma 33 2 2 2 3" xfId="24426"/>
    <cellStyle name="Comma 33 2 2 2 3 2" xfId="24427"/>
    <cellStyle name="Comma 33 2 2 2 4" xfId="24428"/>
    <cellStyle name="Comma 33 2 2 3" xfId="24429"/>
    <cellStyle name="Comma 33 2 2 3 2" xfId="24430"/>
    <cellStyle name="Comma 33 2 2 3 2 2" xfId="24431"/>
    <cellStyle name="Comma 33 2 2 3 3" xfId="24432"/>
    <cellStyle name="Comma 33 2 2 4" xfId="24433"/>
    <cellStyle name="Comma 33 2 2 4 2" xfId="24434"/>
    <cellStyle name="Comma 33 2 2 5" xfId="24435"/>
    <cellStyle name="Comma 33 2 3" xfId="17021"/>
    <cellStyle name="Comma 33 2 3 2" xfId="24436"/>
    <cellStyle name="Comma 33 2 3 2 2" xfId="24437"/>
    <cellStyle name="Comma 33 2 3 2 2 2" xfId="24438"/>
    <cellStyle name="Comma 33 2 3 2 3" xfId="24439"/>
    <cellStyle name="Comma 33 2 3 3" xfId="24440"/>
    <cellStyle name="Comma 33 2 3 3 2" xfId="24441"/>
    <cellStyle name="Comma 33 2 3 4" xfId="24442"/>
    <cellStyle name="Comma 33 2 4" xfId="24443"/>
    <cellStyle name="Comma 33 2 4 2" xfId="24444"/>
    <cellStyle name="Comma 33 2 4 2 2" xfId="24445"/>
    <cellStyle name="Comma 33 2 4 3" xfId="24446"/>
    <cellStyle name="Comma 33 2 5" xfId="24447"/>
    <cellStyle name="Comma 33 2 5 2" xfId="24448"/>
    <cellStyle name="Comma 33 2 6" xfId="24449"/>
    <cellStyle name="Comma 33 3" xfId="17022"/>
    <cellStyle name="Comma 33 3 2" xfId="17023"/>
    <cellStyle name="Comma 33 3 2 2" xfId="24450"/>
    <cellStyle name="Comma 33 3 2 2 2" xfId="24451"/>
    <cellStyle name="Comma 33 3 2 2 2 2" xfId="24452"/>
    <cellStyle name="Comma 33 3 2 2 3" xfId="24453"/>
    <cellStyle name="Comma 33 3 2 3" xfId="24454"/>
    <cellStyle name="Comma 33 3 2 3 2" xfId="24455"/>
    <cellStyle name="Comma 33 3 2 4" xfId="24456"/>
    <cellStyle name="Comma 33 3 3" xfId="24457"/>
    <cellStyle name="Comma 33 3 3 2" xfId="24458"/>
    <cellStyle name="Comma 33 3 3 2 2" xfId="24459"/>
    <cellStyle name="Comma 33 3 3 3" xfId="24460"/>
    <cellStyle name="Comma 33 3 4" xfId="24461"/>
    <cellStyle name="Comma 33 3 4 2" xfId="24462"/>
    <cellStyle name="Comma 33 3 5" xfId="24463"/>
    <cellStyle name="Comma 33 4" xfId="17024"/>
    <cellStyle name="Comma 33 4 2" xfId="24464"/>
    <cellStyle name="Comma 33 4 2 2" xfId="24465"/>
    <cellStyle name="Comma 33 4 2 2 2" xfId="24466"/>
    <cellStyle name="Comma 33 4 2 3" xfId="24467"/>
    <cellStyle name="Comma 33 4 3" xfId="24468"/>
    <cellStyle name="Comma 33 4 3 2" xfId="24469"/>
    <cellStyle name="Comma 33 4 4" xfId="24470"/>
    <cellStyle name="Comma 33 5" xfId="17025"/>
    <cellStyle name="Comma 33 5 2" xfId="24471"/>
    <cellStyle name="Comma 33 5 2 2" xfId="24472"/>
    <cellStyle name="Comma 33 5 3" xfId="24473"/>
    <cellStyle name="Comma 33 6" xfId="19206"/>
    <cellStyle name="Comma 33 6 2" xfId="24474"/>
    <cellStyle name="Comma 33 7" xfId="24475"/>
    <cellStyle name="Comma 34" xfId="17026"/>
    <cellStyle name="Comma 34 2" xfId="17027"/>
    <cellStyle name="Comma 35" xfId="17028"/>
    <cellStyle name="Comma 35 2" xfId="17029"/>
    <cellStyle name="Comma 35 2 2" xfId="17030"/>
    <cellStyle name="Comma 35 2 2 2" xfId="17031"/>
    <cellStyle name="Comma 35 2 2 2 2" xfId="24476"/>
    <cellStyle name="Comma 35 2 2 2 2 2" xfId="24477"/>
    <cellStyle name="Comma 35 2 2 2 2 2 2" xfId="24478"/>
    <cellStyle name="Comma 35 2 2 2 2 3" xfId="24479"/>
    <cellStyle name="Comma 35 2 2 2 3" xfId="24480"/>
    <cellStyle name="Comma 35 2 2 2 3 2" xfId="24481"/>
    <cellStyle name="Comma 35 2 2 2 4" xfId="24482"/>
    <cellStyle name="Comma 35 2 2 3" xfId="24483"/>
    <cellStyle name="Comma 35 2 2 3 2" xfId="24484"/>
    <cellStyle name="Comma 35 2 2 3 2 2" xfId="24485"/>
    <cellStyle name="Comma 35 2 2 3 3" xfId="24486"/>
    <cellStyle name="Comma 35 2 2 4" xfId="24487"/>
    <cellStyle name="Comma 35 2 2 4 2" xfId="24488"/>
    <cellStyle name="Comma 35 2 2 5" xfId="24489"/>
    <cellStyle name="Comma 35 2 3" xfId="17032"/>
    <cellStyle name="Comma 35 2 3 2" xfId="24490"/>
    <cellStyle name="Comma 35 2 3 2 2" xfId="24491"/>
    <cellStyle name="Comma 35 2 3 2 2 2" xfId="24492"/>
    <cellStyle name="Comma 35 2 3 2 3" xfId="24493"/>
    <cellStyle name="Comma 35 2 3 3" xfId="24494"/>
    <cellStyle name="Comma 35 2 3 3 2" xfId="24495"/>
    <cellStyle name="Comma 35 2 3 4" xfId="24496"/>
    <cellStyle name="Comma 35 2 4" xfId="24497"/>
    <cellStyle name="Comma 35 2 4 2" xfId="24498"/>
    <cellStyle name="Comma 35 2 4 2 2" xfId="24499"/>
    <cellStyle name="Comma 35 2 4 3" xfId="24500"/>
    <cellStyle name="Comma 35 2 5" xfId="24501"/>
    <cellStyle name="Comma 35 2 5 2" xfId="24502"/>
    <cellStyle name="Comma 35 2 6" xfId="24503"/>
    <cellStyle name="Comma 35 3" xfId="17033"/>
    <cellStyle name="Comma 35 3 2" xfId="17034"/>
    <cellStyle name="Comma 35 3 2 2" xfId="24504"/>
    <cellStyle name="Comma 35 3 2 2 2" xfId="24505"/>
    <cellStyle name="Comma 35 3 2 2 2 2" xfId="24506"/>
    <cellStyle name="Comma 35 3 2 2 3" xfId="24507"/>
    <cellStyle name="Comma 35 3 2 3" xfId="24508"/>
    <cellStyle name="Comma 35 3 2 3 2" xfId="24509"/>
    <cellStyle name="Comma 35 3 2 4" xfId="24510"/>
    <cellStyle name="Comma 35 3 3" xfId="24511"/>
    <cellStyle name="Comma 35 3 3 2" xfId="24512"/>
    <cellStyle name="Comma 35 3 3 2 2" xfId="24513"/>
    <cellStyle name="Comma 35 3 3 3" xfId="24514"/>
    <cellStyle name="Comma 35 3 4" xfId="24515"/>
    <cellStyle name="Comma 35 3 4 2" xfId="24516"/>
    <cellStyle name="Comma 35 3 5" xfId="24517"/>
    <cellStyle name="Comma 35 4" xfId="17035"/>
    <cellStyle name="Comma 35 4 2" xfId="24518"/>
    <cellStyle name="Comma 35 4 2 2" xfId="24519"/>
    <cellStyle name="Comma 35 4 2 2 2" xfId="24520"/>
    <cellStyle name="Comma 35 4 2 3" xfId="24521"/>
    <cellStyle name="Comma 35 4 3" xfId="24522"/>
    <cellStyle name="Comma 35 4 3 2" xfId="24523"/>
    <cellStyle name="Comma 35 4 4" xfId="24524"/>
    <cellStyle name="Comma 35 5" xfId="17036"/>
    <cellStyle name="Comma 35 5 2" xfId="24525"/>
    <cellStyle name="Comma 35 5 2 2" xfId="24526"/>
    <cellStyle name="Comma 35 5 3" xfId="24527"/>
    <cellStyle name="Comma 35 6" xfId="19207"/>
    <cellStyle name="Comma 35 6 2" xfId="24528"/>
    <cellStyle name="Comma 35 7" xfId="24529"/>
    <cellStyle name="Comma 36" xfId="17037"/>
    <cellStyle name="Comma 36 2" xfId="17038"/>
    <cellStyle name="Comma 36 3" xfId="24530"/>
    <cellStyle name="Comma 37" xfId="17039"/>
    <cellStyle name="Comma 38" xfId="17040"/>
    <cellStyle name="Comma 38 2" xfId="17041"/>
    <cellStyle name="Comma 38 2 2" xfId="17042"/>
    <cellStyle name="Comma 38 2 2 2" xfId="24531"/>
    <cellStyle name="Comma 38 2 2 2 2" xfId="24532"/>
    <cellStyle name="Comma 38 2 2 2 2 2" xfId="24533"/>
    <cellStyle name="Comma 38 2 2 2 3" xfId="24534"/>
    <cellStyle name="Comma 38 2 2 3" xfId="24535"/>
    <cellStyle name="Comma 38 2 2 3 2" xfId="24536"/>
    <cellStyle name="Comma 38 2 2 4" xfId="24537"/>
    <cellStyle name="Comma 38 2 3" xfId="24538"/>
    <cellStyle name="Comma 38 2 3 2" xfId="24539"/>
    <cellStyle name="Comma 38 2 3 2 2" xfId="24540"/>
    <cellStyle name="Comma 38 2 3 3" xfId="24541"/>
    <cellStyle name="Comma 38 2 4" xfId="24542"/>
    <cellStyle name="Comma 38 2 4 2" xfId="24543"/>
    <cellStyle name="Comma 38 2 5" xfId="24544"/>
    <cellStyle name="Comma 38 3" xfId="17043"/>
    <cellStyle name="Comma 38 3 2" xfId="24545"/>
    <cellStyle name="Comma 38 3 2 2" xfId="24546"/>
    <cellStyle name="Comma 38 3 2 2 2" xfId="24547"/>
    <cellStyle name="Comma 38 3 2 3" xfId="24548"/>
    <cellStyle name="Comma 38 3 3" xfId="24549"/>
    <cellStyle name="Comma 38 3 3 2" xfId="24550"/>
    <cellStyle name="Comma 38 3 4" xfId="24551"/>
    <cellStyle name="Comma 38 4" xfId="17044"/>
    <cellStyle name="Comma 38 4 2" xfId="24552"/>
    <cellStyle name="Comma 38 4 2 2" xfId="24553"/>
    <cellStyle name="Comma 38 4 3" xfId="24554"/>
    <cellStyle name="Comma 38 5" xfId="24555"/>
    <cellStyle name="Comma 38 5 2" xfId="24556"/>
    <cellStyle name="Comma 38 6" xfId="24557"/>
    <cellStyle name="Comma 39" xfId="17045"/>
    <cellStyle name="Comma 39 2" xfId="24558"/>
    <cellStyle name="Comma 4" xfId="48"/>
    <cellStyle name="Comma 4 2" xfId="6283"/>
    <cellStyle name="Comma 4 2 2" xfId="6284"/>
    <cellStyle name="Comma 4 2 2 2" xfId="6285"/>
    <cellStyle name="Comma 4 2 2 3" xfId="24559"/>
    <cellStyle name="Comma 4 2 2 4" xfId="24560"/>
    <cellStyle name="Comma 4 2 2 5" xfId="24561"/>
    <cellStyle name="Comma 4 2 3" xfId="6286"/>
    <cellStyle name="Comma 4 2 4" xfId="19208"/>
    <cellStyle name="Comma 4 2 5" xfId="24562"/>
    <cellStyle name="Comma 4 3" xfId="6287"/>
    <cellStyle name="Comma 4 3 2" xfId="6288"/>
    <cellStyle name="Comma 4 3 3" xfId="19209"/>
    <cellStyle name="Comma 4 4" xfId="6289"/>
    <cellStyle name="Comma 4 4 2" xfId="6290"/>
    <cellStyle name="Comma 4 4 3" xfId="24563"/>
    <cellStyle name="Comma 4 5" xfId="6291"/>
    <cellStyle name="Comma 4 5 2" xfId="24564"/>
    <cellStyle name="Comma 4 5 3" xfId="24565"/>
    <cellStyle name="Comma 4 6" xfId="6292"/>
    <cellStyle name="Comma 4 6 2" xfId="24566"/>
    <cellStyle name="Comma 4 7" xfId="24567"/>
    <cellStyle name="Comma 4 7 2" xfId="24568"/>
    <cellStyle name="Comma 40" xfId="17046"/>
    <cellStyle name="Comma 40 2" xfId="17047"/>
    <cellStyle name="Comma 40 2 2" xfId="24569"/>
    <cellStyle name="Comma 40 2 2 2" xfId="24570"/>
    <cellStyle name="Comma 40 2 2 2 2" xfId="24571"/>
    <cellStyle name="Comma 40 2 2 3" xfId="24572"/>
    <cellStyle name="Comma 40 2 3" xfId="24573"/>
    <cellStyle name="Comma 40 2 3 2" xfId="24574"/>
    <cellStyle name="Comma 40 2 4" xfId="24575"/>
    <cellStyle name="Comma 40 3" xfId="24576"/>
    <cellStyle name="Comma 40 3 2" xfId="24577"/>
    <cellStyle name="Comma 40 3 2 2" xfId="24578"/>
    <cellStyle name="Comma 40 3 3" xfId="24579"/>
    <cellStyle name="Comma 40 4" xfId="24580"/>
    <cellStyle name="Comma 40 4 2" xfId="24581"/>
    <cellStyle name="Comma 40 5" xfId="24582"/>
    <cellStyle name="Comma 41" xfId="16666"/>
    <cellStyle name="Comma 41 2" xfId="17048"/>
    <cellStyle name="Comma 41 2 2" xfId="24583"/>
    <cellStyle name="Comma 41 2 2 2" xfId="24584"/>
    <cellStyle name="Comma 41 2 2 2 2" xfId="24585"/>
    <cellStyle name="Comma 41 2 2 3" xfId="24586"/>
    <cellStyle name="Comma 41 2 3" xfId="24587"/>
    <cellStyle name="Comma 41 2 3 2" xfId="24588"/>
    <cellStyle name="Comma 41 2 4" xfId="24589"/>
    <cellStyle name="Comma 41 2 5" xfId="24590"/>
    <cellStyle name="Comma 41 3" xfId="24591"/>
    <cellStyle name="Comma 41 3 2" xfId="24592"/>
    <cellStyle name="Comma 41 3 2 2" xfId="24593"/>
    <cellStyle name="Comma 41 3 3" xfId="24594"/>
    <cellStyle name="Comma 41 4" xfId="24595"/>
    <cellStyle name="Comma 41 4 2" xfId="24596"/>
    <cellStyle name="Comma 41 5" xfId="24597"/>
    <cellStyle name="Comma 42" xfId="17049"/>
    <cellStyle name="Comma 42 2" xfId="17050"/>
    <cellStyle name="Comma 43" xfId="17051"/>
    <cellStyle name="Comma 43 2" xfId="17052"/>
    <cellStyle name="Comma 43 2 2" xfId="24598"/>
    <cellStyle name="Comma 43 2 2 2" xfId="24599"/>
    <cellStyle name="Comma 43 2 2 2 2" xfId="24600"/>
    <cellStyle name="Comma 43 2 2 3" xfId="24601"/>
    <cellStyle name="Comma 43 2 3" xfId="24602"/>
    <cellStyle name="Comma 43 2 3 2" xfId="24603"/>
    <cellStyle name="Comma 43 2 4" xfId="24604"/>
    <cellStyle name="Comma 43 3" xfId="24605"/>
    <cellStyle name="Comma 43 3 2" xfId="24606"/>
    <cellStyle name="Comma 43 3 2 2" xfId="24607"/>
    <cellStyle name="Comma 43 3 3" xfId="24608"/>
    <cellStyle name="Comma 43 4" xfId="24609"/>
    <cellStyle name="Comma 43 4 2" xfId="24610"/>
    <cellStyle name="Comma 43 5" xfId="24611"/>
    <cellStyle name="Comma 44" xfId="17053"/>
    <cellStyle name="Comma 44 2" xfId="17054"/>
    <cellStyle name="Comma 45" xfId="17055"/>
    <cellStyle name="Comma 45 2" xfId="17056"/>
    <cellStyle name="Comma 46" xfId="17057"/>
    <cellStyle name="Comma 46 2" xfId="17058"/>
    <cellStyle name="Comma 46 3" xfId="24612"/>
    <cellStyle name="Comma 47" xfId="17059"/>
    <cellStyle name="Comma 47 2" xfId="24613"/>
    <cellStyle name="Comma 47 2 2" xfId="24614"/>
    <cellStyle name="Comma 47 2 2 2" xfId="24615"/>
    <cellStyle name="Comma 47 2 3" xfId="24616"/>
    <cellStyle name="Comma 47 3" xfId="24617"/>
    <cellStyle name="Comma 47 3 2" xfId="24618"/>
    <cellStyle name="Comma 47 4" xfId="24619"/>
    <cellStyle name="Comma 47 5" xfId="24620"/>
    <cellStyle name="Comma 48" xfId="17060"/>
    <cellStyle name="Comma 48 2" xfId="24621"/>
    <cellStyle name="Comma 48 2 2" xfId="24622"/>
    <cellStyle name="Comma 48 2 2 2" xfId="24623"/>
    <cellStyle name="Comma 48 2 3" xfId="24624"/>
    <cellStyle name="Comma 48 3" xfId="24625"/>
    <cellStyle name="Comma 48 3 2" xfId="24626"/>
    <cellStyle name="Comma 48 4" xfId="24627"/>
    <cellStyle name="Comma 49" xfId="17061"/>
    <cellStyle name="Comma 49 2" xfId="24628"/>
    <cellStyle name="Comma 5" xfId="49"/>
    <cellStyle name="Comma 5 2" xfId="6293"/>
    <cellStyle name="Comma 5 2 2" xfId="6294"/>
    <cellStyle name="Comma 5 2 2 2" xfId="6295"/>
    <cellStyle name="Comma 5 2 2 3" xfId="24629"/>
    <cellStyle name="Comma 5 2 2 4" xfId="24630"/>
    <cellStyle name="Comma 5 2 3" xfId="6296"/>
    <cellStyle name="Comma 5 2 4" xfId="19210"/>
    <cellStyle name="Comma 5 2 5" xfId="24631"/>
    <cellStyle name="Comma 5 2 6" xfId="24632"/>
    <cellStyle name="Comma 5 2 7" xfId="24633"/>
    <cellStyle name="Comma 5 3" xfId="6297"/>
    <cellStyle name="Comma 5 3 2" xfId="6298"/>
    <cellStyle name="Comma 5 3 2 2" xfId="24634"/>
    <cellStyle name="Comma 5 3 2 3" xfId="24635"/>
    <cellStyle name="Comma 5 3 3" xfId="19211"/>
    <cellStyle name="Comma 5 3 4" xfId="24636"/>
    <cellStyle name="Comma 5 3 5" xfId="24637"/>
    <cellStyle name="Comma 5 4" xfId="6299"/>
    <cellStyle name="Comma 5 4 2" xfId="24638"/>
    <cellStyle name="Comma 5 5" xfId="6300"/>
    <cellStyle name="Comma 5 5 2" xfId="24639"/>
    <cellStyle name="Comma 5 5 2 2" xfId="24640"/>
    <cellStyle name="Comma 5 5 2 2 2" xfId="24641"/>
    <cellStyle name="Comma 5 5 2 3" xfId="24642"/>
    <cellStyle name="Comma 5 5 3" xfId="24643"/>
    <cellStyle name="Comma 5 5 3 2" xfId="24644"/>
    <cellStyle name="Comma 5 5 4" xfId="24645"/>
    <cellStyle name="Comma 5 5 5" xfId="24646"/>
    <cellStyle name="Comma 5 6" xfId="17062"/>
    <cellStyle name="Comma 5 6 2" xfId="24647"/>
    <cellStyle name="Comma 50" xfId="17063"/>
    <cellStyle name="Comma 50 2" xfId="24648"/>
    <cellStyle name="Comma 51" xfId="17064"/>
    <cellStyle name="Comma 51 2" xfId="24649"/>
    <cellStyle name="Comma 51 2 2" xfId="24650"/>
    <cellStyle name="Comma 51 2 2 2" xfId="24651"/>
    <cellStyle name="Comma 51 2 3" xfId="24652"/>
    <cellStyle name="Comma 51 3" xfId="24653"/>
    <cellStyle name="Comma 51 3 2" xfId="24654"/>
    <cellStyle name="Comma 51 4" xfId="24655"/>
    <cellStyle name="Comma 52" xfId="16676"/>
    <cellStyle name="Comma 52 2" xfId="24656"/>
    <cellStyle name="Comma 52 2 2" xfId="24657"/>
    <cellStyle name="Comma 52 2 2 2" xfId="24658"/>
    <cellStyle name="Comma 52 2 3" xfId="24659"/>
    <cellStyle name="Comma 52 3" xfId="24660"/>
    <cellStyle name="Comma 52 3 2" xfId="24661"/>
    <cellStyle name="Comma 52 4" xfId="24662"/>
    <cellStyle name="Comma 53" xfId="24663"/>
    <cellStyle name="Comma 53 2" xfId="24664"/>
    <cellStyle name="Comma 53 2 2" xfId="24665"/>
    <cellStyle name="Comma 53 2 2 2" xfId="24666"/>
    <cellStyle name="Comma 53 2 3" xfId="24667"/>
    <cellStyle name="Comma 53 3" xfId="24668"/>
    <cellStyle name="Comma 53 3 2" xfId="24669"/>
    <cellStyle name="Comma 53 4" xfId="24670"/>
    <cellStyle name="Comma 54" xfId="24671"/>
    <cellStyle name="Comma 54 2" xfId="24672"/>
    <cellStyle name="Comma 55" xfId="24673"/>
    <cellStyle name="Comma 55 2" xfId="24674"/>
    <cellStyle name="Comma 55 2 2" xfId="24675"/>
    <cellStyle name="Comma 55 2 2 2" xfId="24676"/>
    <cellStyle name="Comma 55 2 3" xfId="24677"/>
    <cellStyle name="Comma 55 3" xfId="24678"/>
    <cellStyle name="Comma 55 3 2" xfId="24679"/>
    <cellStyle name="Comma 55 4" xfId="24680"/>
    <cellStyle name="Comma 56" xfId="24681"/>
    <cellStyle name="Comma 56 2" xfId="24682"/>
    <cellStyle name="Comma 57" xfId="24683"/>
    <cellStyle name="Comma 58" xfId="24684"/>
    <cellStyle name="Comma 58 2" xfId="24685"/>
    <cellStyle name="Comma 59" xfId="24686"/>
    <cellStyle name="Comma 6" xfId="50"/>
    <cellStyle name="Comma 6 2" xfId="6301"/>
    <cellStyle name="Comma 6 2 10" xfId="19212"/>
    <cellStyle name="Comma 6 2 10 2" xfId="24687"/>
    <cellStyle name="Comma 6 2 11" xfId="24688"/>
    <cellStyle name="Comma 6 2 12" xfId="24689"/>
    <cellStyle name="Comma 6 2 2" xfId="6302"/>
    <cellStyle name="Comma 6 2 2 10" xfId="24690"/>
    <cellStyle name="Comma 6 2 2 2" xfId="17065"/>
    <cellStyle name="Comma 6 2 2 2 2" xfId="17066"/>
    <cellStyle name="Comma 6 2 2 2 2 2" xfId="17067"/>
    <cellStyle name="Comma 6 2 2 2 2 2 2" xfId="17068"/>
    <cellStyle name="Comma 6 2 2 2 2 2 2 2" xfId="24691"/>
    <cellStyle name="Comma 6 2 2 2 2 2 2 2 2" xfId="24692"/>
    <cellStyle name="Comma 6 2 2 2 2 2 2 2 2 2" xfId="24693"/>
    <cellStyle name="Comma 6 2 2 2 2 2 2 2 3" xfId="24694"/>
    <cellStyle name="Comma 6 2 2 2 2 2 2 3" xfId="24695"/>
    <cellStyle name="Comma 6 2 2 2 2 2 2 3 2" xfId="24696"/>
    <cellStyle name="Comma 6 2 2 2 2 2 2 4" xfId="24697"/>
    <cellStyle name="Comma 6 2 2 2 2 2 3" xfId="24698"/>
    <cellStyle name="Comma 6 2 2 2 2 2 3 2" xfId="24699"/>
    <cellStyle name="Comma 6 2 2 2 2 2 3 2 2" xfId="24700"/>
    <cellStyle name="Comma 6 2 2 2 2 2 3 3" xfId="24701"/>
    <cellStyle name="Comma 6 2 2 2 2 2 4" xfId="24702"/>
    <cellStyle name="Comma 6 2 2 2 2 2 4 2" xfId="24703"/>
    <cellStyle name="Comma 6 2 2 2 2 2 5" xfId="24704"/>
    <cellStyle name="Comma 6 2 2 2 2 3" xfId="17069"/>
    <cellStyle name="Comma 6 2 2 2 2 3 2" xfId="24705"/>
    <cellStyle name="Comma 6 2 2 2 2 3 2 2" xfId="24706"/>
    <cellStyle name="Comma 6 2 2 2 2 3 2 2 2" xfId="24707"/>
    <cellStyle name="Comma 6 2 2 2 2 3 2 3" xfId="24708"/>
    <cellStyle name="Comma 6 2 2 2 2 3 3" xfId="24709"/>
    <cellStyle name="Comma 6 2 2 2 2 3 3 2" xfId="24710"/>
    <cellStyle name="Comma 6 2 2 2 2 3 4" xfId="24711"/>
    <cellStyle name="Comma 6 2 2 2 2 4" xfId="24712"/>
    <cellStyle name="Comma 6 2 2 2 2 4 2" xfId="24713"/>
    <cellStyle name="Comma 6 2 2 2 2 4 2 2" xfId="24714"/>
    <cellStyle name="Comma 6 2 2 2 2 4 3" xfId="24715"/>
    <cellStyle name="Comma 6 2 2 2 2 5" xfId="24716"/>
    <cellStyle name="Comma 6 2 2 2 2 5 2" xfId="24717"/>
    <cellStyle name="Comma 6 2 2 2 2 6" xfId="24718"/>
    <cellStyle name="Comma 6 2 2 2 3" xfId="17070"/>
    <cellStyle name="Comma 6 2 2 2 3 2" xfId="17071"/>
    <cellStyle name="Comma 6 2 2 2 3 2 2" xfId="24719"/>
    <cellStyle name="Comma 6 2 2 2 3 2 2 2" xfId="24720"/>
    <cellStyle name="Comma 6 2 2 2 3 2 2 2 2" xfId="24721"/>
    <cellStyle name="Comma 6 2 2 2 3 2 2 3" xfId="24722"/>
    <cellStyle name="Comma 6 2 2 2 3 2 3" xfId="24723"/>
    <cellStyle name="Comma 6 2 2 2 3 2 3 2" xfId="24724"/>
    <cellStyle name="Comma 6 2 2 2 3 2 4" xfId="24725"/>
    <cellStyle name="Comma 6 2 2 2 3 3" xfId="24726"/>
    <cellStyle name="Comma 6 2 2 2 3 3 2" xfId="24727"/>
    <cellStyle name="Comma 6 2 2 2 3 3 2 2" xfId="24728"/>
    <cellStyle name="Comma 6 2 2 2 3 3 3" xfId="24729"/>
    <cellStyle name="Comma 6 2 2 2 3 4" xfId="24730"/>
    <cellStyle name="Comma 6 2 2 2 3 4 2" xfId="24731"/>
    <cellStyle name="Comma 6 2 2 2 3 5" xfId="24732"/>
    <cellStyle name="Comma 6 2 2 2 4" xfId="17072"/>
    <cellStyle name="Comma 6 2 2 2 4 2" xfId="24733"/>
    <cellStyle name="Comma 6 2 2 2 4 2 2" xfId="24734"/>
    <cellStyle name="Comma 6 2 2 2 4 2 2 2" xfId="24735"/>
    <cellStyle name="Comma 6 2 2 2 4 2 3" xfId="24736"/>
    <cellStyle name="Comma 6 2 2 2 4 3" xfId="24737"/>
    <cellStyle name="Comma 6 2 2 2 4 3 2" xfId="24738"/>
    <cellStyle name="Comma 6 2 2 2 4 4" xfId="24739"/>
    <cellStyle name="Comma 6 2 2 2 5" xfId="17073"/>
    <cellStyle name="Comma 6 2 2 2 5 2" xfId="24740"/>
    <cellStyle name="Comma 6 2 2 2 5 2 2" xfId="24741"/>
    <cellStyle name="Comma 6 2 2 2 5 3" xfId="24742"/>
    <cellStyle name="Comma 6 2 2 2 6" xfId="19214"/>
    <cellStyle name="Comma 6 2 2 2 6 2" xfId="24743"/>
    <cellStyle name="Comma 6 2 2 2 7" xfId="24744"/>
    <cellStyle name="Comma 6 2 2 3" xfId="17074"/>
    <cellStyle name="Comma 6 2 2 3 2" xfId="17075"/>
    <cellStyle name="Comma 6 2 2 3 2 2" xfId="17076"/>
    <cellStyle name="Comma 6 2 2 3 2 2 2" xfId="24745"/>
    <cellStyle name="Comma 6 2 2 3 2 2 2 2" xfId="24746"/>
    <cellStyle name="Comma 6 2 2 3 2 2 2 2 2" xfId="24747"/>
    <cellStyle name="Comma 6 2 2 3 2 2 2 3" xfId="24748"/>
    <cellStyle name="Comma 6 2 2 3 2 2 3" xfId="24749"/>
    <cellStyle name="Comma 6 2 2 3 2 2 3 2" xfId="24750"/>
    <cellStyle name="Comma 6 2 2 3 2 2 4" xfId="24751"/>
    <cellStyle name="Comma 6 2 2 3 2 3" xfId="24752"/>
    <cellStyle name="Comma 6 2 2 3 2 3 2" xfId="24753"/>
    <cellStyle name="Comma 6 2 2 3 2 3 2 2" xfId="24754"/>
    <cellStyle name="Comma 6 2 2 3 2 3 3" xfId="24755"/>
    <cellStyle name="Comma 6 2 2 3 2 4" xfId="24756"/>
    <cellStyle name="Comma 6 2 2 3 2 4 2" xfId="24757"/>
    <cellStyle name="Comma 6 2 2 3 2 5" xfId="24758"/>
    <cellStyle name="Comma 6 2 2 3 3" xfId="17077"/>
    <cellStyle name="Comma 6 2 2 3 3 2" xfId="24759"/>
    <cellStyle name="Comma 6 2 2 3 3 2 2" xfId="24760"/>
    <cellStyle name="Comma 6 2 2 3 3 2 2 2" xfId="24761"/>
    <cellStyle name="Comma 6 2 2 3 3 2 3" xfId="24762"/>
    <cellStyle name="Comma 6 2 2 3 3 3" xfId="24763"/>
    <cellStyle name="Comma 6 2 2 3 3 3 2" xfId="24764"/>
    <cellStyle name="Comma 6 2 2 3 3 4" xfId="24765"/>
    <cellStyle name="Comma 6 2 2 3 4" xfId="24766"/>
    <cellStyle name="Comma 6 2 2 3 4 2" xfId="24767"/>
    <cellStyle name="Comma 6 2 2 3 4 2 2" xfId="24768"/>
    <cellStyle name="Comma 6 2 2 3 4 3" xfId="24769"/>
    <cellStyle name="Comma 6 2 2 3 5" xfId="24770"/>
    <cellStyle name="Comma 6 2 2 3 5 2" xfId="24771"/>
    <cellStyle name="Comma 6 2 2 3 6" xfId="24772"/>
    <cellStyle name="Comma 6 2 2 4" xfId="17078"/>
    <cellStyle name="Comma 6 2 2 4 2" xfId="17079"/>
    <cellStyle name="Comma 6 2 2 4 2 2" xfId="24773"/>
    <cellStyle name="Comma 6 2 2 4 2 2 2" xfId="24774"/>
    <cellStyle name="Comma 6 2 2 4 2 2 2 2" xfId="24775"/>
    <cellStyle name="Comma 6 2 2 4 2 2 3" xfId="24776"/>
    <cellStyle name="Comma 6 2 2 4 2 3" xfId="24777"/>
    <cellStyle name="Comma 6 2 2 4 2 3 2" xfId="24778"/>
    <cellStyle name="Comma 6 2 2 4 2 4" xfId="24779"/>
    <cellStyle name="Comma 6 2 2 4 3" xfId="24780"/>
    <cellStyle name="Comma 6 2 2 4 3 2" xfId="24781"/>
    <cellStyle name="Comma 6 2 2 4 3 2 2" xfId="24782"/>
    <cellStyle name="Comma 6 2 2 4 3 3" xfId="24783"/>
    <cellStyle name="Comma 6 2 2 4 4" xfId="24784"/>
    <cellStyle name="Comma 6 2 2 4 4 2" xfId="24785"/>
    <cellStyle name="Comma 6 2 2 4 5" xfId="24786"/>
    <cellStyle name="Comma 6 2 2 5" xfId="17080"/>
    <cellStyle name="Comma 6 2 2 5 2" xfId="24787"/>
    <cellStyle name="Comma 6 2 2 5 2 2" xfId="24788"/>
    <cellStyle name="Comma 6 2 2 5 2 2 2" xfId="24789"/>
    <cellStyle name="Comma 6 2 2 5 2 3" xfId="24790"/>
    <cellStyle name="Comma 6 2 2 5 3" xfId="24791"/>
    <cellStyle name="Comma 6 2 2 5 3 2" xfId="24792"/>
    <cellStyle name="Comma 6 2 2 5 4" xfId="24793"/>
    <cellStyle name="Comma 6 2 2 6" xfId="17081"/>
    <cellStyle name="Comma 6 2 2 7" xfId="19213"/>
    <cellStyle name="Comma 6 2 2 7 2" xfId="24794"/>
    <cellStyle name="Comma 6 2 2 7 2 2" xfId="24795"/>
    <cellStyle name="Comma 6 2 2 7 3" xfId="24796"/>
    <cellStyle name="Comma 6 2 2 8" xfId="24797"/>
    <cellStyle name="Comma 6 2 2 8 2" xfId="24798"/>
    <cellStyle name="Comma 6 2 2 9" xfId="24799"/>
    <cellStyle name="Comma 6 2 3" xfId="17082"/>
    <cellStyle name="Comma 6 2 3 2" xfId="17083"/>
    <cellStyle name="Comma 6 2 3 2 2" xfId="17084"/>
    <cellStyle name="Comma 6 2 3 2 2 2" xfId="17085"/>
    <cellStyle name="Comma 6 2 3 2 2 2 2" xfId="17086"/>
    <cellStyle name="Comma 6 2 3 2 2 2 2 2" xfId="24800"/>
    <cellStyle name="Comma 6 2 3 2 2 2 2 2 2" xfId="24801"/>
    <cellStyle name="Comma 6 2 3 2 2 2 2 2 2 2" xfId="24802"/>
    <cellStyle name="Comma 6 2 3 2 2 2 2 2 3" xfId="24803"/>
    <cellStyle name="Comma 6 2 3 2 2 2 2 3" xfId="24804"/>
    <cellStyle name="Comma 6 2 3 2 2 2 2 3 2" xfId="24805"/>
    <cellStyle name="Comma 6 2 3 2 2 2 2 4" xfId="24806"/>
    <cellStyle name="Comma 6 2 3 2 2 2 3" xfId="24807"/>
    <cellStyle name="Comma 6 2 3 2 2 2 3 2" xfId="24808"/>
    <cellStyle name="Comma 6 2 3 2 2 2 3 2 2" xfId="24809"/>
    <cellStyle name="Comma 6 2 3 2 2 2 3 3" xfId="24810"/>
    <cellStyle name="Comma 6 2 3 2 2 2 4" xfId="24811"/>
    <cellStyle name="Comma 6 2 3 2 2 2 4 2" xfId="24812"/>
    <cellStyle name="Comma 6 2 3 2 2 2 5" xfId="24813"/>
    <cellStyle name="Comma 6 2 3 2 2 3" xfId="17087"/>
    <cellStyle name="Comma 6 2 3 2 2 3 2" xfId="24814"/>
    <cellStyle name="Comma 6 2 3 2 2 3 2 2" xfId="24815"/>
    <cellStyle name="Comma 6 2 3 2 2 3 2 2 2" xfId="24816"/>
    <cellStyle name="Comma 6 2 3 2 2 3 2 3" xfId="24817"/>
    <cellStyle name="Comma 6 2 3 2 2 3 3" xfId="24818"/>
    <cellStyle name="Comma 6 2 3 2 2 3 3 2" xfId="24819"/>
    <cellStyle name="Comma 6 2 3 2 2 3 4" xfId="24820"/>
    <cellStyle name="Comma 6 2 3 2 2 4" xfId="24821"/>
    <cellStyle name="Comma 6 2 3 2 2 4 2" xfId="24822"/>
    <cellStyle name="Comma 6 2 3 2 2 4 2 2" xfId="24823"/>
    <cellStyle name="Comma 6 2 3 2 2 4 3" xfId="24824"/>
    <cellStyle name="Comma 6 2 3 2 2 5" xfId="24825"/>
    <cellStyle name="Comma 6 2 3 2 2 5 2" xfId="24826"/>
    <cellStyle name="Comma 6 2 3 2 2 6" xfId="24827"/>
    <cellStyle name="Comma 6 2 3 2 3" xfId="17088"/>
    <cellStyle name="Comma 6 2 3 2 3 2" xfId="17089"/>
    <cellStyle name="Comma 6 2 3 2 3 2 2" xfId="24828"/>
    <cellStyle name="Comma 6 2 3 2 3 2 2 2" xfId="24829"/>
    <cellStyle name="Comma 6 2 3 2 3 2 2 2 2" xfId="24830"/>
    <cellStyle name="Comma 6 2 3 2 3 2 2 3" xfId="24831"/>
    <cellStyle name="Comma 6 2 3 2 3 2 3" xfId="24832"/>
    <cellStyle name="Comma 6 2 3 2 3 2 3 2" xfId="24833"/>
    <cellStyle name="Comma 6 2 3 2 3 2 4" xfId="24834"/>
    <cellStyle name="Comma 6 2 3 2 3 3" xfId="24835"/>
    <cellStyle name="Comma 6 2 3 2 3 3 2" xfId="24836"/>
    <cellStyle name="Comma 6 2 3 2 3 3 2 2" xfId="24837"/>
    <cellStyle name="Comma 6 2 3 2 3 3 3" xfId="24838"/>
    <cellStyle name="Comma 6 2 3 2 3 4" xfId="24839"/>
    <cellStyle name="Comma 6 2 3 2 3 4 2" xfId="24840"/>
    <cellStyle name="Comma 6 2 3 2 3 5" xfId="24841"/>
    <cellStyle name="Comma 6 2 3 2 4" xfId="17090"/>
    <cellStyle name="Comma 6 2 3 2 4 2" xfId="24842"/>
    <cellStyle name="Comma 6 2 3 2 4 2 2" xfId="24843"/>
    <cellStyle name="Comma 6 2 3 2 4 2 2 2" xfId="24844"/>
    <cellStyle name="Comma 6 2 3 2 4 2 3" xfId="24845"/>
    <cellStyle name="Comma 6 2 3 2 4 3" xfId="24846"/>
    <cellStyle name="Comma 6 2 3 2 4 3 2" xfId="24847"/>
    <cellStyle name="Comma 6 2 3 2 4 4" xfId="24848"/>
    <cellStyle name="Comma 6 2 3 2 5" xfId="17091"/>
    <cellStyle name="Comma 6 2 3 2 5 2" xfId="24849"/>
    <cellStyle name="Comma 6 2 3 2 5 2 2" xfId="24850"/>
    <cellStyle name="Comma 6 2 3 2 5 3" xfId="24851"/>
    <cellStyle name="Comma 6 2 3 2 6" xfId="19216"/>
    <cellStyle name="Comma 6 2 3 2 6 2" xfId="24852"/>
    <cellStyle name="Comma 6 2 3 2 7" xfId="24853"/>
    <cellStyle name="Comma 6 2 3 3" xfId="17092"/>
    <cellStyle name="Comma 6 2 3 3 2" xfId="17093"/>
    <cellStyle name="Comma 6 2 3 3 2 2" xfId="17094"/>
    <cellStyle name="Comma 6 2 3 3 2 2 2" xfId="24854"/>
    <cellStyle name="Comma 6 2 3 3 2 2 2 2" xfId="24855"/>
    <cellStyle name="Comma 6 2 3 3 2 2 2 2 2" xfId="24856"/>
    <cellStyle name="Comma 6 2 3 3 2 2 2 3" xfId="24857"/>
    <cellStyle name="Comma 6 2 3 3 2 2 3" xfId="24858"/>
    <cellStyle name="Comma 6 2 3 3 2 2 3 2" xfId="24859"/>
    <cellStyle name="Comma 6 2 3 3 2 2 4" xfId="24860"/>
    <cellStyle name="Comma 6 2 3 3 2 3" xfId="24861"/>
    <cellStyle name="Comma 6 2 3 3 2 3 2" xfId="24862"/>
    <cellStyle name="Comma 6 2 3 3 2 3 2 2" xfId="24863"/>
    <cellStyle name="Comma 6 2 3 3 2 3 3" xfId="24864"/>
    <cellStyle name="Comma 6 2 3 3 2 4" xfId="24865"/>
    <cellStyle name="Comma 6 2 3 3 2 4 2" xfId="24866"/>
    <cellStyle name="Comma 6 2 3 3 2 5" xfId="24867"/>
    <cellStyle name="Comma 6 2 3 3 3" xfId="17095"/>
    <cellStyle name="Comma 6 2 3 3 3 2" xfId="24868"/>
    <cellStyle name="Comma 6 2 3 3 3 2 2" xfId="24869"/>
    <cellStyle name="Comma 6 2 3 3 3 2 2 2" xfId="24870"/>
    <cellStyle name="Comma 6 2 3 3 3 2 3" xfId="24871"/>
    <cellStyle name="Comma 6 2 3 3 3 3" xfId="24872"/>
    <cellStyle name="Comma 6 2 3 3 3 3 2" xfId="24873"/>
    <cellStyle name="Comma 6 2 3 3 3 4" xfId="24874"/>
    <cellStyle name="Comma 6 2 3 3 4" xfId="24875"/>
    <cellStyle name="Comma 6 2 3 3 4 2" xfId="24876"/>
    <cellStyle name="Comma 6 2 3 3 4 2 2" xfId="24877"/>
    <cellStyle name="Comma 6 2 3 3 4 3" xfId="24878"/>
    <cellStyle name="Comma 6 2 3 3 5" xfId="24879"/>
    <cellStyle name="Comma 6 2 3 3 5 2" xfId="24880"/>
    <cellStyle name="Comma 6 2 3 3 6" xfId="24881"/>
    <cellStyle name="Comma 6 2 3 4" xfId="17096"/>
    <cellStyle name="Comma 6 2 3 4 2" xfId="17097"/>
    <cellStyle name="Comma 6 2 3 4 2 2" xfId="24882"/>
    <cellStyle name="Comma 6 2 3 4 2 2 2" xfId="24883"/>
    <cellStyle name="Comma 6 2 3 4 2 2 2 2" xfId="24884"/>
    <cellStyle name="Comma 6 2 3 4 2 2 3" xfId="24885"/>
    <cellStyle name="Comma 6 2 3 4 2 3" xfId="24886"/>
    <cellStyle name="Comma 6 2 3 4 2 3 2" xfId="24887"/>
    <cellStyle name="Comma 6 2 3 4 2 4" xfId="24888"/>
    <cellStyle name="Comma 6 2 3 4 3" xfId="24889"/>
    <cellStyle name="Comma 6 2 3 4 3 2" xfId="24890"/>
    <cellStyle name="Comma 6 2 3 4 3 2 2" xfId="24891"/>
    <cellStyle name="Comma 6 2 3 4 3 3" xfId="24892"/>
    <cellStyle name="Comma 6 2 3 4 4" xfId="24893"/>
    <cellStyle name="Comma 6 2 3 4 4 2" xfId="24894"/>
    <cellStyle name="Comma 6 2 3 4 5" xfId="24895"/>
    <cellStyle name="Comma 6 2 3 5" xfId="17098"/>
    <cellStyle name="Comma 6 2 3 5 2" xfId="24896"/>
    <cellStyle name="Comma 6 2 3 5 2 2" xfId="24897"/>
    <cellStyle name="Comma 6 2 3 5 2 2 2" xfId="24898"/>
    <cellStyle name="Comma 6 2 3 5 2 3" xfId="24899"/>
    <cellStyle name="Comma 6 2 3 5 3" xfId="24900"/>
    <cellStyle name="Comma 6 2 3 5 3 2" xfId="24901"/>
    <cellStyle name="Comma 6 2 3 5 4" xfId="24902"/>
    <cellStyle name="Comma 6 2 3 6" xfId="17099"/>
    <cellStyle name="Comma 6 2 3 6 2" xfId="24903"/>
    <cellStyle name="Comma 6 2 3 6 2 2" xfId="24904"/>
    <cellStyle name="Comma 6 2 3 6 3" xfId="24905"/>
    <cellStyle name="Comma 6 2 3 7" xfId="19215"/>
    <cellStyle name="Comma 6 2 3 7 2" xfId="24906"/>
    <cellStyle name="Comma 6 2 3 8" xfId="24907"/>
    <cellStyle name="Comma 6 2 4" xfId="17100"/>
    <cellStyle name="Comma 6 2 4 2" xfId="17101"/>
    <cellStyle name="Comma 6 2 4 2 2" xfId="17102"/>
    <cellStyle name="Comma 6 2 4 2 2 2" xfId="17103"/>
    <cellStyle name="Comma 6 2 4 2 2 2 2" xfId="24908"/>
    <cellStyle name="Comma 6 2 4 2 2 2 2 2" xfId="24909"/>
    <cellStyle name="Comma 6 2 4 2 2 2 2 2 2" xfId="24910"/>
    <cellStyle name="Comma 6 2 4 2 2 2 2 3" xfId="24911"/>
    <cellStyle name="Comma 6 2 4 2 2 2 3" xfId="24912"/>
    <cellStyle name="Comma 6 2 4 2 2 2 3 2" xfId="24913"/>
    <cellStyle name="Comma 6 2 4 2 2 2 4" xfId="24914"/>
    <cellStyle name="Comma 6 2 4 2 2 3" xfId="24915"/>
    <cellStyle name="Comma 6 2 4 2 2 3 2" xfId="24916"/>
    <cellStyle name="Comma 6 2 4 2 2 3 2 2" xfId="24917"/>
    <cellStyle name="Comma 6 2 4 2 2 3 3" xfId="24918"/>
    <cellStyle name="Comma 6 2 4 2 2 4" xfId="24919"/>
    <cellStyle name="Comma 6 2 4 2 2 4 2" xfId="24920"/>
    <cellStyle name="Comma 6 2 4 2 2 5" xfId="24921"/>
    <cellStyle name="Comma 6 2 4 2 3" xfId="17104"/>
    <cellStyle name="Comma 6 2 4 2 3 2" xfId="24922"/>
    <cellStyle name="Comma 6 2 4 2 3 2 2" xfId="24923"/>
    <cellStyle name="Comma 6 2 4 2 3 2 2 2" xfId="24924"/>
    <cellStyle name="Comma 6 2 4 2 3 2 3" xfId="24925"/>
    <cellStyle name="Comma 6 2 4 2 3 3" xfId="24926"/>
    <cellStyle name="Comma 6 2 4 2 3 3 2" xfId="24927"/>
    <cellStyle name="Comma 6 2 4 2 3 4" xfId="24928"/>
    <cellStyle name="Comma 6 2 4 2 4" xfId="24929"/>
    <cellStyle name="Comma 6 2 4 2 4 2" xfId="24930"/>
    <cellStyle name="Comma 6 2 4 2 4 2 2" xfId="24931"/>
    <cellStyle name="Comma 6 2 4 2 4 3" xfId="24932"/>
    <cellStyle name="Comma 6 2 4 2 5" xfId="24933"/>
    <cellStyle name="Comma 6 2 4 2 5 2" xfId="24934"/>
    <cellStyle name="Comma 6 2 4 2 6" xfId="24935"/>
    <cellStyle name="Comma 6 2 4 3" xfId="17105"/>
    <cellStyle name="Comma 6 2 4 3 2" xfId="17106"/>
    <cellStyle name="Comma 6 2 4 3 2 2" xfId="24936"/>
    <cellStyle name="Comma 6 2 4 3 2 2 2" xfId="24937"/>
    <cellStyle name="Comma 6 2 4 3 2 2 2 2" xfId="24938"/>
    <cellStyle name="Comma 6 2 4 3 2 2 3" xfId="24939"/>
    <cellStyle name="Comma 6 2 4 3 2 3" xfId="24940"/>
    <cellStyle name="Comma 6 2 4 3 2 3 2" xfId="24941"/>
    <cellStyle name="Comma 6 2 4 3 2 4" xfId="24942"/>
    <cellStyle name="Comma 6 2 4 3 3" xfId="24943"/>
    <cellStyle name="Comma 6 2 4 3 3 2" xfId="24944"/>
    <cellStyle name="Comma 6 2 4 3 3 2 2" xfId="24945"/>
    <cellStyle name="Comma 6 2 4 3 3 3" xfId="24946"/>
    <cellStyle name="Comma 6 2 4 3 4" xfId="24947"/>
    <cellStyle name="Comma 6 2 4 3 4 2" xfId="24948"/>
    <cellStyle name="Comma 6 2 4 3 5" xfId="24949"/>
    <cellStyle name="Comma 6 2 4 4" xfId="17107"/>
    <cellStyle name="Comma 6 2 4 4 2" xfId="24950"/>
    <cellStyle name="Comma 6 2 4 4 2 2" xfId="24951"/>
    <cellStyle name="Comma 6 2 4 4 2 2 2" xfId="24952"/>
    <cellStyle name="Comma 6 2 4 4 2 3" xfId="24953"/>
    <cellStyle name="Comma 6 2 4 4 3" xfId="24954"/>
    <cellStyle name="Comma 6 2 4 4 3 2" xfId="24955"/>
    <cellStyle name="Comma 6 2 4 4 4" xfId="24956"/>
    <cellStyle name="Comma 6 2 4 5" xfId="17108"/>
    <cellStyle name="Comma 6 2 4 5 2" xfId="24957"/>
    <cellStyle name="Comma 6 2 4 5 2 2" xfId="24958"/>
    <cellStyle name="Comma 6 2 4 5 3" xfId="24959"/>
    <cellStyle name="Comma 6 2 4 6" xfId="19217"/>
    <cellStyle name="Comma 6 2 4 6 2" xfId="24960"/>
    <cellStyle name="Comma 6 2 4 7" xfId="24961"/>
    <cellStyle name="Comma 6 2 5" xfId="17109"/>
    <cellStyle name="Comma 6 2 5 2" xfId="17110"/>
    <cellStyle name="Comma 6 2 5 2 2" xfId="17111"/>
    <cellStyle name="Comma 6 2 5 2 2 2" xfId="24962"/>
    <cellStyle name="Comma 6 2 5 2 2 2 2" xfId="24963"/>
    <cellStyle name="Comma 6 2 5 2 2 2 2 2" xfId="24964"/>
    <cellStyle name="Comma 6 2 5 2 2 2 3" xfId="24965"/>
    <cellStyle name="Comma 6 2 5 2 2 3" xfId="24966"/>
    <cellStyle name="Comma 6 2 5 2 2 3 2" xfId="24967"/>
    <cellStyle name="Comma 6 2 5 2 2 4" xfId="24968"/>
    <cellStyle name="Comma 6 2 5 2 3" xfId="24969"/>
    <cellStyle name="Comma 6 2 5 2 3 2" xfId="24970"/>
    <cellStyle name="Comma 6 2 5 2 3 2 2" xfId="24971"/>
    <cellStyle name="Comma 6 2 5 2 3 3" xfId="24972"/>
    <cellStyle name="Comma 6 2 5 2 4" xfId="24973"/>
    <cellStyle name="Comma 6 2 5 2 4 2" xfId="24974"/>
    <cellStyle name="Comma 6 2 5 2 5" xfId="24975"/>
    <cellStyle name="Comma 6 2 5 3" xfId="17112"/>
    <cellStyle name="Comma 6 2 5 3 2" xfId="24976"/>
    <cellStyle name="Comma 6 2 5 3 2 2" xfId="24977"/>
    <cellStyle name="Comma 6 2 5 3 2 2 2" xfId="24978"/>
    <cellStyle name="Comma 6 2 5 3 2 3" xfId="24979"/>
    <cellStyle name="Comma 6 2 5 3 3" xfId="24980"/>
    <cellStyle name="Comma 6 2 5 3 3 2" xfId="24981"/>
    <cellStyle name="Comma 6 2 5 3 4" xfId="24982"/>
    <cellStyle name="Comma 6 2 5 4" xfId="24983"/>
    <cellStyle name="Comma 6 2 5 4 2" xfId="24984"/>
    <cellStyle name="Comma 6 2 5 4 2 2" xfId="24985"/>
    <cellStyle name="Comma 6 2 5 4 3" xfId="24986"/>
    <cellStyle name="Comma 6 2 5 5" xfId="24987"/>
    <cellStyle name="Comma 6 2 5 5 2" xfId="24988"/>
    <cellStyle name="Comma 6 2 5 6" xfId="24989"/>
    <cellStyle name="Comma 6 2 6" xfId="17113"/>
    <cellStyle name="Comma 6 2 6 2" xfId="17114"/>
    <cellStyle name="Comma 6 2 6 2 2" xfId="24990"/>
    <cellStyle name="Comma 6 2 6 2 2 2" xfId="24991"/>
    <cellStyle name="Comma 6 2 6 2 2 2 2" xfId="24992"/>
    <cellStyle name="Comma 6 2 6 2 2 3" xfId="24993"/>
    <cellStyle name="Comma 6 2 6 2 3" xfId="24994"/>
    <cellStyle name="Comma 6 2 6 2 3 2" xfId="24995"/>
    <cellStyle name="Comma 6 2 6 2 4" xfId="24996"/>
    <cellStyle name="Comma 6 2 6 3" xfId="24997"/>
    <cellStyle name="Comma 6 2 6 3 2" xfId="24998"/>
    <cellStyle name="Comma 6 2 6 3 2 2" xfId="24999"/>
    <cellStyle name="Comma 6 2 6 3 3" xfId="25000"/>
    <cellStyle name="Comma 6 2 6 4" xfId="25001"/>
    <cellStyle name="Comma 6 2 6 4 2" xfId="25002"/>
    <cellStyle name="Comma 6 2 6 5" xfId="25003"/>
    <cellStyle name="Comma 6 2 7" xfId="17115"/>
    <cellStyle name="Comma 6 2 8" xfId="17116"/>
    <cellStyle name="Comma 6 2 8 2" xfId="25004"/>
    <cellStyle name="Comma 6 2 8 2 2" xfId="25005"/>
    <cellStyle name="Comma 6 2 8 2 2 2" xfId="25006"/>
    <cellStyle name="Comma 6 2 8 2 3" xfId="25007"/>
    <cellStyle name="Comma 6 2 8 3" xfId="25008"/>
    <cellStyle name="Comma 6 2 8 3 2" xfId="25009"/>
    <cellStyle name="Comma 6 2 8 4" xfId="25010"/>
    <cellStyle name="Comma 6 2 9" xfId="17117"/>
    <cellStyle name="Comma 6 2 9 2" xfId="25011"/>
    <cellStyle name="Comma 6 2 9 2 2" xfId="25012"/>
    <cellStyle name="Comma 6 2 9 3" xfId="25013"/>
    <cellStyle name="Comma 6 3" xfId="6303"/>
    <cellStyle name="Comma 6 3 2" xfId="6304"/>
    <cellStyle name="Comma 6 3 2 2" xfId="25014"/>
    <cellStyle name="Comma 6 3 2 2 2" xfId="25015"/>
    <cellStyle name="Comma 6 3 2 2 2 2" xfId="25016"/>
    <cellStyle name="Comma 6 3 2 2 3" xfId="25017"/>
    <cellStyle name="Comma 6 3 2 3" xfId="25018"/>
    <cellStyle name="Comma 6 3 2 3 2" xfId="25019"/>
    <cellStyle name="Comma 6 3 2 4" xfId="25020"/>
    <cellStyle name="Comma 6 3 3" xfId="19218"/>
    <cellStyle name="Comma 6 3 3 2" xfId="25021"/>
    <cellStyle name="Comma 6 3 3 2 2" xfId="25022"/>
    <cellStyle name="Comma 6 3 3 2 2 2" xfId="25023"/>
    <cellStyle name="Comma 6 3 3 2 3" xfId="25024"/>
    <cellStyle name="Comma 6 3 3 3" xfId="25025"/>
    <cellStyle name="Comma 6 3 3 3 2" xfId="25026"/>
    <cellStyle name="Comma 6 3 3 4" xfId="25027"/>
    <cellStyle name="Comma 6 3 4" xfId="25028"/>
    <cellStyle name="Comma 6 4" xfId="6305"/>
    <cellStyle name="Comma 6 4 2" xfId="25029"/>
    <cellStyle name="Comma 6 5" xfId="6306"/>
    <cellStyle name="Comma 6 5 2" xfId="17118"/>
    <cellStyle name="Comma 6 5 2 2" xfId="25030"/>
    <cellStyle name="Comma 6 5 2 2 2" xfId="25031"/>
    <cellStyle name="Comma 6 5 2 2 2 2" xfId="25032"/>
    <cellStyle name="Comma 6 5 2 2 3" xfId="25033"/>
    <cellStyle name="Comma 6 5 2 3" xfId="25034"/>
    <cellStyle name="Comma 6 5 2 3 2" xfId="25035"/>
    <cellStyle name="Comma 6 5 2 4" xfId="25036"/>
    <cellStyle name="Comma 6 5 3" xfId="25037"/>
    <cellStyle name="Comma 6 5 3 2" xfId="25038"/>
    <cellStyle name="Comma 6 5 3 2 2" xfId="25039"/>
    <cellStyle name="Comma 6 5 3 3" xfId="25040"/>
    <cellStyle name="Comma 6 5 4" xfId="25041"/>
    <cellStyle name="Comma 6 5 4 2" xfId="25042"/>
    <cellStyle name="Comma 6 5 5" xfId="25043"/>
    <cellStyle name="Comma 6 6" xfId="17119"/>
    <cellStyle name="Comma 6 6 2" xfId="25044"/>
    <cellStyle name="Comma 6 7" xfId="17120"/>
    <cellStyle name="Comma 6 7 2" xfId="25045"/>
    <cellStyle name="Comma 6 7 2 2" xfId="25046"/>
    <cellStyle name="Comma 6 7 2 2 2" xfId="25047"/>
    <cellStyle name="Comma 6 7 2 3" xfId="25048"/>
    <cellStyle name="Comma 6 7 3" xfId="25049"/>
    <cellStyle name="Comma 6 7 3 2" xfId="25050"/>
    <cellStyle name="Comma 6 7 4" xfId="25051"/>
    <cellStyle name="Comma 6 8" xfId="25052"/>
    <cellStyle name="Comma 6 8 2" xfId="25053"/>
    <cellStyle name="Comma 6 8 2 2" xfId="25054"/>
    <cellStyle name="Comma 6 8 2 2 2" xfId="25055"/>
    <cellStyle name="Comma 6 8 2 3" xfId="25056"/>
    <cellStyle name="Comma 6 8 3" xfId="25057"/>
    <cellStyle name="Comma 6 8 3 2" xfId="25058"/>
    <cellStyle name="Comma 6 8 4" xfId="25059"/>
    <cellStyle name="Comma 6 9" xfId="25060"/>
    <cellStyle name="Comma 6 9 2" xfId="25061"/>
    <cellStyle name="Comma 6 9 2 2" xfId="25062"/>
    <cellStyle name="Comma 6 9 2 2 2" xfId="25063"/>
    <cellStyle name="Comma 6 9 2 3" xfId="25064"/>
    <cellStyle name="Comma 6 9 3" xfId="25065"/>
    <cellStyle name="Comma 6 9 3 2" xfId="25066"/>
    <cellStyle name="Comma 6 9 4" xfId="25067"/>
    <cellStyle name="Comma 60" xfId="25068"/>
    <cellStyle name="Comma 61" xfId="25069"/>
    <cellStyle name="Comma 61 2" xfId="25070"/>
    <cellStyle name="Comma 62" xfId="25071"/>
    <cellStyle name="Comma 63" xfId="25072"/>
    <cellStyle name="Comma 64" xfId="25073"/>
    <cellStyle name="Comma 65" xfId="25074"/>
    <cellStyle name="Comma 66" xfId="25075"/>
    <cellStyle name="Comma 7" xfId="51"/>
    <cellStyle name="Comma 7 2" xfId="52"/>
    <cellStyle name="Comma 7 2 2" xfId="6307"/>
    <cellStyle name="Comma 7 2 2 2" xfId="6308"/>
    <cellStyle name="Comma 7 2 2 3" xfId="25076"/>
    <cellStyle name="Comma 7 2 2 4" xfId="25077"/>
    <cellStyle name="Comma 7 2 3" xfId="6309"/>
    <cellStyle name="Comma 7 2 3 2" xfId="25078"/>
    <cellStyle name="Comma 7 2 4" xfId="19220"/>
    <cellStyle name="Comma 7 2 4 2" xfId="25079"/>
    <cellStyle name="Comma 7 2 5" xfId="25080"/>
    <cellStyle name="Comma 7 3" xfId="6310"/>
    <cellStyle name="Comma 7 3 2" xfId="6311"/>
    <cellStyle name="Comma 7 3 3" xfId="19221"/>
    <cellStyle name="Comma 7 3 4" xfId="25081"/>
    <cellStyle name="Comma 7 3 5" xfId="25082"/>
    <cellStyle name="Comma 7 4" xfId="6312"/>
    <cellStyle name="Comma 7 4 2" xfId="6313"/>
    <cellStyle name="Comma 7 4 3" xfId="25083"/>
    <cellStyle name="Comma 7 5" xfId="6314"/>
    <cellStyle name="Comma 7 5 2" xfId="6315"/>
    <cellStyle name="Comma 7 5 2 2" xfId="6316"/>
    <cellStyle name="Comma 7 5 2 2 2" xfId="6317"/>
    <cellStyle name="Comma 7 5 2 3" xfId="6318"/>
    <cellStyle name="Comma 7 5 3" xfId="6319"/>
    <cellStyle name="Comma 7 5 3 2" xfId="6320"/>
    <cellStyle name="Comma 7 5 4" xfId="6321"/>
    <cellStyle name="Comma 7 5 4 2" xfId="6322"/>
    <cellStyle name="Comma 7 5 5" xfId="6323"/>
    <cellStyle name="Comma 7 5 6" xfId="25084"/>
    <cellStyle name="Comma 7 6" xfId="6324"/>
    <cellStyle name="Comma 7 6 2" xfId="6325"/>
    <cellStyle name="Comma 7 7" xfId="6326"/>
    <cellStyle name="Comma 7 8" xfId="19219"/>
    <cellStyle name="Comma 7 8 2" xfId="25085"/>
    <cellStyle name="Comma 8" xfId="53"/>
    <cellStyle name="Comma 8 10" xfId="6327"/>
    <cellStyle name="Comma 8 10 2" xfId="6328"/>
    <cellStyle name="Comma 8 10 2 2" xfId="6329"/>
    <cellStyle name="Comma 8 10 2 2 2" xfId="6330"/>
    <cellStyle name="Comma 8 10 2 3" xfId="6331"/>
    <cellStyle name="Comma 8 10 2 3 2" xfId="6332"/>
    <cellStyle name="Comma 8 10 2 4" xfId="6333"/>
    <cellStyle name="Comma 8 10 2 4 2" xfId="6334"/>
    <cellStyle name="Comma 8 10 2 5" xfId="6335"/>
    <cellStyle name="Comma 8 10 3" xfId="6336"/>
    <cellStyle name="Comma 8 10 3 2" xfId="6337"/>
    <cellStyle name="Comma 8 10 4" xfId="6338"/>
    <cellStyle name="Comma 8 10 4 2" xfId="6339"/>
    <cellStyle name="Comma 8 10 4 2 2" xfId="6340"/>
    <cellStyle name="Comma 8 10 4 3" xfId="6341"/>
    <cellStyle name="Comma 8 10 4 3 2" xfId="6342"/>
    <cellStyle name="Comma 8 10 4 4" xfId="6343"/>
    <cellStyle name="Comma 8 10 5" xfId="6344"/>
    <cellStyle name="Comma 8 10 5 2" xfId="6345"/>
    <cellStyle name="Comma 8 10 6" xfId="6346"/>
    <cellStyle name="Comma 8 10 6 2" xfId="6347"/>
    <cellStyle name="Comma 8 10 7" xfId="6348"/>
    <cellStyle name="Comma 8 11" xfId="6349"/>
    <cellStyle name="Comma 8 11 2" xfId="6350"/>
    <cellStyle name="Comma 8 11 2 2" xfId="6351"/>
    <cellStyle name="Comma 8 11 2 2 2" xfId="6352"/>
    <cellStyle name="Comma 8 11 2 3" xfId="6353"/>
    <cellStyle name="Comma 8 11 2 3 2" xfId="6354"/>
    <cellStyle name="Comma 8 11 2 4" xfId="6355"/>
    <cellStyle name="Comma 8 11 2 4 2" xfId="6356"/>
    <cellStyle name="Comma 8 11 2 5" xfId="6357"/>
    <cellStyle name="Comma 8 11 3" xfId="6358"/>
    <cellStyle name="Comma 8 11 3 2" xfId="6359"/>
    <cellStyle name="Comma 8 11 4" xfId="6360"/>
    <cellStyle name="Comma 8 11 4 2" xfId="6361"/>
    <cellStyle name="Comma 8 11 4 2 2" xfId="6362"/>
    <cellStyle name="Comma 8 11 4 3" xfId="6363"/>
    <cellStyle name="Comma 8 11 4 3 2" xfId="6364"/>
    <cellStyle name="Comma 8 11 4 4" xfId="6365"/>
    <cellStyle name="Comma 8 11 5" xfId="6366"/>
    <cellStyle name="Comma 8 11 5 2" xfId="6367"/>
    <cellStyle name="Comma 8 11 6" xfId="6368"/>
    <cellStyle name="Comma 8 11 6 2" xfId="6369"/>
    <cellStyle name="Comma 8 11 7" xfId="6370"/>
    <cellStyle name="Comma 8 12" xfId="6371"/>
    <cellStyle name="Comma 8 12 2" xfId="6372"/>
    <cellStyle name="Comma 8 12 2 2" xfId="6373"/>
    <cellStyle name="Comma 8 12 3" xfId="6374"/>
    <cellStyle name="Comma 8 12 3 2" xfId="6375"/>
    <cellStyle name="Comma 8 12 4" xfId="6376"/>
    <cellStyle name="Comma 8 12 4 2" xfId="6377"/>
    <cellStyle name="Comma 8 12 5" xfId="6378"/>
    <cellStyle name="Comma 8 13" xfId="6379"/>
    <cellStyle name="Comma 8 13 2" xfId="6380"/>
    <cellStyle name="Comma 8 13 2 2" xfId="6381"/>
    <cellStyle name="Comma 8 13 3" xfId="6382"/>
    <cellStyle name="Comma 8 13 3 2" xfId="6383"/>
    <cellStyle name="Comma 8 13 4" xfId="6384"/>
    <cellStyle name="Comma 8 14" xfId="6385"/>
    <cellStyle name="Comma 8 14 2" xfId="6386"/>
    <cellStyle name="Comma 8 15" xfId="6387"/>
    <cellStyle name="Comma 8 15 2" xfId="6388"/>
    <cellStyle name="Comma 8 16" xfId="6389"/>
    <cellStyle name="Comma 8 17" xfId="19222"/>
    <cellStyle name="Comma 8 17 2" xfId="25086"/>
    <cellStyle name="Comma 8 2" xfId="54"/>
    <cellStyle name="Comma 8 2 2" xfId="6390"/>
    <cellStyle name="Comma 8 2 2 2" xfId="6391"/>
    <cellStyle name="Comma 8 2 2 3" xfId="25087"/>
    <cellStyle name="Comma 8 2 2 4" xfId="25088"/>
    <cellStyle name="Comma 8 2 3" xfId="6392"/>
    <cellStyle name="Comma 8 2 3 2" xfId="6393"/>
    <cellStyle name="Comma 8 2 3 3" xfId="25089"/>
    <cellStyle name="Comma 8 2 4" xfId="6394"/>
    <cellStyle name="Comma 8 2 5" xfId="19223"/>
    <cellStyle name="Comma 8 2 5 2" xfId="25090"/>
    <cellStyle name="Comma 8 2 6" xfId="25091"/>
    <cellStyle name="Comma 8 3" xfId="6395"/>
    <cellStyle name="Comma 8 3 2" xfId="6396"/>
    <cellStyle name="Comma 8 3 2 2" xfId="25092"/>
    <cellStyle name="Comma 8 3 2 3" xfId="25093"/>
    <cellStyle name="Comma 8 3 3" xfId="19224"/>
    <cellStyle name="Comma 8 3 4" xfId="25094"/>
    <cellStyle name="Comma 8 4" xfId="6397"/>
    <cellStyle name="Comma 8 4 2" xfId="6398"/>
    <cellStyle name="Comma 8 4 2 2" xfId="6399"/>
    <cellStyle name="Comma 8 4 2 2 2" xfId="6400"/>
    <cellStyle name="Comma 8 4 2 3" xfId="6401"/>
    <cellStyle name="Comma 8 4 2 3 2" xfId="6402"/>
    <cellStyle name="Comma 8 4 2 4" xfId="6403"/>
    <cellStyle name="Comma 8 4 3" xfId="6404"/>
    <cellStyle name="Comma 8 4 3 2" xfId="6405"/>
    <cellStyle name="Comma 8 4 4" xfId="6406"/>
    <cellStyle name="Comma 8 4 4 2" xfId="6407"/>
    <cellStyle name="Comma 8 4 5" xfId="6408"/>
    <cellStyle name="Comma 8 4 6" xfId="25095"/>
    <cellStyle name="Comma 8 5" xfId="6409"/>
    <cellStyle name="Comma 8 5 2" xfId="6410"/>
    <cellStyle name="Comma 8 5 2 2" xfId="6411"/>
    <cellStyle name="Comma 8 5 2 2 2" xfId="6412"/>
    <cellStyle name="Comma 8 5 2 3" xfId="6413"/>
    <cellStyle name="Comma 8 5 2 3 2" xfId="6414"/>
    <cellStyle name="Comma 8 5 2 4" xfId="6415"/>
    <cellStyle name="Comma 8 5 3" xfId="6416"/>
    <cellStyle name="Comma 8 5 3 2" xfId="6417"/>
    <cellStyle name="Comma 8 5 4" xfId="6418"/>
    <cellStyle name="Comma 8 5 4 2" xfId="6419"/>
    <cellStyle name="Comma 8 5 5" xfId="6420"/>
    <cellStyle name="Comma 8 5 6" xfId="25096"/>
    <cellStyle name="Comma 8 6" xfId="6421"/>
    <cellStyle name="Comma 8 6 10" xfId="6422"/>
    <cellStyle name="Comma 8 6 11" xfId="25097"/>
    <cellStyle name="Comma 8 6 2" xfId="6423"/>
    <cellStyle name="Comma 8 6 2 2" xfId="6424"/>
    <cellStyle name="Comma 8 6 2 2 2" xfId="6425"/>
    <cellStyle name="Comma 8 6 2 2 2 2" xfId="6426"/>
    <cellStyle name="Comma 8 6 2 2 2 2 2" xfId="6427"/>
    <cellStyle name="Comma 8 6 2 2 2 3" xfId="6428"/>
    <cellStyle name="Comma 8 6 2 2 2 3 2" xfId="6429"/>
    <cellStyle name="Comma 8 6 2 2 2 4" xfId="6430"/>
    <cellStyle name="Comma 8 6 2 2 2 4 2" xfId="6431"/>
    <cellStyle name="Comma 8 6 2 2 2 5" xfId="6432"/>
    <cellStyle name="Comma 8 6 2 2 3" xfId="6433"/>
    <cellStyle name="Comma 8 6 2 2 3 2" xfId="6434"/>
    <cellStyle name="Comma 8 6 2 2 4" xfId="6435"/>
    <cellStyle name="Comma 8 6 2 2 4 2" xfId="6436"/>
    <cellStyle name="Comma 8 6 2 2 4 2 2" xfId="6437"/>
    <cellStyle name="Comma 8 6 2 2 4 3" xfId="6438"/>
    <cellStyle name="Comma 8 6 2 2 4 3 2" xfId="6439"/>
    <cellStyle name="Comma 8 6 2 2 4 4" xfId="6440"/>
    <cellStyle name="Comma 8 6 2 2 5" xfId="6441"/>
    <cellStyle name="Comma 8 6 2 2 5 2" xfId="6442"/>
    <cellStyle name="Comma 8 6 2 2 6" xfId="6443"/>
    <cellStyle name="Comma 8 6 2 2 6 2" xfId="6444"/>
    <cellStyle name="Comma 8 6 2 2 7" xfId="6445"/>
    <cellStyle name="Comma 8 6 2 3" xfId="6446"/>
    <cellStyle name="Comma 8 6 2 3 2" xfId="6447"/>
    <cellStyle name="Comma 8 6 2 3 2 2" xfId="6448"/>
    <cellStyle name="Comma 8 6 2 3 2 2 2" xfId="6449"/>
    <cellStyle name="Comma 8 6 2 3 2 3" xfId="6450"/>
    <cellStyle name="Comma 8 6 2 3 2 3 2" xfId="6451"/>
    <cellStyle name="Comma 8 6 2 3 2 4" xfId="6452"/>
    <cellStyle name="Comma 8 6 2 3 2 4 2" xfId="6453"/>
    <cellStyle name="Comma 8 6 2 3 2 5" xfId="6454"/>
    <cellStyle name="Comma 8 6 2 3 3" xfId="6455"/>
    <cellStyle name="Comma 8 6 2 3 3 2" xfId="6456"/>
    <cellStyle name="Comma 8 6 2 3 4" xfId="6457"/>
    <cellStyle name="Comma 8 6 2 3 4 2" xfId="6458"/>
    <cellStyle name="Comma 8 6 2 3 4 2 2" xfId="6459"/>
    <cellStyle name="Comma 8 6 2 3 4 3" xfId="6460"/>
    <cellStyle name="Comma 8 6 2 3 4 3 2" xfId="6461"/>
    <cellStyle name="Comma 8 6 2 3 4 4" xfId="6462"/>
    <cellStyle name="Comma 8 6 2 3 5" xfId="6463"/>
    <cellStyle name="Comma 8 6 2 3 5 2" xfId="6464"/>
    <cellStyle name="Comma 8 6 2 3 6" xfId="6465"/>
    <cellStyle name="Comma 8 6 2 3 6 2" xfId="6466"/>
    <cellStyle name="Comma 8 6 2 3 7" xfId="6467"/>
    <cellStyle name="Comma 8 6 2 4" xfId="6468"/>
    <cellStyle name="Comma 8 6 2 4 2" xfId="6469"/>
    <cellStyle name="Comma 8 6 2 4 2 2" xfId="6470"/>
    <cellStyle name="Comma 8 6 2 4 3" xfId="6471"/>
    <cellStyle name="Comma 8 6 2 4 3 2" xfId="6472"/>
    <cellStyle name="Comma 8 6 2 4 4" xfId="6473"/>
    <cellStyle name="Comma 8 6 2 4 4 2" xfId="6474"/>
    <cellStyle name="Comma 8 6 2 4 5" xfId="6475"/>
    <cellStyle name="Comma 8 6 2 5" xfId="6476"/>
    <cellStyle name="Comma 8 6 2 5 2" xfId="6477"/>
    <cellStyle name="Comma 8 6 2 6" xfId="6478"/>
    <cellStyle name="Comma 8 6 2 6 2" xfId="6479"/>
    <cellStyle name="Comma 8 6 2 6 2 2" xfId="6480"/>
    <cellStyle name="Comma 8 6 2 6 3" xfId="6481"/>
    <cellStyle name="Comma 8 6 2 6 3 2" xfId="6482"/>
    <cellStyle name="Comma 8 6 2 6 4" xfId="6483"/>
    <cellStyle name="Comma 8 6 2 7" xfId="6484"/>
    <cellStyle name="Comma 8 6 2 7 2" xfId="6485"/>
    <cellStyle name="Comma 8 6 2 8" xfId="6486"/>
    <cellStyle name="Comma 8 6 2 8 2" xfId="6487"/>
    <cellStyle name="Comma 8 6 2 9" xfId="6488"/>
    <cellStyle name="Comma 8 6 3" xfId="6489"/>
    <cellStyle name="Comma 8 6 3 2" xfId="6490"/>
    <cellStyle name="Comma 8 6 3 2 2" xfId="6491"/>
    <cellStyle name="Comma 8 6 3 2 2 2" xfId="6492"/>
    <cellStyle name="Comma 8 6 3 2 3" xfId="6493"/>
    <cellStyle name="Comma 8 6 3 2 3 2" xfId="6494"/>
    <cellStyle name="Comma 8 6 3 2 4" xfId="6495"/>
    <cellStyle name="Comma 8 6 3 2 4 2" xfId="6496"/>
    <cellStyle name="Comma 8 6 3 2 5" xfId="6497"/>
    <cellStyle name="Comma 8 6 3 3" xfId="6498"/>
    <cellStyle name="Comma 8 6 3 3 2" xfId="6499"/>
    <cellStyle name="Comma 8 6 3 4" xfId="6500"/>
    <cellStyle name="Comma 8 6 3 4 2" xfId="6501"/>
    <cellStyle name="Comma 8 6 3 4 2 2" xfId="6502"/>
    <cellStyle name="Comma 8 6 3 4 3" xfId="6503"/>
    <cellStyle name="Comma 8 6 3 4 3 2" xfId="6504"/>
    <cellStyle name="Comma 8 6 3 4 4" xfId="6505"/>
    <cellStyle name="Comma 8 6 3 5" xfId="6506"/>
    <cellStyle name="Comma 8 6 3 5 2" xfId="6507"/>
    <cellStyle name="Comma 8 6 3 6" xfId="6508"/>
    <cellStyle name="Comma 8 6 3 6 2" xfId="6509"/>
    <cellStyle name="Comma 8 6 3 7" xfId="6510"/>
    <cellStyle name="Comma 8 6 4" xfId="6511"/>
    <cellStyle name="Comma 8 6 4 2" xfId="6512"/>
    <cellStyle name="Comma 8 6 4 2 2" xfId="6513"/>
    <cellStyle name="Comma 8 6 4 2 2 2" xfId="6514"/>
    <cellStyle name="Comma 8 6 4 2 3" xfId="6515"/>
    <cellStyle name="Comma 8 6 4 2 3 2" xfId="6516"/>
    <cellStyle name="Comma 8 6 4 2 4" xfId="6517"/>
    <cellStyle name="Comma 8 6 4 2 4 2" xfId="6518"/>
    <cellStyle name="Comma 8 6 4 2 5" xfId="6519"/>
    <cellStyle name="Comma 8 6 4 3" xfId="6520"/>
    <cellStyle name="Comma 8 6 4 3 2" xfId="6521"/>
    <cellStyle name="Comma 8 6 4 4" xfId="6522"/>
    <cellStyle name="Comma 8 6 4 4 2" xfId="6523"/>
    <cellStyle name="Comma 8 6 4 4 2 2" xfId="6524"/>
    <cellStyle name="Comma 8 6 4 4 3" xfId="6525"/>
    <cellStyle name="Comma 8 6 4 4 3 2" xfId="6526"/>
    <cellStyle name="Comma 8 6 4 4 4" xfId="6527"/>
    <cellStyle name="Comma 8 6 4 5" xfId="6528"/>
    <cellStyle name="Comma 8 6 4 5 2" xfId="6529"/>
    <cellStyle name="Comma 8 6 4 6" xfId="6530"/>
    <cellStyle name="Comma 8 6 4 6 2" xfId="6531"/>
    <cellStyle name="Comma 8 6 4 7" xfId="6532"/>
    <cellStyle name="Comma 8 6 5" xfId="6533"/>
    <cellStyle name="Comma 8 6 5 2" xfId="6534"/>
    <cellStyle name="Comma 8 6 5 2 2" xfId="6535"/>
    <cellStyle name="Comma 8 6 5 3" xfId="6536"/>
    <cellStyle name="Comma 8 6 5 3 2" xfId="6537"/>
    <cellStyle name="Comma 8 6 5 4" xfId="6538"/>
    <cellStyle name="Comma 8 6 5 4 2" xfId="6539"/>
    <cellStyle name="Comma 8 6 5 5" xfId="6540"/>
    <cellStyle name="Comma 8 6 6" xfId="6541"/>
    <cellStyle name="Comma 8 6 6 2" xfId="6542"/>
    <cellStyle name="Comma 8 6 7" xfId="6543"/>
    <cellStyle name="Comma 8 6 7 2" xfId="6544"/>
    <cellStyle name="Comma 8 6 7 2 2" xfId="6545"/>
    <cellStyle name="Comma 8 6 7 3" xfId="6546"/>
    <cellStyle name="Comma 8 6 7 3 2" xfId="6547"/>
    <cellStyle name="Comma 8 6 7 4" xfId="6548"/>
    <cellStyle name="Comma 8 6 8" xfId="6549"/>
    <cellStyle name="Comma 8 6 8 2" xfId="6550"/>
    <cellStyle name="Comma 8 6 9" xfId="6551"/>
    <cellStyle name="Comma 8 6 9 2" xfId="6552"/>
    <cellStyle name="Comma 8 7" xfId="6553"/>
    <cellStyle name="Comma 8 7 10" xfId="6554"/>
    <cellStyle name="Comma 8 7 2" xfId="6555"/>
    <cellStyle name="Comma 8 7 2 2" xfId="6556"/>
    <cellStyle name="Comma 8 7 2 2 2" xfId="6557"/>
    <cellStyle name="Comma 8 7 2 2 2 2" xfId="6558"/>
    <cellStyle name="Comma 8 7 2 2 2 2 2" xfId="6559"/>
    <cellStyle name="Comma 8 7 2 2 2 3" xfId="6560"/>
    <cellStyle name="Comma 8 7 2 2 2 3 2" xfId="6561"/>
    <cellStyle name="Comma 8 7 2 2 2 4" xfId="6562"/>
    <cellStyle name="Comma 8 7 2 2 2 4 2" xfId="6563"/>
    <cellStyle name="Comma 8 7 2 2 2 5" xfId="6564"/>
    <cellStyle name="Comma 8 7 2 2 3" xfId="6565"/>
    <cellStyle name="Comma 8 7 2 2 3 2" xfId="6566"/>
    <cellStyle name="Comma 8 7 2 2 4" xfId="6567"/>
    <cellStyle name="Comma 8 7 2 2 4 2" xfId="6568"/>
    <cellStyle name="Comma 8 7 2 2 4 2 2" xfId="6569"/>
    <cellStyle name="Comma 8 7 2 2 4 3" xfId="6570"/>
    <cellStyle name="Comma 8 7 2 2 4 3 2" xfId="6571"/>
    <cellStyle name="Comma 8 7 2 2 4 4" xfId="6572"/>
    <cellStyle name="Comma 8 7 2 2 5" xfId="6573"/>
    <cellStyle name="Comma 8 7 2 2 5 2" xfId="6574"/>
    <cellStyle name="Comma 8 7 2 2 6" xfId="6575"/>
    <cellStyle name="Comma 8 7 2 2 6 2" xfId="6576"/>
    <cellStyle name="Comma 8 7 2 2 7" xfId="6577"/>
    <cellStyle name="Comma 8 7 2 3" xfId="6578"/>
    <cellStyle name="Comma 8 7 2 3 2" xfId="6579"/>
    <cellStyle name="Comma 8 7 2 3 2 2" xfId="6580"/>
    <cellStyle name="Comma 8 7 2 3 2 2 2" xfId="6581"/>
    <cellStyle name="Comma 8 7 2 3 2 3" xfId="6582"/>
    <cellStyle name="Comma 8 7 2 3 2 3 2" xfId="6583"/>
    <cellStyle name="Comma 8 7 2 3 2 4" xfId="6584"/>
    <cellStyle name="Comma 8 7 2 3 2 4 2" xfId="6585"/>
    <cellStyle name="Comma 8 7 2 3 2 5" xfId="6586"/>
    <cellStyle name="Comma 8 7 2 3 3" xfId="6587"/>
    <cellStyle name="Comma 8 7 2 3 3 2" xfId="6588"/>
    <cellStyle name="Comma 8 7 2 3 4" xfId="6589"/>
    <cellStyle name="Comma 8 7 2 3 4 2" xfId="6590"/>
    <cellStyle name="Comma 8 7 2 3 4 2 2" xfId="6591"/>
    <cellStyle name="Comma 8 7 2 3 4 3" xfId="6592"/>
    <cellStyle name="Comma 8 7 2 3 4 3 2" xfId="6593"/>
    <cellStyle name="Comma 8 7 2 3 4 4" xfId="6594"/>
    <cellStyle name="Comma 8 7 2 3 5" xfId="6595"/>
    <cellStyle name="Comma 8 7 2 3 5 2" xfId="6596"/>
    <cellStyle name="Comma 8 7 2 3 6" xfId="6597"/>
    <cellStyle name="Comma 8 7 2 3 6 2" xfId="6598"/>
    <cellStyle name="Comma 8 7 2 3 7" xfId="6599"/>
    <cellStyle name="Comma 8 7 2 4" xfId="6600"/>
    <cellStyle name="Comma 8 7 2 4 2" xfId="6601"/>
    <cellStyle name="Comma 8 7 2 4 2 2" xfId="6602"/>
    <cellStyle name="Comma 8 7 2 4 3" xfId="6603"/>
    <cellStyle name="Comma 8 7 2 4 3 2" xfId="6604"/>
    <cellStyle name="Comma 8 7 2 4 4" xfId="6605"/>
    <cellStyle name="Comma 8 7 2 4 4 2" xfId="6606"/>
    <cellStyle name="Comma 8 7 2 4 5" xfId="6607"/>
    <cellStyle name="Comma 8 7 2 5" xfId="6608"/>
    <cellStyle name="Comma 8 7 2 5 2" xfId="6609"/>
    <cellStyle name="Comma 8 7 2 6" xfId="6610"/>
    <cellStyle name="Comma 8 7 2 6 2" xfId="6611"/>
    <cellStyle name="Comma 8 7 2 6 2 2" xfId="6612"/>
    <cellStyle name="Comma 8 7 2 6 3" xfId="6613"/>
    <cellStyle name="Comma 8 7 2 6 3 2" xfId="6614"/>
    <cellStyle name="Comma 8 7 2 6 4" xfId="6615"/>
    <cellStyle name="Comma 8 7 2 7" xfId="6616"/>
    <cellStyle name="Comma 8 7 2 7 2" xfId="6617"/>
    <cellStyle name="Comma 8 7 2 8" xfId="6618"/>
    <cellStyle name="Comma 8 7 2 8 2" xfId="6619"/>
    <cellStyle name="Comma 8 7 2 9" xfId="6620"/>
    <cellStyle name="Comma 8 7 3" xfId="6621"/>
    <cellStyle name="Comma 8 7 3 2" xfId="6622"/>
    <cellStyle name="Comma 8 7 3 2 2" xfId="6623"/>
    <cellStyle name="Comma 8 7 3 2 2 2" xfId="6624"/>
    <cellStyle name="Comma 8 7 3 2 3" xfId="6625"/>
    <cellStyle name="Comma 8 7 3 2 3 2" xfId="6626"/>
    <cellStyle name="Comma 8 7 3 2 4" xfId="6627"/>
    <cellStyle name="Comma 8 7 3 2 4 2" xfId="6628"/>
    <cellStyle name="Comma 8 7 3 2 5" xfId="6629"/>
    <cellStyle name="Comma 8 7 3 3" xfId="6630"/>
    <cellStyle name="Comma 8 7 3 3 2" xfId="6631"/>
    <cellStyle name="Comma 8 7 3 4" xfId="6632"/>
    <cellStyle name="Comma 8 7 3 4 2" xfId="6633"/>
    <cellStyle name="Comma 8 7 3 4 2 2" xfId="6634"/>
    <cellStyle name="Comma 8 7 3 4 3" xfId="6635"/>
    <cellStyle name="Comma 8 7 3 4 3 2" xfId="6636"/>
    <cellStyle name="Comma 8 7 3 4 4" xfId="6637"/>
    <cellStyle name="Comma 8 7 3 5" xfId="6638"/>
    <cellStyle name="Comma 8 7 3 5 2" xfId="6639"/>
    <cellStyle name="Comma 8 7 3 6" xfId="6640"/>
    <cellStyle name="Comma 8 7 3 6 2" xfId="6641"/>
    <cellStyle name="Comma 8 7 3 7" xfId="6642"/>
    <cellStyle name="Comma 8 7 4" xfId="6643"/>
    <cellStyle name="Comma 8 7 4 2" xfId="6644"/>
    <cellStyle name="Comma 8 7 4 2 2" xfId="6645"/>
    <cellStyle name="Comma 8 7 4 2 2 2" xfId="6646"/>
    <cellStyle name="Comma 8 7 4 2 3" xfId="6647"/>
    <cellStyle name="Comma 8 7 4 2 3 2" xfId="6648"/>
    <cellStyle name="Comma 8 7 4 2 4" xfId="6649"/>
    <cellStyle name="Comma 8 7 4 2 4 2" xfId="6650"/>
    <cellStyle name="Comma 8 7 4 2 5" xfId="6651"/>
    <cellStyle name="Comma 8 7 4 3" xfId="6652"/>
    <cellStyle name="Comma 8 7 4 3 2" xfId="6653"/>
    <cellStyle name="Comma 8 7 4 4" xfId="6654"/>
    <cellStyle name="Comma 8 7 4 4 2" xfId="6655"/>
    <cellStyle name="Comma 8 7 4 4 2 2" xfId="6656"/>
    <cellStyle name="Comma 8 7 4 4 3" xfId="6657"/>
    <cellStyle name="Comma 8 7 4 4 3 2" xfId="6658"/>
    <cellStyle name="Comma 8 7 4 4 4" xfId="6659"/>
    <cellStyle name="Comma 8 7 4 5" xfId="6660"/>
    <cellStyle name="Comma 8 7 4 5 2" xfId="6661"/>
    <cellStyle name="Comma 8 7 4 6" xfId="6662"/>
    <cellStyle name="Comma 8 7 4 6 2" xfId="6663"/>
    <cellStyle name="Comma 8 7 4 7" xfId="6664"/>
    <cellStyle name="Comma 8 7 5" xfId="6665"/>
    <cellStyle name="Comma 8 7 5 2" xfId="6666"/>
    <cellStyle name="Comma 8 7 5 2 2" xfId="6667"/>
    <cellStyle name="Comma 8 7 5 3" xfId="6668"/>
    <cellStyle name="Comma 8 7 5 3 2" xfId="6669"/>
    <cellStyle name="Comma 8 7 5 4" xfId="6670"/>
    <cellStyle name="Comma 8 7 5 4 2" xfId="6671"/>
    <cellStyle name="Comma 8 7 5 5" xfId="6672"/>
    <cellStyle name="Comma 8 7 6" xfId="6673"/>
    <cellStyle name="Comma 8 7 6 2" xfId="6674"/>
    <cellStyle name="Comma 8 7 7" xfId="6675"/>
    <cellStyle name="Comma 8 7 7 2" xfId="6676"/>
    <cellStyle name="Comma 8 7 7 2 2" xfId="6677"/>
    <cellStyle name="Comma 8 7 7 3" xfId="6678"/>
    <cellStyle name="Comma 8 7 7 3 2" xfId="6679"/>
    <cellStyle name="Comma 8 7 7 4" xfId="6680"/>
    <cellStyle name="Comma 8 7 8" xfId="6681"/>
    <cellStyle name="Comma 8 7 8 2" xfId="6682"/>
    <cellStyle name="Comma 8 7 9" xfId="6683"/>
    <cellStyle name="Comma 8 7 9 2" xfId="6684"/>
    <cellStyle name="Comma 8 8" xfId="6685"/>
    <cellStyle name="Comma 8 8 10" xfId="6686"/>
    <cellStyle name="Comma 8 8 2" xfId="6687"/>
    <cellStyle name="Comma 8 8 2 2" xfId="6688"/>
    <cellStyle name="Comma 8 8 2 2 2" xfId="6689"/>
    <cellStyle name="Comma 8 8 2 2 2 2" xfId="6690"/>
    <cellStyle name="Comma 8 8 2 2 2 2 2" xfId="6691"/>
    <cellStyle name="Comma 8 8 2 2 2 3" xfId="6692"/>
    <cellStyle name="Comma 8 8 2 2 2 3 2" xfId="6693"/>
    <cellStyle name="Comma 8 8 2 2 2 4" xfId="6694"/>
    <cellStyle name="Comma 8 8 2 2 2 4 2" xfId="6695"/>
    <cellStyle name="Comma 8 8 2 2 2 5" xfId="6696"/>
    <cellStyle name="Comma 8 8 2 2 3" xfId="6697"/>
    <cellStyle name="Comma 8 8 2 2 3 2" xfId="6698"/>
    <cellStyle name="Comma 8 8 2 2 4" xfId="6699"/>
    <cellStyle name="Comma 8 8 2 2 4 2" xfId="6700"/>
    <cellStyle name="Comma 8 8 2 2 4 2 2" xfId="6701"/>
    <cellStyle name="Comma 8 8 2 2 4 3" xfId="6702"/>
    <cellStyle name="Comma 8 8 2 2 4 3 2" xfId="6703"/>
    <cellStyle name="Comma 8 8 2 2 4 4" xfId="6704"/>
    <cellStyle name="Comma 8 8 2 2 5" xfId="6705"/>
    <cellStyle name="Comma 8 8 2 2 5 2" xfId="6706"/>
    <cellStyle name="Comma 8 8 2 2 6" xfId="6707"/>
    <cellStyle name="Comma 8 8 2 2 6 2" xfId="6708"/>
    <cellStyle name="Comma 8 8 2 2 7" xfId="6709"/>
    <cellStyle name="Comma 8 8 2 3" xfId="6710"/>
    <cellStyle name="Comma 8 8 2 3 2" xfId="6711"/>
    <cellStyle name="Comma 8 8 2 3 2 2" xfId="6712"/>
    <cellStyle name="Comma 8 8 2 3 2 2 2" xfId="6713"/>
    <cellStyle name="Comma 8 8 2 3 2 3" xfId="6714"/>
    <cellStyle name="Comma 8 8 2 3 2 3 2" xfId="6715"/>
    <cellStyle name="Comma 8 8 2 3 2 4" xfId="6716"/>
    <cellStyle name="Comma 8 8 2 3 2 4 2" xfId="6717"/>
    <cellStyle name="Comma 8 8 2 3 2 5" xfId="6718"/>
    <cellStyle name="Comma 8 8 2 3 3" xfId="6719"/>
    <cellStyle name="Comma 8 8 2 3 3 2" xfId="6720"/>
    <cellStyle name="Comma 8 8 2 3 4" xfId="6721"/>
    <cellStyle name="Comma 8 8 2 3 4 2" xfId="6722"/>
    <cellStyle name="Comma 8 8 2 3 4 2 2" xfId="6723"/>
    <cellStyle name="Comma 8 8 2 3 4 3" xfId="6724"/>
    <cellStyle name="Comma 8 8 2 3 4 3 2" xfId="6725"/>
    <cellStyle name="Comma 8 8 2 3 4 4" xfId="6726"/>
    <cellStyle name="Comma 8 8 2 3 5" xfId="6727"/>
    <cellStyle name="Comma 8 8 2 3 5 2" xfId="6728"/>
    <cellStyle name="Comma 8 8 2 3 6" xfId="6729"/>
    <cellStyle name="Comma 8 8 2 3 6 2" xfId="6730"/>
    <cellStyle name="Comma 8 8 2 3 7" xfId="6731"/>
    <cellStyle name="Comma 8 8 2 4" xfId="6732"/>
    <cellStyle name="Comma 8 8 2 4 2" xfId="6733"/>
    <cellStyle name="Comma 8 8 2 4 2 2" xfId="6734"/>
    <cellStyle name="Comma 8 8 2 4 3" xfId="6735"/>
    <cellStyle name="Comma 8 8 2 4 3 2" xfId="6736"/>
    <cellStyle name="Comma 8 8 2 4 4" xfId="6737"/>
    <cellStyle name="Comma 8 8 2 4 4 2" xfId="6738"/>
    <cellStyle name="Comma 8 8 2 4 5" xfId="6739"/>
    <cellStyle name="Comma 8 8 2 5" xfId="6740"/>
    <cellStyle name="Comma 8 8 2 5 2" xfId="6741"/>
    <cellStyle name="Comma 8 8 2 6" xfId="6742"/>
    <cellStyle name="Comma 8 8 2 6 2" xfId="6743"/>
    <cellStyle name="Comma 8 8 2 6 2 2" xfId="6744"/>
    <cellStyle name="Comma 8 8 2 6 3" xfId="6745"/>
    <cellStyle name="Comma 8 8 2 6 3 2" xfId="6746"/>
    <cellStyle name="Comma 8 8 2 6 4" xfId="6747"/>
    <cellStyle name="Comma 8 8 2 7" xfId="6748"/>
    <cellStyle name="Comma 8 8 2 7 2" xfId="6749"/>
    <cellStyle name="Comma 8 8 2 8" xfId="6750"/>
    <cellStyle name="Comma 8 8 2 8 2" xfId="6751"/>
    <cellStyle name="Comma 8 8 2 9" xfId="6752"/>
    <cellStyle name="Comma 8 8 3" xfId="6753"/>
    <cellStyle name="Comma 8 8 3 2" xfId="6754"/>
    <cellStyle name="Comma 8 8 3 2 2" xfId="6755"/>
    <cellStyle name="Comma 8 8 3 2 2 2" xfId="6756"/>
    <cellStyle name="Comma 8 8 3 2 3" xfId="6757"/>
    <cellStyle name="Comma 8 8 3 2 3 2" xfId="6758"/>
    <cellStyle name="Comma 8 8 3 2 4" xfId="6759"/>
    <cellStyle name="Comma 8 8 3 2 4 2" xfId="6760"/>
    <cellStyle name="Comma 8 8 3 2 5" xfId="6761"/>
    <cellStyle name="Comma 8 8 3 3" xfId="6762"/>
    <cellStyle name="Comma 8 8 3 3 2" xfId="6763"/>
    <cellStyle name="Comma 8 8 3 4" xfId="6764"/>
    <cellStyle name="Comma 8 8 3 4 2" xfId="6765"/>
    <cellStyle name="Comma 8 8 3 4 2 2" xfId="6766"/>
    <cellStyle name="Comma 8 8 3 4 3" xfId="6767"/>
    <cellStyle name="Comma 8 8 3 4 3 2" xfId="6768"/>
    <cellStyle name="Comma 8 8 3 4 4" xfId="6769"/>
    <cellStyle name="Comma 8 8 3 5" xfId="6770"/>
    <cellStyle name="Comma 8 8 3 5 2" xfId="6771"/>
    <cellStyle name="Comma 8 8 3 6" xfId="6772"/>
    <cellStyle name="Comma 8 8 3 6 2" xfId="6773"/>
    <cellStyle name="Comma 8 8 3 7" xfId="6774"/>
    <cellStyle name="Comma 8 8 4" xfId="6775"/>
    <cellStyle name="Comma 8 8 4 2" xfId="6776"/>
    <cellStyle name="Comma 8 8 4 2 2" xfId="6777"/>
    <cellStyle name="Comma 8 8 4 2 2 2" xfId="6778"/>
    <cellStyle name="Comma 8 8 4 2 3" xfId="6779"/>
    <cellStyle name="Comma 8 8 4 2 3 2" xfId="6780"/>
    <cellStyle name="Comma 8 8 4 2 4" xfId="6781"/>
    <cellStyle name="Comma 8 8 4 2 4 2" xfId="6782"/>
    <cellStyle name="Comma 8 8 4 2 5" xfId="6783"/>
    <cellStyle name="Comma 8 8 4 3" xfId="6784"/>
    <cellStyle name="Comma 8 8 4 3 2" xfId="6785"/>
    <cellStyle name="Comma 8 8 4 4" xfId="6786"/>
    <cellStyle name="Comma 8 8 4 4 2" xfId="6787"/>
    <cellStyle name="Comma 8 8 4 4 2 2" xfId="6788"/>
    <cellStyle name="Comma 8 8 4 4 3" xfId="6789"/>
    <cellStyle name="Comma 8 8 4 4 3 2" xfId="6790"/>
    <cellStyle name="Comma 8 8 4 4 4" xfId="6791"/>
    <cellStyle name="Comma 8 8 4 5" xfId="6792"/>
    <cellStyle name="Comma 8 8 4 5 2" xfId="6793"/>
    <cellStyle name="Comma 8 8 4 6" xfId="6794"/>
    <cellStyle name="Comma 8 8 4 6 2" xfId="6795"/>
    <cellStyle name="Comma 8 8 4 7" xfId="6796"/>
    <cellStyle name="Comma 8 8 5" xfId="6797"/>
    <cellStyle name="Comma 8 8 5 2" xfId="6798"/>
    <cellStyle name="Comma 8 8 5 2 2" xfId="6799"/>
    <cellStyle name="Comma 8 8 5 3" xfId="6800"/>
    <cellStyle name="Comma 8 8 5 3 2" xfId="6801"/>
    <cellStyle name="Comma 8 8 5 4" xfId="6802"/>
    <cellStyle name="Comma 8 8 5 4 2" xfId="6803"/>
    <cellStyle name="Comma 8 8 5 5" xfId="6804"/>
    <cellStyle name="Comma 8 8 6" xfId="6805"/>
    <cellStyle name="Comma 8 8 6 2" xfId="6806"/>
    <cellStyle name="Comma 8 8 7" xfId="6807"/>
    <cellStyle name="Comma 8 8 7 2" xfId="6808"/>
    <cellStyle name="Comma 8 8 7 2 2" xfId="6809"/>
    <cellStyle name="Comma 8 8 7 3" xfId="6810"/>
    <cellStyle name="Comma 8 8 7 3 2" xfId="6811"/>
    <cellStyle name="Comma 8 8 7 4" xfId="6812"/>
    <cellStyle name="Comma 8 8 8" xfId="6813"/>
    <cellStyle name="Comma 8 8 8 2" xfId="6814"/>
    <cellStyle name="Comma 8 8 9" xfId="6815"/>
    <cellStyle name="Comma 8 8 9 2" xfId="6816"/>
    <cellStyle name="Comma 8 9" xfId="6817"/>
    <cellStyle name="Comma 8 9 2" xfId="6818"/>
    <cellStyle name="Comma 8 9 2 2" xfId="6819"/>
    <cellStyle name="Comma 8 9 2 2 2" xfId="6820"/>
    <cellStyle name="Comma 8 9 2 2 2 2" xfId="6821"/>
    <cellStyle name="Comma 8 9 2 2 3" xfId="6822"/>
    <cellStyle name="Comma 8 9 2 2 3 2" xfId="6823"/>
    <cellStyle name="Comma 8 9 2 2 4" xfId="6824"/>
    <cellStyle name="Comma 8 9 2 2 4 2" xfId="6825"/>
    <cellStyle name="Comma 8 9 2 2 5" xfId="6826"/>
    <cellStyle name="Comma 8 9 2 3" xfId="6827"/>
    <cellStyle name="Comma 8 9 2 3 2" xfId="6828"/>
    <cellStyle name="Comma 8 9 2 4" xfId="6829"/>
    <cellStyle name="Comma 8 9 2 4 2" xfId="6830"/>
    <cellStyle name="Comma 8 9 2 4 2 2" xfId="6831"/>
    <cellStyle name="Comma 8 9 2 4 3" xfId="6832"/>
    <cellStyle name="Comma 8 9 2 4 3 2" xfId="6833"/>
    <cellStyle name="Comma 8 9 2 4 4" xfId="6834"/>
    <cellStyle name="Comma 8 9 2 5" xfId="6835"/>
    <cellStyle name="Comma 8 9 2 5 2" xfId="6836"/>
    <cellStyle name="Comma 8 9 2 6" xfId="6837"/>
    <cellStyle name="Comma 8 9 2 6 2" xfId="6838"/>
    <cellStyle name="Comma 8 9 2 7" xfId="6839"/>
    <cellStyle name="Comma 8 9 3" xfId="6840"/>
    <cellStyle name="Comma 8 9 3 2" xfId="6841"/>
    <cellStyle name="Comma 8 9 3 2 2" xfId="6842"/>
    <cellStyle name="Comma 8 9 3 2 2 2" xfId="6843"/>
    <cellStyle name="Comma 8 9 3 2 3" xfId="6844"/>
    <cellStyle name="Comma 8 9 3 2 3 2" xfId="6845"/>
    <cellStyle name="Comma 8 9 3 2 4" xfId="6846"/>
    <cellStyle name="Comma 8 9 3 2 4 2" xfId="6847"/>
    <cellStyle name="Comma 8 9 3 2 5" xfId="6848"/>
    <cellStyle name="Comma 8 9 3 3" xfId="6849"/>
    <cellStyle name="Comma 8 9 3 3 2" xfId="6850"/>
    <cellStyle name="Comma 8 9 3 4" xfId="6851"/>
    <cellStyle name="Comma 8 9 3 4 2" xfId="6852"/>
    <cellStyle name="Comma 8 9 3 4 2 2" xfId="6853"/>
    <cellStyle name="Comma 8 9 3 4 3" xfId="6854"/>
    <cellStyle name="Comma 8 9 3 4 3 2" xfId="6855"/>
    <cellStyle name="Comma 8 9 3 4 4" xfId="6856"/>
    <cellStyle name="Comma 8 9 3 5" xfId="6857"/>
    <cellStyle name="Comma 8 9 3 5 2" xfId="6858"/>
    <cellStyle name="Comma 8 9 3 6" xfId="6859"/>
    <cellStyle name="Comma 8 9 3 6 2" xfId="6860"/>
    <cellStyle name="Comma 8 9 3 7" xfId="6861"/>
    <cellStyle name="Comma 8 9 4" xfId="6862"/>
    <cellStyle name="Comma 8 9 4 2" xfId="6863"/>
    <cellStyle name="Comma 8 9 4 2 2" xfId="6864"/>
    <cellStyle name="Comma 8 9 4 3" xfId="6865"/>
    <cellStyle name="Comma 8 9 4 3 2" xfId="6866"/>
    <cellStyle name="Comma 8 9 4 4" xfId="6867"/>
    <cellStyle name="Comma 8 9 4 4 2" xfId="6868"/>
    <cellStyle name="Comma 8 9 4 5" xfId="6869"/>
    <cellStyle name="Comma 8 9 5" xfId="6870"/>
    <cellStyle name="Comma 8 9 5 2" xfId="6871"/>
    <cellStyle name="Comma 8 9 6" xfId="6872"/>
    <cellStyle name="Comma 8 9 6 2" xfId="6873"/>
    <cellStyle name="Comma 8 9 6 2 2" xfId="6874"/>
    <cellStyle name="Comma 8 9 6 3" xfId="6875"/>
    <cellStyle name="Comma 8 9 6 3 2" xfId="6876"/>
    <cellStyle name="Comma 8 9 6 4" xfId="6877"/>
    <cellStyle name="Comma 8 9 7" xfId="6878"/>
    <cellStyle name="Comma 8 9 7 2" xfId="6879"/>
    <cellStyle name="Comma 8 9 8" xfId="6880"/>
    <cellStyle name="Comma 8 9 8 2" xfId="6881"/>
    <cellStyle name="Comma 8 9 9" xfId="6882"/>
    <cellStyle name="Comma 9" xfId="55"/>
    <cellStyle name="Comma 9 10" xfId="17121"/>
    <cellStyle name="Comma 9 10 2" xfId="25098"/>
    <cellStyle name="Comma 9 10 2 2" xfId="25099"/>
    <cellStyle name="Comma 9 10 3" xfId="25100"/>
    <cellStyle name="Comma 9 11" xfId="17122"/>
    <cellStyle name="Comma 9 11 2" xfId="25101"/>
    <cellStyle name="Comma 9 12" xfId="19225"/>
    <cellStyle name="Comma 9 13" xfId="25102"/>
    <cellStyle name="Comma 9 14" xfId="25103"/>
    <cellStyle name="Comma 9 2" xfId="56"/>
    <cellStyle name="Comma 9 2 10" xfId="25104"/>
    <cellStyle name="Comma 9 2 11" xfId="25105"/>
    <cellStyle name="Comma 9 2 2" xfId="6883"/>
    <cellStyle name="Comma 9 2 2 2" xfId="6884"/>
    <cellStyle name="Comma 9 2 2 2 2" xfId="17123"/>
    <cellStyle name="Comma 9 2 2 2 2 2" xfId="17124"/>
    <cellStyle name="Comma 9 2 2 2 2 2 2" xfId="25106"/>
    <cellStyle name="Comma 9 2 2 2 2 2 2 2" xfId="25107"/>
    <cellStyle name="Comma 9 2 2 2 2 2 2 2 2" xfId="25108"/>
    <cellStyle name="Comma 9 2 2 2 2 2 2 3" xfId="25109"/>
    <cellStyle name="Comma 9 2 2 2 2 2 3" xfId="25110"/>
    <cellStyle name="Comma 9 2 2 2 2 2 3 2" xfId="25111"/>
    <cellStyle name="Comma 9 2 2 2 2 2 4" xfId="25112"/>
    <cellStyle name="Comma 9 2 2 2 2 3" xfId="25113"/>
    <cellStyle name="Comma 9 2 2 2 2 3 2" xfId="25114"/>
    <cellStyle name="Comma 9 2 2 2 2 3 2 2" xfId="25115"/>
    <cellStyle name="Comma 9 2 2 2 2 3 3" xfId="25116"/>
    <cellStyle name="Comma 9 2 2 2 2 4" xfId="25117"/>
    <cellStyle name="Comma 9 2 2 2 2 4 2" xfId="25118"/>
    <cellStyle name="Comma 9 2 2 2 2 5" xfId="25119"/>
    <cellStyle name="Comma 9 2 2 2 3" xfId="17125"/>
    <cellStyle name="Comma 9 2 2 2 3 2" xfId="25120"/>
    <cellStyle name="Comma 9 2 2 2 3 2 2" xfId="25121"/>
    <cellStyle name="Comma 9 2 2 2 3 2 2 2" xfId="25122"/>
    <cellStyle name="Comma 9 2 2 2 3 2 3" xfId="25123"/>
    <cellStyle name="Comma 9 2 2 2 3 3" xfId="25124"/>
    <cellStyle name="Comma 9 2 2 2 3 3 2" xfId="25125"/>
    <cellStyle name="Comma 9 2 2 2 3 4" xfId="25126"/>
    <cellStyle name="Comma 9 2 2 2 4" xfId="25127"/>
    <cellStyle name="Comma 9 2 2 2 4 2" xfId="25128"/>
    <cellStyle name="Comma 9 2 2 2 4 2 2" xfId="25129"/>
    <cellStyle name="Comma 9 2 2 2 4 3" xfId="25130"/>
    <cellStyle name="Comma 9 2 2 2 5" xfId="25131"/>
    <cellStyle name="Comma 9 2 2 2 5 2" xfId="25132"/>
    <cellStyle name="Comma 9 2 2 2 6" xfId="25133"/>
    <cellStyle name="Comma 9 2 2 3" xfId="17126"/>
    <cellStyle name="Comma 9 2 2 3 2" xfId="17127"/>
    <cellStyle name="Comma 9 2 2 3 2 2" xfId="25134"/>
    <cellStyle name="Comma 9 2 2 3 2 2 2" xfId="25135"/>
    <cellStyle name="Comma 9 2 2 3 2 2 2 2" xfId="25136"/>
    <cellStyle name="Comma 9 2 2 3 2 2 3" xfId="25137"/>
    <cellStyle name="Comma 9 2 2 3 2 3" xfId="25138"/>
    <cellStyle name="Comma 9 2 2 3 2 3 2" xfId="25139"/>
    <cellStyle name="Comma 9 2 2 3 2 4" xfId="25140"/>
    <cellStyle name="Comma 9 2 2 3 3" xfId="25141"/>
    <cellStyle name="Comma 9 2 2 3 3 2" xfId="25142"/>
    <cellStyle name="Comma 9 2 2 3 3 2 2" xfId="25143"/>
    <cellStyle name="Comma 9 2 2 3 3 3" xfId="25144"/>
    <cellStyle name="Comma 9 2 2 3 4" xfId="25145"/>
    <cellStyle name="Comma 9 2 2 3 4 2" xfId="25146"/>
    <cellStyle name="Comma 9 2 2 3 5" xfId="25147"/>
    <cellStyle name="Comma 9 2 2 4" xfId="17128"/>
    <cellStyle name="Comma 9 2 2 4 2" xfId="25148"/>
    <cellStyle name="Comma 9 2 2 4 2 2" xfId="25149"/>
    <cellStyle name="Comma 9 2 2 4 2 2 2" xfId="25150"/>
    <cellStyle name="Comma 9 2 2 4 2 3" xfId="25151"/>
    <cellStyle name="Comma 9 2 2 4 3" xfId="25152"/>
    <cellStyle name="Comma 9 2 2 4 3 2" xfId="25153"/>
    <cellStyle name="Comma 9 2 2 4 4" xfId="25154"/>
    <cellStyle name="Comma 9 2 2 5" xfId="17129"/>
    <cellStyle name="Comma 9 2 2 6" xfId="19227"/>
    <cellStyle name="Comma 9 2 2 6 2" xfId="25155"/>
    <cellStyle name="Comma 9 2 2 6 2 2" xfId="25156"/>
    <cellStyle name="Comma 9 2 2 6 3" xfId="25157"/>
    <cellStyle name="Comma 9 2 2 7" xfId="25158"/>
    <cellStyle name="Comma 9 2 2 7 2" xfId="25159"/>
    <cellStyle name="Comma 9 2 2 8" xfId="25160"/>
    <cellStyle name="Comma 9 2 3" xfId="6885"/>
    <cellStyle name="Comma 9 2 3 2" xfId="17130"/>
    <cellStyle name="Comma 9 2 3 2 2" xfId="17131"/>
    <cellStyle name="Comma 9 2 3 2 2 2" xfId="25161"/>
    <cellStyle name="Comma 9 2 3 2 2 2 2" xfId="25162"/>
    <cellStyle name="Comma 9 2 3 2 2 2 2 2" xfId="25163"/>
    <cellStyle name="Comma 9 2 3 2 2 2 3" xfId="25164"/>
    <cellStyle name="Comma 9 2 3 2 2 3" xfId="25165"/>
    <cellStyle name="Comma 9 2 3 2 2 3 2" xfId="25166"/>
    <cellStyle name="Comma 9 2 3 2 2 4" xfId="25167"/>
    <cellStyle name="Comma 9 2 3 2 3" xfId="25168"/>
    <cellStyle name="Comma 9 2 3 2 3 2" xfId="25169"/>
    <cellStyle name="Comma 9 2 3 2 3 2 2" xfId="25170"/>
    <cellStyle name="Comma 9 2 3 2 3 3" xfId="25171"/>
    <cellStyle name="Comma 9 2 3 2 4" xfId="25172"/>
    <cellStyle name="Comma 9 2 3 2 4 2" xfId="25173"/>
    <cellStyle name="Comma 9 2 3 2 5" xfId="25174"/>
    <cellStyle name="Comma 9 2 3 3" xfId="17132"/>
    <cellStyle name="Comma 9 2 3 3 2" xfId="25175"/>
    <cellStyle name="Comma 9 2 3 3 2 2" xfId="25176"/>
    <cellStyle name="Comma 9 2 3 3 2 2 2" xfId="25177"/>
    <cellStyle name="Comma 9 2 3 3 2 3" xfId="25178"/>
    <cellStyle name="Comma 9 2 3 3 3" xfId="25179"/>
    <cellStyle name="Comma 9 2 3 3 3 2" xfId="25180"/>
    <cellStyle name="Comma 9 2 3 3 4" xfId="25181"/>
    <cellStyle name="Comma 9 2 3 4" xfId="25182"/>
    <cellStyle name="Comma 9 2 3 4 2" xfId="25183"/>
    <cellStyle name="Comma 9 2 3 4 2 2" xfId="25184"/>
    <cellStyle name="Comma 9 2 3 4 3" xfId="25185"/>
    <cellStyle name="Comma 9 2 3 5" xfId="25186"/>
    <cellStyle name="Comma 9 2 3 5 2" xfId="25187"/>
    <cellStyle name="Comma 9 2 3 6" xfId="25188"/>
    <cellStyle name="Comma 9 2 4" xfId="17133"/>
    <cellStyle name="Comma 9 2 4 2" xfId="17134"/>
    <cellStyle name="Comma 9 2 4 2 2" xfId="25189"/>
    <cellStyle name="Comma 9 2 4 2 2 2" xfId="25190"/>
    <cellStyle name="Comma 9 2 4 2 2 2 2" xfId="25191"/>
    <cellStyle name="Comma 9 2 4 2 2 3" xfId="25192"/>
    <cellStyle name="Comma 9 2 4 2 3" xfId="25193"/>
    <cellStyle name="Comma 9 2 4 2 3 2" xfId="25194"/>
    <cellStyle name="Comma 9 2 4 2 4" xfId="25195"/>
    <cellStyle name="Comma 9 2 4 2 5" xfId="25196"/>
    <cellStyle name="Comma 9 2 4 3" xfId="25197"/>
    <cellStyle name="Comma 9 2 4 3 2" xfId="25198"/>
    <cellStyle name="Comma 9 2 4 3 2 2" xfId="25199"/>
    <cellStyle name="Comma 9 2 4 3 3" xfId="25200"/>
    <cellStyle name="Comma 9 2 4 4" xfId="25201"/>
    <cellStyle name="Comma 9 2 4 4 2" xfId="25202"/>
    <cellStyle name="Comma 9 2 4 5" xfId="25203"/>
    <cellStyle name="Comma 9 2 5" xfId="17135"/>
    <cellStyle name="Comma 9 2 6" xfId="17136"/>
    <cellStyle name="Comma 9 2 6 2" xfId="25204"/>
    <cellStyle name="Comma 9 2 6 2 2" xfId="25205"/>
    <cellStyle name="Comma 9 2 6 2 2 2" xfId="25206"/>
    <cellStyle name="Comma 9 2 6 2 3" xfId="25207"/>
    <cellStyle name="Comma 9 2 6 3" xfId="25208"/>
    <cellStyle name="Comma 9 2 6 3 2" xfId="25209"/>
    <cellStyle name="Comma 9 2 6 4" xfId="25210"/>
    <cellStyle name="Comma 9 2 7" xfId="17137"/>
    <cellStyle name="Comma 9 2 8" xfId="17138"/>
    <cellStyle name="Comma 9 2 8 2" xfId="25211"/>
    <cellStyle name="Comma 9 2 8 2 2" xfId="25212"/>
    <cellStyle name="Comma 9 2 8 3" xfId="25213"/>
    <cellStyle name="Comma 9 2 9" xfId="19226"/>
    <cellStyle name="Comma 9 2 9 2" xfId="25214"/>
    <cellStyle name="Comma 9 3" xfId="6886"/>
    <cellStyle name="Comma 9 3 2" xfId="6887"/>
    <cellStyle name="Comma 9 3 2 2" xfId="17139"/>
    <cellStyle name="Comma 9 3 2 2 2" xfId="17140"/>
    <cellStyle name="Comma 9 3 2 2 2 2" xfId="17141"/>
    <cellStyle name="Comma 9 3 2 2 2 2 2" xfId="25215"/>
    <cellStyle name="Comma 9 3 2 2 2 2 2 2" xfId="25216"/>
    <cellStyle name="Comma 9 3 2 2 2 2 2 2 2" xfId="25217"/>
    <cellStyle name="Comma 9 3 2 2 2 2 2 3" xfId="25218"/>
    <cellStyle name="Comma 9 3 2 2 2 2 3" xfId="25219"/>
    <cellStyle name="Comma 9 3 2 2 2 2 3 2" xfId="25220"/>
    <cellStyle name="Comma 9 3 2 2 2 2 4" xfId="25221"/>
    <cellStyle name="Comma 9 3 2 2 2 3" xfId="25222"/>
    <cellStyle name="Comma 9 3 2 2 2 3 2" xfId="25223"/>
    <cellStyle name="Comma 9 3 2 2 2 3 2 2" xfId="25224"/>
    <cellStyle name="Comma 9 3 2 2 2 3 3" xfId="25225"/>
    <cellStyle name="Comma 9 3 2 2 2 4" xfId="25226"/>
    <cellStyle name="Comma 9 3 2 2 2 4 2" xfId="25227"/>
    <cellStyle name="Comma 9 3 2 2 2 5" xfId="25228"/>
    <cellStyle name="Comma 9 3 2 2 3" xfId="17142"/>
    <cellStyle name="Comma 9 3 2 2 3 2" xfId="25229"/>
    <cellStyle name="Comma 9 3 2 2 3 2 2" xfId="25230"/>
    <cellStyle name="Comma 9 3 2 2 3 2 2 2" xfId="25231"/>
    <cellStyle name="Comma 9 3 2 2 3 2 3" xfId="25232"/>
    <cellStyle name="Comma 9 3 2 2 3 3" xfId="25233"/>
    <cellStyle name="Comma 9 3 2 2 3 3 2" xfId="25234"/>
    <cellStyle name="Comma 9 3 2 2 3 4" xfId="25235"/>
    <cellStyle name="Comma 9 3 2 2 4" xfId="25236"/>
    <cellStyle name="Comma 9 3 2 2 4 2" xfId="25237"/>
    <cellStyle name="Comma 9 3 2 2 4 2 2" xfId="25238"/>
    <cellStyle name="Comma 9 3 2 2 4 3" xfId="25239"/>
    <cellStyle name="Comma 9 3 2 2 5" xfId="25240"/>
    <cellStyle name="Comma 9 3 2 2 5 2" xfId="25241"/>
    <cellStyle name="Comma 9 3 2 2 6" xfId="25242"/>
    <cellStyle name="Comma 9 3 2 3" xfId="17143"/>
    <cellStyle name="Comma 9 3 2 3 2" xfId="17144"/>
    <cellStyle name="Comma 9 3 2 3 2 2" xfId="25243"/>
    <cellStyle name="Comma 9 3 2 3 2 2 2" xfId="25244"/>
    <cellStyle name="Comma 9 3 2 3 2 2 2 2" xfId="25245"/>
    <cellStyle name="Comma 9 3 2 3 2 2 3" xfId="25246"/>
    <cellStyle name="Comma 9 3 2 3 2 3" xfId="25247"/>
    <cellStyle name="Comma 9 3 2 3 2 3 2" xfId="25248"/>
    <cellStyle name="Comma 9 3 2 3 2 4" xfId="25249"/>
    <cellStyle name="Comma 9 3 2 3 3" xfId="25250"/>
    <cellStyle name="Comma 9 3 2 3 3 2" xfId="25251"/>
    <cellStyle name="Comma 9 3 2 3 3 2 2" xfId="25252"/>
    <cellStyle name="Comma 9 3 2 3 3 3" xfId="25253"/>
    <cellStyle name="Comma 9 3 2 3 4" xfId="25254"/>
    <cellStyle name="Comma 9 3 2 3 4 2" xfId="25255"/>
    <cellStyle name="Comma 9 3 2 3 5" xfId="25256"/>
    <cellStyle name="Comma 9 3 2 4" xfId="17145"/>
    <cellStyle name="Comma 9 3 2 4 2" xfId="25257"/>
    <cellStyle name="Comma 9 3 2 4 2 2" xfId="25258"/>
    <cellStyle name="Comma 9 3 2 4 2 2 2" xfId="25259"/>
    <cellStyle name="Comma 9 3 2 4 2 3" xfId="25260"/>
    <cellStyle name="Comma 9 3 2 4 3" xfId="25261"/>
    <cellStyle name="Comma 9 3 2 4 3 2" xfId="25262"/>
    <cellStyle name="Comma 9 3 2 4 4" xfId="25263"/>
    <cellStyle name="Comma 9 3 2 5" xfId="17146"/>
    <cellStyle name="Comma 9 3 2 5 2" xfId="25264"/>
    <cellStyle name="Comma 9 3 2 5 2 2" xfId="25265"/>
    <cellStyle name="Comma 9 3 2 5 3" xfId="25266"/>
    <cellStyle name="Comma 9 3 2 6" xfId="19229"/>
    <cellStyle name="Comma 9 3 2 6 2" xfId="25267"/>
    <cellStyle name="Comma 9 3 2 7" xfId="25268"/>
    <cellStyle name="Comma 9 3 3" xfId="17147"/>
    <cellStyle name="Comma 9 3 3 2" xfId="17148"/>
    <cellStyle name="Comma 9 3 3 2 2" xfId="17149"/>
    <cellStyle name="Comma 9 3 3 2 2 2" xfId="25269"/>
    <cellStyle name="Comma 9 3 3 2 2 2 2" xfId="25270"/>
    <cellStyle name="Comma 9 3 3 2 2 2 2 2" xfId="25271"/>
    <cellStyle name="Comma 9 3 3 2 2 2 3" xfId="25272"/>
    <cellStyle name="Comma 9 3 3 2 2 3" xfId="25273"/>
    <cellStyle name="Comma 9 3 3 2 2 3 2" xfId="25274"/>
    <cellStyle name="Comma 9 3 3 2 2 4" xfId="25275"/>
    <cellStyle name="Comma 9 3 3 2 3" xfId="25276"/>
    <cellStyle name="Comma 9 3 3 2 3 2" xfId="25277"/>
    <cellStyle name="Comma 9 3 3 2 3 2 2" xfId="25278"/>
    <cellStyle name="Comma 9 3 3 2 3 3" xfId="25279"/>
    <cellStyle name="Comma 9 3 3 2 4" xfId="25280"/>
    <cellStyle name="Comma 9 3 3 2 4 2" xfId="25281"/>
    <cellStyle name="Comma 9 3 3 2 5" xfId="25282"/>
    <cellStyle name="Comma 9 3 3 3" xfId="17150"/>
    <cellStyle name="Comma 9 3 3 3 2" xfId="25283"/>
    <cellStyle name="Comma 9 3 3 3 2 2" xfId="25284"/>
    <cellStyle name="Comma 9 3 3 3 2 2 2" xfId="25285"/>
    <cellStyle name="Comma 9 3 3 3 2 3" xfId="25286"/>
    <cellStyle name="Comma 9 3 3 3 3" xfId="25287"/>
    <cellStyle name="Comma 9 3 3 3 3 2" xfId="25288"/>
    <cellStyle name="Comma 9 3 3 3 4" xfId="25289"/>
    <cellStyle name="Comma 9 3 3 4" xfId="25290"/>
    <cellStyle name="Comma 9 3 3 4 2" xfId="25291"/>
    <cellStyle name="Comma 9 3 3 4 2 2" xfId="25292"/>
    <cellStyle name="Comma 9 3 3 4 3" xfId="25293"/>
    <cellStyle name="Comma 9 3 3 5" xfId="25294"/>
    <cellStyle name="Comma 9 3 3 5 2" xfId="25295"/>
    <cellStyle name="Comma 9 3 3 6" xfId="25296"/>
    <cellStyle name="Comma 9 3 4" xfId="17151"/>
    <cellStyle name="Comma 9 3 4 2" xfId="17152"/>
    <cellStyle name="Comma 9 3 4 2 2" xfId="25297"/>
    <cellStyle name="Comma 9 3 4 2 2 2" xfId="25298"/>
    <cellStyle name="Comma 9 3 4 2 2 2 2" xfId="25299"/>
    <cellStyle name="Comma 9 3 4 2 2 3" xfId="25300"/>
    <cellStyle name="Comma 9 3 4 2 3" xfId="25301"/>
    <cellStyle name="Comma 9 3 4 2 3 2" xfId="25302"/>
    <cellStyle name="Comma 9 3 4 2 4" xfId="25303"/>
    <cellStyle name="Comma 9 3 4 3" xfId="25304"/>
    <cellStyle name="Comma 9 3 4 3 2" xfId="25305"/>
    <cellStyle name="Comma 9 3 4 3 2 2" xfId="25306"/>
    <cellStyle name="Comma 9 3 4 3 3" xfId="25307"/>
    <cellStyle name="Comma 9 3 4 4" xfId="25308"/>
    <cellStyle name="Comma 9 3 4 4 2" xfId="25309"/>
    <cellStyle name="Comma 9 3 4 5" xfId="25310"/>
    <cellStyle name="Comma 9 3 5" xfId="17153"/>
    <cellStyle name="Comma 9 3 5 2" xfId="25311"/>
    <cellStyle name="Comma 9 3 5 2 2" xfId="25312"/>
    <cellStyle name="Comma 9 3 5 2 2 2" xfId="25313"/>
    <cellStyle name="Comma 9 3 5 2 3" xfId="25314"/>
    <cellStyle name="Comma 9 3 5 3" xfId="25315"/>
    <cellStyle name="Comma 9 3 5 3 2" xfId="25316"/>
    <cellStyle name="Comma 9 3 5 4" xfId="25317"/>
    <cellStyle name="Comma 9 3 6" xfId="17154"/>
    <cellStyle name="Comma 9 3 7" xfId="19228"/>
    <cellStyle name="Comma 9 3 7 2" xfId="25318"/>
    <cellStyle name="Comma 9 3 7 2 2" xfId="25319"/>
    <cellStyle name="Comma 9 3 7 3" xfId="25320"/>
    <cellStyle name="Comma 9 3 8" xfId="25321"/>
    <cellStyle name="Comma 9 3 8 2" xfId="25322"/>
    <cellStyle name="Comma 9 3 9" xfId="25323"/>
    <cellStyle name="Comma 9 4" xfId="6888"/>
    <cellStyle name="Comma 9 4 2" xfId="17155"/>
    <cellStyle name="Comma 9 4 2 2" xfId="17156"/>
    <cellStyle name="Comma 9 4 2 2 2" xfId="17157"/>
    <cellStyle name="Comma 9 4 2 2 2 2" xfId="25324"/>
    <cellStyle name="Comma 9 4 2 2 2 2 2" xfId="25325"/>
    <cellStyle name="Comma 9 4 2 2 2 2 2 2" xfId="25326"/>
    <cellStyle name="Comma 9 4 2 2 2 2 3" xfId="25327"/>
    <cellStyle name="Comma 9 4 2 2 2 3" xfId="25328"/>
    <cellStyle name="Comma 9 4 2 2 2 3 2" xfId="25329"/>
    <cellStyle name="Comma 9 4 2 2 2 4" xfId="25330"/>
    <cellStyle name="Comma 9 4 2 2 3" xfId="25331"/>
    <cellStyle name="Comma 9 4 2 2 3 2" xfId="25332"/>
    <cellStyle name="Comma 9 4 2 2 3 2 2" xfId="25333"/>
    <cellStyle name="Comma 9 4 2 2 3 3" xfId="25334"/>
    <cellStyle name="Comma 9 4 2 2 4" xfId="25335"/>
    <cellStyle name="Comma 9 4 2 2 4 2" xfId="25336"/>
    <cellStyle name="Comma 9 4 2 2 5" xfId="25337"/>
    <cellStyle name="Comma 9 4 2 3" xfId="17158"/>
    <cellStyle name="Comma 9 4 2 3 2" xfId="25338"/>
    <cellStyle name="Comma 9 4 2 3 2 2" xfId="25339"/>
    <cellStyle name="Comma 9 4 2 3 2 2 2" xfId="25340"/>
    <cellStyle name="Comma 9 4 2 3 2 3" xfId="25341"/>
    <cellStyle name="Comma 9 4 2 3 3" xfId="25342"/>
    <cellStyle name="Comma 9 4 2 3 3 2" xfId="25343"/>
    <cellStyle name="Comma 9 4 2 3 4" xfId="25344"/>
    <cellStyle name="Comma 9 4 2 4" xfId="25345"/>
    <cellStyle name="Comma 9 4 2 4 2" xfId="25346"/>
    <cellStyle name="Comma 9 4 2 4 2 2" xfId="25347"/>
    <cellStyle name="Comma 9 4 2 4 3" xfId="25348"/>
    <cellStyle name="Comma 9 4 2 5" xfId="25349"/>
    <cellStyle name="Comma 9 4 2 5 2" xfId="25350"/>
    <cellStyle name="Comma 9 4 2 6" xfId="25351"/>
    <cellStyle name="Comma 9 4 3" xfId="17159"/>
    <cellStyle name="Comma 9 4 3 2" xfId="17160"/>
    <cellStyle name="Comma 9 4 3 2 2" xfId="25352"/>
    <cellStyle name="Comma 9 4 3 2 2 2" xfId="25353"/>
    <cellStyle name="Comma 9 4 3 2 2 2 2" xfId="25354"/>
    <cellStyle name="Comma 9 4 3 2 2 3" xfId="25355"/>
    <cellStyle name="Comma 9 4 3 2 3" xfId="25356"/>
    <cellStyle name="Comma 9 4 3 2 3 2" xfId="25357"/>
    <cellStyle name="Comma 9 4 3 2 4" xfId="25358"/>
    <cellStyle name="Comma 9 4 3 3" xfId="25359"/>
    <cellStyle name="Comma 9 4 3 3 2" xfId="25360"/>
    <cellStyle name="Comma 9 4 3 3 2 2" xfId="25361"/>
    <cellStyle name="Comma 9 4 3 3 3" xfId="25362"/>
    <cellStyle name="Comma 9 4 3 4" xfId="25363"/>
    <cellStyle name="Comma 9 4 3 4 2" xfId="25364"/>
    <cellStyle name="Comma 9 4 3 5" xfId="25365"/>
    <cellStyle name="Comma 9 4 4" xfId="17161"/>
    <cellStyle name="Comma 9 4 4 2" xfId="25366"/>
    <cellStyle name="Comma 9 4 4 2 2" xfId="25367"/>
    <cellStyle name="Comma 9 4 4 2 2 2" xfId="25368"/>
    <cellStyle name="Comma 9 4 4 2 3" xfId="25369"/>
    <cellStyle name="Comma 9 4 4 3" xfId="25370"/>
    <cellStyle name="Comma 9 4 4 3 2" xfId="25371"/>
    <cellStyle name="Comma 9 4 4 4" xfId="25372"/>
    <cellStyle name="Comma 9 4 5" xfId="17162"/>
    <cellStyle name="Comma 9 4 5 2" xfId="25373"/>
    <cellStyle name="Comma 9 4 5 2 2" xfId="25374"/>
    <cellStyle name="Comma 9 4 5 3" xfId="25375"/>
    <cellStyle name="Comma 9 4 6" xfId="19230"/>
    <cellStyle name="Comma 9 4 6 2" xfId="25376"/>
    <cellStyle name="Comma 9 4 7" xfId="25377"/>
    <cellStyle name="Comma 9 5" xfId="17163"/>
    <cellStyle name="Comma 9 5 2" xfId="17164"/>
    <cellStyle name="Comma 9 5 2 2" xfId="17165"/>
    <cellStyle name="Comma 9 5 2 2 2" xfId="25378"/>
    <cellStyle name="Comma 9 5 2 2 2 2" xfId="25379"/>
    <cellStyle name="Comma 9 5 2 2 2 2 2" xfId="25380"/>
    <cellStyle name="Comma 9 5 2 2 2 3" xfId="25381"/>
    <cellStyle name="Comma 9 5 2 2 3" xfId="25382"/>
    <cellStyle name="Comma 9 5 2 2 3 2" xfId="25383"/>
    <cellStyle name="Comma 9 5 2 2 4" xfId="25384"/>
    <cellStyle name="Comma 9 5 2 3" xfId="25385"/>
    <cellStyle name="Comma 9 5 2 3 2" xfId="25386"/>
    <cellStyle name="Comma 9 5 2 3 2 2" xfId="25387"/>
    <cellStyle name="Comma 9 5 2 3 3" xfId="25388"/>
    <cellStyle name="Comma 9 5 2 4" xfId="25389"/>
    <cellStyle name="Comma 9 5 2 4 2" xfId="25390"/>
    <cellStyle name="Comma 9 5 2 5" xfId="25391"/>
    <cellStyle name="Comma 9 5 2 6" xfId="25392"/>
    <cellStyle name="Comma 9 5 3" xfId="17166"/>
    <cellStyle name="Comma 9 5 3 2" xfId="25393"/>
    <cellStyle name="Comma 9 5 3 2 2" xfId="25394"/>
    <cellStyle name="Comma 9 5 3 2 2 2" xfId="25395"/>
    <cellStyle name="Comma 9 5 3 2 3" xfId="25396"/>
    <cellStyle name="Comma 9 5 3 3" xfId="25397"/>
    <cellStyle name="Comma 9 5 3 3 2" xfId="25398"/>
    <cellStyle name="Comma 9 5 3 4" xfId="25399"/>
    <cellStyle name="Comma 9 5 4" xfId="25400"/>
    <cellStyle name="Comma 9 5 4 2" xfId="25401"/>
    <cellStyle name="Comma 9 5 4 2 2" xfId="25402"/>
    <cellStyle name="Comma 9 5 4 3" xfId="25403"/>
    <cellStyle name="Comma 9 5 5" xfId="25404"/>
    <cellStyle name="Comma 9 5 5 2" xfId="25405"/>
    <cellStyle name="Comma 9 5 6" xfId="25406"/>
    <cellStyle name="Comma 9 6" xfId="17167"/>
    <cellStyle name="Comma 9 6 2" xfId="17168"/>
    <cellStyle name="Comma 9 6 2 2" xfId="25407"/>
    <cellStyle name="Comma 9 6 2 2 2" xfId="25408"/>
    <cellStyle name="Comma 9 6 2 2 2 2" xfId="25409"/>
    <cellStyle name="Comma 9 6 2 2 3" xfId="25410"/>
    <cellStyle name="Comma 9 6 2 3" xfId="25411"/>
    <cellStyle name="Comma 9 6 2 3 2" xfId="25412"/>
    <cellStyle name="Comma 9 6 2 4" xfId="25413"/>
    <cellStyle name="Comma 9 6 3" xfId="25414"/>
    <cellStyle name="Comma 9 6 3 2" xfId="25415"/>
    <cellStyle name="Comma 9 6 3 2 2" xfId="25416"/>
    <cellStyle name="Comma 9 6 3 3" xfId="25417"/>
    <cellStyle name="Comma 9 6 4" xfId="25418"/>
    <cellStyle name="Comma 9 6 4 2" xfId="25419"/>
    <cellStyle name="Comma 9 6 5" xfId="25420"/>
    <cellStyle name="Comma 9 7" xfId="17169"/>
    <cellStyle name="Comma 9 8" xfId="17170"/>
    <cellStyle name="Comma 9 8 2" xfId="25421"/>
    <cellStyle name="Comma 9 8 2 2" xfId="25422"/>
    <cellStyle name="Comma 9 8 2 2 2" xfId="25423"/>
    <cellStyle name="Comma 9 8 2 3" xfId="25424"/>
    <cellStyle name="Comma 9 8 3" xfId="25425"/>
    <cellStyle name="Comma 9 8 3 2" xfId="25426"/>
    <cellStyle name="Comma 9 8 4" xfId="25427"/>
    <cellStyle name="Comma 9 9" xfId="17171"/>
    <cellStyle name="Comma0" xfId="6889"/>
    <cellStyle name="Comma0 - Modelo1" xfId="25428"/>
    <cellStyle name="Comma0 - Style1" xfId="25429"/>
    <cellStyle name="Comma0 - Style2" xfId="17172"/>
    <cellStyle name="Comma0 2" xfId="6890"/>
    <cellStyle name="Comma0 2 2" xfId="6891"/>
    <cellStyle name="Comma0 3" xfId="6892"/>
    <cellStyle name="Comma0 3 2" xfId="25430"/>
    <cellStyle name="Comma0 4" xfId="6893"/>
    <cellStyle name="Comma0 5" xfId="25431"/>
    <cellStyle name="Comma0 6" xfId="25432"/>
    <cellStyle name="Comma1 - Modelo2" xfId="25433"/>
    <cellStyle name="Comma1 - Style2" xfId="25434"/>
    <cellStyle name="Company Name" xfId="6894"/>
    <cellStyle name="Company Name 2" xfId="6895"/>
    <cellStyle name="Copied" xfId="25435"/>
    <cellStyle name="Curren - Style1" xfId="17173"/>
    <cellStyle name="Curren - Style3" xfId="17174"/>
    <cellStyle name="Currency" xfId="3" builtinId="4"/>
    <cellStyle name="Currency [00]" xfId="25436"/>
    <cellStyle name="Currency [00] 2" xfId="25437"/>
    <cellStyle name="Currency [00] 2 2" xfId="25438"/>
    <cellStyle name="Currency [00] 3" xfId="25439"/>
    <cellStyle name="Currency 10" xfId="6896"/>
    <cellStyle name="Currency 10 10" xfId="6897"/>
    <cellStyle name="Currency 10 11" xfId="19231"/>
    <cellStyle name="Currency 10 12" xfId="25440"/>
    <cellStyle name="Currency 10 13" xfId="25441"/>
    <cellStyle name="Currency 10 2" xfId="6898"/>
    <cellStyle name="Currency 10 2 2" xfId="6899"/>
    <cellStyle name="Currency 10 2 2 2" xfId="6900"/>
    <cellStyle name="Currency 10 2 2 2 2" xfId="6901"/>
    <cellStyle name="Currency 10 2 2 2 2 2" xfId="6902"/>
    <cellStyle name="Currency 10 2 2 2 3" xfId="6903"/>
    <cellStyle name="Currency 10 2 2 2 3 2" xfId="6904"/>
    <cellStyle name="Currency 10 2 2 2 4" xfId="6905"/>
    <cellStyle name="Currency 10 2 2 2 4 2" xfId="6906"/>
    <cellStyle name="Currency 10 2 2 2 5" xfId="6907"/>
    <cellStyle name="Currency 10 2 2 3" xfId="6908"/>
    <cellStyle name="Currency 10 2 2 3 2" xfId="6909"/>
    <cellStyle name="Currency 10 2 2 4" xfId="6910"/>
    <cellStyle name="Currency 10 2 2 4 2" xfId="6911"/>
    <cellStyle name="Currency 10 2 2 4 2 2" xfId="6912"/>
    <cellStyle name="Currency 10 2 2 4 3" xfId="6913"/>
    <cellStyle name="Currency 10 2 2 4 3 2" xfId="6914"/>
    <cellStyle name="Currency 10 2 2 4 4" xfId="6915"/>
    <cellStyle name="Currency 10 2 2 5" xfId="6916"/>
    <cellStyle name="Currency 10 2 2 5 2" xfId="6917"/>
    <cellStyle name="Currency 10 2 2 6" xfId="6918"/>
    <cellStyle name="Currency 10 2 2 6 2" xfId="6919"/>
    <cellStyle name="Currency 10 2 2 7" xfId="6920"/>
    <cellStyle name="Currency 10 2 3" xfId="6921"/>
    <cellStyle name="Currency 10 2 3 2" xfId="6922"/>
    <cellStyle name="Currency 10 2 3 2 2" xfId="6923"/>
    <cellStyle name="Currency 10 2 3 2 2 2" xfId="6924"/>
    <cellStyle name="Currency 10 2 3 2 3" xfId="6925"/>
    <cellStyle name="Currency 10 2 3 2 3 2" xfId="6926"/>
    <cellStyle name="Currency 10 2 3 2 4" xfId="6927"/>
    <cellStyle name="Currency 10 2 3 2 4 2" xfId="6928"/>
    <cellStyle name="Currency 10 2 3 2 5" xfId="6929"/>
    <cellStyle name="Currency 10 2 3 3" xfId="6930"/>
    <cellStyle name="Currency 10 2 3 3 2" xfId="6931"/>
    <cellStyle name="Currency 10 2 3 4" xfId="6932"/>
    <cellStyle name="Currency 10 2 3 4 2" xfId="6933"/>
    <cellStyle name="Currency 10 2 3 4 2 2" xfId="6934"/>
    <cellStyle name="Currency 10 2 3 4 3" xfId="6935"/>
    <cellStyle name="Currency 10 2 3 4 3 2" xfId="6936"/>
    <cellStyle name="Currency 10 2 3 4 4" xfId="6937"/>
    <cellStyle name="Currency 10 2 3 5" xfId="6938"/>
    <cellStyle name="Currency 10 2 3 5 2" xfId="6939"/>
    <cellStyle name="Currency 10 2 3 6" xfId="6940"/>
    <cellStyle name="Currency 10 2 3 6 2" xfId="6941"/>
    <cellStyle name="Currency 10 2 3 7" xfId="6942"/>
    <cellStyle name="Currency 10 2 4" xfId="6943"/>
    <cellStyle name="Currency 10 2 4 2" xfId="6944"/>
    <cellStyle name="Currency 10 2 4 2 2" xfId="6945"/>
    <cellStyle name="Currency 10 2 4 3" xfId="6946"/>
    <cellStyle name="Currency 10 2 4 3 2" xfId="6947"/>
    <cellStyle name="Currency 10 2 4 4" xfId="6948"/>
    <cellStyle name="Currency 10 2 4 4 2" xfId="6949"/>
    <cellStyle name="Currency 10 2 4 5" xfId="6950"/>
    <cellStyle name="Currency 10 2 5" xfId="6951"/>
    <cellStyle name="Currency 10 2 5 2" xfId="6952"/>
    <cellStyle name="Currency 10 2 6" xfId="6953"/>
    <cellStyle name="Currency 10 2 6 2" xfId="6954"/>
    <cellStyle name="Currency 10 2 6 2 2" xfId="6955"/>
    <cellStyle name="Currency 10 2 6 3" xfId="6956"/>
    <cellStyle name="Currency 10 2 6 3 2" xfId="6957"/>
    <cellStyle name="Currency 10 2 6 4" xfId="6958"/>
    <cellStyle name="Currency 10 2 7" xfId="6959"/>
    <cellStyle name="Currency 10 2 7 2" xfId="6960"/>
    <cellStyle name="Currency 10 2 8" xfId="6961"/>
    <cellStyle name="Currency 10 2 8 2" xfId="6962"/>
    <cellStyle name="Currency 10 2 9" xfId="6963"/>
    <cellStyle name="Currency 10 3" xfId="6964"/>
    <cellStyle name="Currency 10 3 2" xfId="6965"/>
    <cellStyle name="Currency 10 3 2 2" xfId="6966"/>
    <cellStyle name="Currency 10 3 2 2 2" xfId="6967"/>
    <cellStyle name="Currency 10 3 2 3" xfId="6968"/>
    <cellStyle name="Currency 10 3 2 3 2" xfId="6969"/>
    <cellStyle name="Currency 10 3 2 4" xfId="6970"/>
    <cellStyle name="Currency 10 3 2 4 2" xfId="6971"/>
    <cellStyle name="Currency 10 3 2 5" xfId="6972"/>
    <cellStyle name="Currency 10 3 3" xfId="6973"/>
    <cellStyle name="Currency 10 3 3 2" xfId="6974"/>
    <cellStyle name="Currency 10 3 4" xfId="6975"/>
    <cellStyle name="Currency 10 3 4 2" xfId="6976"/>
    <cellStyle name="Currency 10 3 4 2 2" xfId="6977"/>
    <cellStyle name="Currency 10 3 4 3" xfId="6978"/>
    <cellStyle name="Currency 10 3 4 3 2" xfId="6979"/>
    <cellStyle name="Currency 10 3 4 4" xfId="6980"/>
    <cellStyle name="Currency 10 3 5" xfId="6981"/>
    <cellStyle name="Currency 10 3 5 2" xfId="6982"/>
    <cellStyle name="Currency 10 3 6" xfId="6983"/>
    <cellStyle name="Currency 10 3 6 2" xfId="6984"/>
    <cellStyle name="Currency 10 3 7" xfId="6985"/>
    <cellStyle name="Currency 10 4" xfId="6986"/>
    <cellStyle name="Currency 10 4 2" xfId="6987"/>
    <cellStyle name="Currency 10 4 2 2" xfId="6988"/>
    <cellStyle name="Currency 10 4 2 2 2" xfId="6989"/>
    <cellStyle name="Currency 10 4 2 3" xfId="6990"/>
    <cellStyle name="Currency 10 4 2 3 2" xfId="6991"/>
    <cellStyle name="Currency 10 4 2 4" xfId="6992"/>
    <cellStyle name="Currency 10 4 2 4 2" xfId="6993"/>
    <cellStyle name="Currency 10 4 2 5" xfId="6994"/>
    <cellStyle name="Currency 10 4 3" xfId="6995"/>
    <cellStyle name="Currency 10 4 3 2" xfId="6996"/>
    <cellStyle name="Currency 10 4 4" xfId="6997"/>
    <cellStyle name="Currency 10 4 4 2" xfId="6998"/>
    <cellStyle name="Currency 10 4 4 2 2" xfId="6999"/>
    <cellStyle name="Currency 10 4 4 3" xfId="7000"/>
    <cellStyle name="Currency 10 4 4 3 2" xfId="7001"/>
    <cellStyle name="Currency 10 4 4 4" xfId="7002"/>
    <cellStyle name="Currency 10 4 5" xfId="7003"/>
    <cellStyle name="Currency 10 4 5 2" xfId="7004"/>
    <cellStyle name="Currency 10 4 6" xfId="7005"/>
    <cellStyle name="Currency 10 4 6 2" xfId="7006"/>
    <cellStyle name="Currency 10 4 7" xfId="7007"/>
    <cellStyle name="Currency 10 5" xfId="7008"/>
    <cellStyle name="Currency 10 5 2" xfId="7009"/>
    <cellStyle name="Currency 10 5 2 2" xfId="7010"/>
    <cellStyle name="Currency 10 5 3" xfId="7011"/>
    <cellStyle name="Currency 10 5 3 2" xfId="7012"/>
    <cellStyle name="Currency 10 5 4" xfId="7013"/>
    <cellStyle name="Currency 10 5 4 2" xfId="7014"/>
    <cellStyle name="Currency 10 5 5" xfId="7015"/>
    <cellStyle name="Currency 10 6" xfId="7016"/>
    <cellStyle name="Currency 10 6 2" xfId="7017"/>
    <cellStyle name="Currency 10 7" xfId="7018"/>
    <cellStyle name="Currency 10 7 2" xfId="7019"/>
    <cellStyle name="Currency 10 7 2 2" xfId="7020"/>
    <cellStyle name="Currency 10 7 3" xfId="7021"/>
    <cellStyle name="Currency 10 7 3 2" xfId="7022"/>
    <cellStyle name="Currency 10 7 4" xfId="7023"/>
    <cellStyle name="Currency 10 8" xfId="7024"/>
    <cellStyle name="Currency 10 8 2" xfId="7025"/>
    <cellStyle name="Currency 10 9" xfId="7026"/>
    <cellStyle name="Currency 10 9 2" xfId="7027"/>
    <cellStyle name="Currency 11" xfId="7028"/>
    <cellStyle name="Currency 11 10" xfId="7029"/>
    <cellStyle name="Currency 11 11" xfId="19232"/>
    <cellStyle name="Currency 11 12" xfId="25442"/>
    <cellStyle name="Currency 11 2" xfId="7030"/>
    <cellStyle name="Currency 11 2 10" xfId="25443"/>
    <cellStyle name="Currency 11 2 11" xfId="25444"/>
    <cellStyle name="Currency 11 2 2" xfId="7031"/>
    <cellStyle name="Currency 11 2 2 2" xfId="7032"/>
    <cellStyle name="Currency 11 2 2 2 2" xfId="7033"/>
    <cellStyle name="Currency 11 2 2 2 2 2" xfId="7034"/>
    <cellStyle name="Currency 11 2 2 2 3" xfId="7035"/>
    <cellStyle name="Currency 11 2 2 2 3 2" xfId="7036"/>
    <cellStyle name="Currency 11 2 2 2 4" xfId="7037"/>
    <cellStyle name="Currency 11 2 2 2 4 2" xfId="7038"/>
    <cellStyle name="Currency 11 2 2 2 5" xfId="7039"/>
    <cellStyle name="Currency 11 2 2 3" xfId="7040"/>
    <cellStyle name="Currency 11 2 2 3 2" xfId="7041"/>
    <cellStyle name="Currency 11 2 2 4" xfId="7042"/>
    <cellStyle name="Currency 11 2 2 4 2" xfId="7043"/>
    <cellStyle name="Currency 11 2 2 4 2 2" xfId="7044"/>
    <cellStyle name="Currency 11 2 2 4 3" xfId="7045"/>
    <cellStyle name="Currency 11 2 2 4 3 2" xfId="7046"/>
    <cellStyle name="Currency 11 2 2 4 4" xfId="7047"/>
    <cellStyle name="Currency 11 2 2 5" xfId="7048"/>
    <cellStyle name="Currency 11 2 2 5 2" xfId="7049"/>
    <cellStyle name="Currency 11 2 2 6" xfId="7050"/>
    <cellStyle name="Currency 11 2 2 6 2" xfId="7051"/>
    <cellStyle name="Currency 11 2 2 7" xfId="7052"/>
    <cellStyle name="Currency 11 2 3" xfId="7053"/>
    <cellStyle name="Currency 11 2 3 2" xfId="7054"/>
    <cellStyle name="Currency 11 2 3 2 2" xfId="7055"/>
    <cellStyle name="Currency 11 2 3 2 2 2" xfId="7056"/>
    <cellStyle name="Currency 11 2 3 2 3" xfId="7057"/>
    <cellStyle name="Currency 11 2 3 2 3 2" xfId="7058"/>
    <cellStyle name="Currency 11 2 3 2 4" xfId="7059"/>
    <cellStyle name="Currency 11 2 3 2 4 2" xfId="7060"/>
    <cellStyle name="Currency 11 2 3 2 5" xfId="7061"/>
    <cellStyle name="Currency 11 2 3 3" xfId="7062"/>
    <cellStyle name="Currency 11 2 3 3 2" xfId="7063"/>
    <cellStyle name="Currency 11 2 3 4" xfId="7064"/>
    <cellStyle name="Currency 11 2 3 4 2" xfId="7065"/>
    <cellStyle name="Currency 11 2 3 4 2 2" xfId="7066"/>
    <cellStyle name="Currency 11 2 3 4 3" xfId="7067"/>
    <cellStyle name="Currency 11 2 3 4 3 2" xfId="7068"/>
    <cellStyle name="Currency 11 2 3 4 4" xfId="7069"/>
    <cellStyle name="Currency 11 2 3 5" xfId="7070"/>
    <cellStyle name="Currency 11 2 3 5 2" xfId="7071"/>
    <cellStyle name="Currency 11 2 3 6" xfId="7072"/>
    <cellStyle name="Currency 11 2 3 6 2" xfId="7073"/>
    <cellStyle name="Currency 11 2 3 7" xfId="7074"/>
    <cellStyle name="Currency 11 2 4" xfId="7075"/>
    <cellStyle name="Currency 11 2 4 2" xfId="7076"/>
    <cellStyle name="Currency 11 2 4 2 2" xfId="7077"/>
    <cellStyle name="Currency 11 2 4 3" xfId="7078"/>
    <cellStyle name="Currency 11 2 4 3 2" xfId="7079"/>
    <cellStyle name="Currency 11 2 4 4" xfId="7080"/>
    <cellStyle name="Currency 11 2 4 4 2" xfId="7081"/>
    <cellStyle name="Currency 11 2 4 5" xfId="7082"/>
    <cellStyle name="Currency 11 2 5" xfId="7083"/>
    <cellStyle name="Currency 11 2 5 2" xfId="7084"/>
    <cellStyle name="Currency 11 2 6" xfId="7085"/>
    <cellStyle name="Currency 11 2 6 2" xfId="7086"/>
    <cellStyle name="Currency 11 2 6 2 2" xfId="7087"/>
    <cellStyle name="Currency 11 2 6 3" xfId="7088"/>
    <cellStyle name="Currency 11 2 6 3 2" xfId="7089"/>
    <cellStyle name="Currency 11 2 6 4" xfId="7090"/>
    <cellStyle name="Currency 11 2 7" xfId="7091"/>
    <cellStyle name="Currency 11 2 7 2" xfId="7092"/>
    <cellStyle name="Currency 11 2 8" xfId="7093"/>
    <cellStyle name="Currency 11 2 8 2" xfId="7094"/>
    <cellStyle name="Currency 11 2 9" xfId="7095"/>
    <cellStyle name="Currency 11 3" xfId="7096"/>
    <cellStyle name="Currency 11 3 2" xfId="7097"/>
    <cellStyle name="Currency 11 3 2 2" xfId="7098"/>
    <cellStyle name="Currency 11 3 2 2 2" xfId="7099"/>
    <cellStyle name="Currency 11 3 2 3" xfId="7100"/>
    <cellStyle name="Currency 11 3 2 3 2" xfId="7101"/>
    <cellStyle name="Currency 11 3 2 4" xfId="7102"/>
    <cellStyle name="Currency 11 3 2 4 2" xfId="7103"/>
    <cellStyle name="Currency 11 3 2 5" xfId="7104"/>
    <cellStyle name="Currency 11 3 3" xfId="7105"/>
    <cellStyle name="Currency 11 3 3 2" xfId="7106"/>
    <cellStyle name="Currency 11 3 4" xfId="7107"/>
    <cellStyle name="Currency 11 3 4 2" xfId="7108"/>
    <cellStyle name="Currency 11 3 4 2 2" xfId="7109"/>
    <cellStyle name="Currency 11 3 4 3" xfId="7110"/>
    <cellStyle name="Currency 11 3 4 3 2" xfId="7111"/>
    <cellStyle name="Currency 11 3 4 4" xfId="7112"/>
    <cellStyle name="Currency 11 3 5" xfId="7113"/>
    <cellStyle name="Currency 11 3 5 2" xfId="7114"/>
    <cellStyle name="Currency 11 3 6" xfId="7115"/>
    <cellStyle name="Currency 11 3 6 2" xfId="7116"/>
    <cellStyle name="Currency 11 3 7" xfId="7117"/>
    <cellStyle name="Currency 11 4" xfId="7118"/>
    <cellStyle name="Currency 11 4 2" xfId="7119"/>
    <cellStyle name="Currency 11 4 2 2" xfId="7120"/>
    <cellStyle name="Currency 11 4 2 2 2" xfId="7121"/>
    <cellStyle name="Currency 11 4 2 3" xfId="7122"/>
    <cellStyle name="Currency 11 4 2 3 2" xfId="7123"/>
    <cellStyle name="Currency 11 4 2 4" xfId="7124"/>
    <cellStyle name="Currency 11 4 2 4 2" xfId="7125"/>
    <cellStyle name="Currency 11 4 2 5" xfId="7126"/>
    <cellStyle name="Currency 11 4 3" xfId="7127"/>
    <cellStyle name="Currency 11 4 3 2" xfId="7128"/>
    <cellStyle name="Currency 11 4 4" xfId="7129"/>
    <cellStyle name="Currency 11 4 4 2" xfId="7130"/>
    <cellStyle name="Currency 11 4 4 2 2" xfId="7131"/>
    <cellStyle name="Currency 11 4 4 3" xfId="7132"/>
    <cellStyle name="Currency 11 4 4 3 2" xfId="7133"/>
    <cellStyle name="Currency 11 4 4 4" xfId="7134"/>
    <cellStyle name="Currency 11 4 5" xfId="7135"/>
    <cellStyle name="Currency 11 4 5 2" xfId="7136"/>
    <cellStyle name="Currency 11 4 6" xfId="7137"/>
    <cellStyle name="Currency 11 4 6 2" xfId="7138"/>
    <cellStyle name="Currency 11 4 7" xfId="7139"/>
    <cellStyle name="Currency 11 5" xfId="7140"/>
    <cellStyle name="Currency 11 5 2" xfId="7141"/>
    <cellStyle name="Currency 11 5 2 2" xfId="7142"/>
    <cellStyle name="Currency 11 5 3" xfId="7143"/>
    <cellStyle name="Currency 11 5 3 2" xfId="7144"/>
    <cellStyle name="Currency 11 5 4" xfId="7145"/>
    <cellStyle name="Currency 11 5 4 2" xfId="7146"/>
    <cellStyle name="Currency 11 5 5" xfId="7147"/>
    <cellStyle name="Currency 11 6" xfId="7148"/>
    <cellStyle name="Currency 11 6 2" xfId="7149"/>
    <cellStyle name="Currency 11 7" xfId="7150"/>
    <cellStyle name="Currency 11 7 2" xfId="7151"/>
    <cellStyle name="Currency 11 7 2 2" xfId="7152"/>
    <cellStyle name="Currency 11 7 3" xfId="7153"/>
    <cellStyle name="Currency 11 7 3 2" xfId="7154"/>
    <cellStyle name="Currency 11 7 4" xfId="7155"/>
    <cellStyle name="Currency 11 8" xfId="7156"/>
    <cellStyle name="Currency 11 8 2" xfId="7157"/>
    <cellStyle name="Currency 11 9" xfId="7158"/>
    <cellStyle name="Currency 11 9 2" xfId="7159"/>
    <cellStyle name="Currency 12" xfId="7160"/>
    <cellStyle name="Currency 12 10" xfId="19233"/>
    <cellStyle name="Currency 12 11" xfId="25445"/>
    <cellStyle name="Currency 12 12" xfId="25446"/>
    <cellStyle name="Currency 12 2" xfId="7161"/>
    <cellStyle name="Currency 12 2 10" xfId="25447"/>
    <cellStyle name="Currency 12 2 2" xfId="7162"/>
    <cellStyle name="Currency 12 2 2 2" xfId="7163"/>
    <cellStyle name="Currency 12 2 2 2 2" xfId="7164"/>
    <cellStyle name="Currency 12 2 2 2 2 2" xfId="25448"/>
    <cellStyle name="Currency 12 2 2 2 2 2 2" xfId="25449"/>
    <cellStyle name="Currency 12 2 2 2 2 3" xfId="25450"/>
    <cellStyle name="Currency 12 2 2 2 3" xfId="25451"/>
    <cellStyle name="Currency 12 2 2 2 3 2" xfId="25452"/>
    <cellStyle name="Currency 12 2 2 2 4" xfId="25453"/>
    <cellStyle name="Currency 12 2 2 2 5" xfId="25454"/>
    <cellStyle name="Currency 12 2 2 3" xfId="7165"/>
    <cellStyle name="Currency 12 2 2 3 2" xfId="7166"/>
    <cellStyle name="Currency 12 2 2 3 2 2" xfId="25455"/>
    <cellStyle name="Currency 12 2 2 3 3" xfId="25456"/>
    <cellStyle name="Currency 12 2 2 4" xfId="7167"/>
    <cellStyle name="Currency 12 2 2 4 2" xfId="7168"/>
    <cellStyle name="Currency 12 2 2 5" xfId="7169"/>
    <cellStyle name="Currency 12 2 2 6" xfId="25457"/>
    <cellStyle name="Currency 12 2 3" xfId="7170"/>
    <cellStyle name="Currency 12 2 3 2" xfId="7171"/>
    <cellStyle name="Currency 12 2 3 2 2" xfId="25458"/>
    <cellStyle name="Currency 12 2 3 2 2 2" xfId="25459"/>
    <cellStyle name="Currency 12 2 3 2 3" xfId="25460"/>
    <cellStyle name="Currency 12 2 3 3" xfId="25461"/>
    <cellStyle name="Currency 12 2 3 3 2" xfId="25462"/>
    <cellStyle name="Currency 12 2 3 4" xfId="25463"/>
    <cellStyle name="Currency 12 2 3 5" xfId="25464"/>
    <cellStyle name="Currency 12 2 4" xfId="7172"/>
    <cellStyle name="Currency 12 2 4 2" xfId="7173"/>
    <cellStyle name="Currency 12 2 4 2 2" xfId="7174"/>
    <cellStyle name="Currency 12 2 4 3" xfId="7175"/>
    <cellStyle name="Currency 12 2 4 3 2" xfId="7176"/>
    <cellStyle name="Currency 12 2 4 4" xfId="7177"/>
    <cellStyle name="Currency 12 2 5" xfId="7178"/>
    <cellStyle name="Currency 12 2 5 2" xfId="7179"/>
    <cellStyle name="Currency 12 2 6" xfId="7180"/>
    <cellStyle name="Currency 12 2 6 2" xfId="7181"/>
    <cellStyle name="Currency 12 2 7" xfId="7182"/>
    <cellStyle name="Currency 12 2 8" xfId="25465"/>
    <cellStyle name="Currency 12 2 9" xfId="25466"/>
    <cellStyle name="Currency 12 3" xfId="7183"/>
    <cellStyle name="Currency 12 3 2" xfId="7184"/>
    <cellStyle name="Currency 12 3 2 2" xfId="7185"/>
    <cellStyle name="Currency 12 3 2 2 2" xfId="7186"/>
    <cellStyle name="Currency 12 3 2 2 2 2" xfId="25467"/>
    <cellStyle name="Currency 12 3 2 2 3" xfId="25468"/>
    <cellStyle name="Currency 12 3 2 3" xfId="7187"/>
    <cellStyle name="Currency 12 3 2 3 2" xfId="7188"/>
    <cellStyle name="Currency 12 3 2 4" xfId="7189"/>
    <cellStyle name="Currency 12 3 2 4 2" xfId="7190"/>
    <cellStyle name="Currency 12 3 2 5" xfId="7191"/>
    <cellStyle name="Currency 12 3 2 6" xfId="25469"/>
    <cellStyle name="Currency 12 3 3" xfId="7192"/>
    <cellStyle name="Currency 12 3 3 2" xfId="7193"/>
    <cellStyle name="Currency 12 3 3 2 2" xfId="25470"/>
    <cellStyle name="Currency 12 3 3 3" xfId="25471"/>
    <cellStyle name="Currency 12 3 4" xfId="7194"/>
    <cellStyle name="Currency 12 3 4 2" xfId="7195"/>
    <cellStyle name="Currency 12 3 4 2 2" xfId="7196"/>
    <cellStyle name="Currency 12 3 4 3" xfId="7197"/>
    <cellStyle name="Currency 12 3 4 3 2" xfId="7198"/>
    <cellStyle name="Currency 12 3 4 4" xfId="7199"/>
    <cellStyle name="Currency 12 3 5" xfId="7200"/>
    <cellStyle name="Currency 12 3 5 2" xfId="7201"/>
    <cellStyle name="Currency 12 3 6" xfId="7202"/>
    <cellStyle name="Currency 12 3 6 2" xfId="7203"/>
    <cellStyle name="Currency 12 3 7" xfId="7204"/>
    <cellStyle name="Currency 12 3 8" xfId="25472"/>
    <cellStyle name="Currency 12 4" xfId="7205"/>
    <cellStyle name="Currency 12 4 2" xfId="7206"/>
    <cellStyle name="Currency 12 4 2 2" xfId="7207"/>
    <cellStyle name="Currency 12 4 2 2 2" xfId="25473"/>
    <cellStyle name="Currency 12 4 2 3" xfId="25474"/>
    <cellStyle name="Currency 12 4 3" xfId="7208"/>
    <cellStyle name="Currency 12 4 3 2" xfId="7209"/>
    <cellStyle name="Currency 12 4 4" xfId="7210"/>
    <cellStyle name="Currency 12 4 4 2" xfId="7211"/>
    <cellStyle name="Currency 12 4 5" xfId="7212"/>
    <cellStyle name="Currency 12 4 6" xfId="25475"/>
    <cellStyle name="Currency 12 5" xfId="7213"/>
    <cellStyle name="Currency 12 5 2" xfId="7214"/>
    <cellStyle name="Currency 12 5 2 2" xfId="25476"/>
    <cellStyle name="Currency 12 5 3" xfId="25477"/>
    <cellStyle name="Currency 12 6" xfId="7215"/>
    <cellStyle name="Currency 12 6 2" xfId="7216"/>
    <cellStyle name="Currency 12 6 2 2" xfId="7217"/>
    <cellStyle name="Currency 12 6 3" xfId="7218"/>
    <cellStyle name="Currency 12 6 3 2" xfId="7219"/>
    <cellStyle name="Currency 12 6 4" xfId="7220"/>
    <cellStyle name="Currency 12 7" xfId="7221"/>
    <cellStyle name="Currency 12 7 2" xfId="7222"/>
    <cellStyle name="Currency 12 8" xfId="7223"/>
    <cellStyle name="Currency 12 8 2" xfId="7224"/>
    <cellStyle name="Currency 12 9" xfId="7225"/>
    <cellStyle name="Currency 13" xfId="7226"/>
    <cellStyle name="Currency 13 10" xfId="7227"/>
    <cellStyle name="Currency 13 11" xfId="19313"/>
    <cellStyle name="Currency 13 12" xfId="25478"/>
    <cellStyle name="Currency 13 13" xfId="25479"/>
    <cellStyle name="Currency 13 2" xfId="7228"/>
    <cellStyle name="Currency 13 2 2" xfId="7229"/>
    <cellStyle name="Currency 13 2 2 2" xfId="7230"/>
    <cellStyle name="Currency 13 2 2 2 2" xfId="7231"/>
    <cellStyle name="Currency 13 2 2 3" xfId="7232"/>
    <cellStyle name="Currency 13 2 2 3 2" xfId="7233"/>
    <cellStyle name="Currency 13 2 2 4" xfId="7234"/>
    <cellStyle name="Currency 13 2 2 4 2" xfId="7235"/>
    <cellStyle name="Currency 13 2 2 5" xfId="7236"/>
    <cellStyle name="Currency 13 2 3" xfId="7237"/>
    <cellStyle name="Currency 13 2 3 2" xfId="7238"/>
    <cellStyle name="Currency 13 2 4" xfId="7239"/>
    <cellStyle name="Currency 13 2 4 2" xfId="7240"/>
    <cellStyle name="Currency 13 2 4 2 2" xfId="7241"/>
    <cellStyle name="Currency 13 2 4 3" xfId="7242"/>
    <cellStyle name="Currency 13 2 4 3 2" xfId="7243"/>
    <cellStyle name="Currency 13 2 4 4" xfId="7244"/>
    <cellStyle name="Currency 13 2 5" xfId="7245"/>
    <cellStyle name="Currency 13 2 5 2" xfId="7246"/>
    <cellStyle name="Currency 13 2 6" xfId="7247"/>
    <cellStyle name="Currency 13 2 6 2" xfId="7248"/>
    <cellStyle name="Currency 13 2 7" xfId="7249"/>
    <cellStyle name="Currency 13 2 8" xfId="25480"/>
    <cellStyle name="Currency 13 2 9" xfId="25481"/>
    <cellStyle name="Currency 13 3" xfId="7250"/>
    <cellStyle name="Currency 13 3 2" xfId="7251"/>
    <cellStyle name="Currency 13 3 2 2" xfId="7252"/>
    <cellStyle name="Currency 13 3 3" xfId="7253"/>
    <cellStyle name="Currency 13 4" xfId="7254"/>
    <cellStyle name="Currency 13 4 2" xfId="7255"/>
    <cellStyle name="Currency 13 4 2 2" xfId="7256"/>
    <cellStyle name="Currency 13 4 3" xfId="7257"/>
    <cellStyle name="Currency 13 4 3 2" xfId="7258"/>
    <cellStyle name="Currency 13 4 4" xfId="7259"/>
    <cellStyle name="Currency 13 4 4 2" xfId="7260"/>
    <cellStyle name="Currency 13 4 5" xfId="7261"/>
    <cellStyle name="Currency 13 5" xfId="7262"/>
    <cellStyle name="Currency 13 5 2" xfId="7263"/>
    <cellStyle name="Currency 13 5 2 2" xfId="7264"/>
    <cellStyle name="Currency 13 5 3" xfId="7265"/>
    <cellStyle name="Currency 13 5 3 2" xfId="7266"/>
    <cellStyle name="Currency 13 5 4" xfId="7267"/>
    <cellStyle name="Currency 13 5 4 2" xfId="7268"/>
    <cellStyle name="Currency 13 5 5" xfId="7269"/>
    <cellStyle name="Currency 13 6" xfId="7270"/>
    <cellStyle name="Currency 13 6 2" xfId="7271"/>
    <cellStyle name="Currency 13 7" xfId="7272"/>
    <cellStyle name="Currency 13 7 2" xfId="7273"/>
    <cellStyle name="Currency 13 7 2 2" xfId="7274"/>
    <cellStyle name="Currency 13 7 3" xfId="7275"/>
    <cellStyle name="Currency 13 7 3 2" xfId="7276"/>
    <cellStyle name="Currency 13 7 4" xfId="7277"/>
    <cellStyle name="Currency 13 8" xfId="7278"/>
    <cellStyle name="Currency 13 8 2" xfId="7279"/>
    <cellStyle name="Currency 13 9" xfId="7280"/>
    <cellStyle name="Currency 13 9 2" xfId="7281"/>
    <cellStyle name="Currency 14" xfId="7282"/>
    <cellStyle name="Currency 14 2" xfId="7283"/>
    <cellStyle name="Currency 14 2 2" xfId="7284"/>
    <cellStyle name="Currency 14 2 3" xfId="25482"/>
    <cellStyle name="Currency 14 2 4" xfId="25483"/>
    <cellStyle name="Currency 14 3" xfId="7285"/>
    <cellStyle name="Currency 14 4" xfId="25484"/>
    <cellStyle name="Currency 14 5" xfId="25485"/>
    <cellStyle name="Currency 15" xfId="7286"/>
    <cellStyle name="Currency 15 2" xfId="7287"/>
    <cellStyle name="Currency 15 2 2" xfId="7288"/>
    <cellStyle name="Currency 15 2 3" xfId="25486"/>
    <cellStyle name="Currency 15 2 4" xfId="25487"/>
    <cellStyle name="Currency 15 3" xfId="7289"/>
    <cellStyle name="Currency 15 4" xfId="25488"/>
    <cellStyle name="Currency 15 5" xfId="25489"/>
    <cellStyle name="Currency 16" xfId="7290"/>
    <cellStyle name="Currency 16 2" xfId="7291"/>
    <cellStyle name="Currency 16 2 2" xfId="7292"/>
    <cellStyle name="Currency 16 2 3" xfId="25490"/>
    <cellStyle name="Currency 16 2 4" xfId="25491"/>
    <cellStyle name="Currency 16 3" xfId="7293"/>
    <cellStyle name="Currency 16 3 2" xfId="7294"/>
    <cellStyle name="Currency 16 4" xfId="7295"/>
    <cellStyle name="Currency 16 4 2" xfId="7296"/>
    <cellStyle name="Currency 16 5" xfId="7297"/>
    <cellStyle name="Currency 16 6" xfId="25492"/>
    <cellStyle name="Currency 16 7" xfId="25493"/>
    <cellStyle name="Currency 17" xfId="7298"/>
    <cellStyle name="Currency 17 2" xfId="7299"/>
    <cellStyle name="Currency 17 2 2" xfId="7300"/>
    <cellStyle name="Currency 17 2 3" xfId="25494"/>
    <cellStyle name="Currency 17 2 4" xfId="25495"/>
    <cellStyle name="Currency 17 3" xfId="7301"/>
    <cellStyle name="Currency 17 3 2" xfId="7302"/>
    <cellStyle name="Currency 17 4" xfId="7303"/>
    <cellStyle name="Currency 17 4 2" xfId="7304"/>
    <cellStyle name="Currency 17 5" xfId="7305"/>
    <cellStyle name="Currency 17 6" xfId="25496"/>
    <cellStyle name="Currency 17 7" xfId="25497"/>
    <cellStyle name="Currency 18" xfId="7306"/>
    <cellStyle name="Currency 18 2" xfId="7307"/>
    <cellStyle name="Currency 18 2 2" xfId="7308"/>
    <cellStyle name="Currency 18 2 3" xfId="25498"/>
    <cellStyle name="Currency 18 2 4" xfId="25499"/>
    <cellStyle name="Currency 18 3" xfId="7309"/>
    <cellStyle name="Currency 18 4" xfId="25500"/>
    <cellStyle name="Currency 18 5" xfId="25501"/>
    <cellStyle name="Currency 19" xfId="7310"/>
    <cellStyle name="Currency 19 2" xfId="7311"/>
    <cellStyle name="Currency 19 2 2" xfId="25502"/>
    <cellStyle name="Currency 19 2 3" xfId="25503"/>
    <cellStyle name="Currency 19 3" xfId="25504"/>
    <cellStyle name="Currency 19 4" xfId="25505"/>
    <cellStyle name="Currency 2" xfId="57"/>
    <cellStyle name="Currency 2 10" xfId="7312"/>
    <cellStyle name="Currency 2 11" xfId="25506"/>
    <cellStyle name="Currency 2 11 2" xfId="25507"/>
    <cellStyle name="Currency 2 2" xfId="7313"/>
    <cellStyle name="Currency 2 2 2" xfId="7314"/>
    <cellStyle name="Currency 2 2 2 2" xfId="7315"/>
    <cellStyle name="Currency 2 2 2 2 2" xfId="25508"/>
    <cellStyle name="Currency 2 2 2 3" xfId="25509"/>
    <cellStyle name="Currency 2 2 2 4" xfId="25510"/>
    <cellStyle name="Currency 2 2 3" xfId="7316"/>
    <cellStyle name="Currency 2 2 3 2" xfId="7317"/>
    <cellStyle name="Currency 2 2 4" xfId="7318"/>
    <cellStyle name="Currency 2 2 4 2" xfId="7319"/>
    <cellStyle name="Currency 2 2 5" xfId="7320"/>
    <cellStyle name="Currency 2 2 6" xfId="25511"/>
    <cellStyle name="Currency 2 2 7" xfId="25512"/>
    <cellStyle name="Currency 2 3" xfId="7321"/>
    <cellStyle name="Currency 2 3 2" xfId="7322"/>
    <cellStyle name="Currency 2 3 2 2" xfId="7323"/>
    <cellStyle name="Currency 2 3 2 3" xfId="25513"/>
    <cellStyle name="Currency 2 3 2 4" xfId="25514"/>
    <cellStyle name="Currency 2 3 3" xfId="7324"/>
    <cellStyle name="Currency 2 3 4" xfId="25515"/>
    <cellStyle name="Currency 2 3 5" xfId="25516"/>
    <cellStyle name="Currency 2 4" xfId="7325"/>
    <cellStyle name="Currency 2 4 2" xfId="7326"/>
    <cellStyle name="Currency 2 4 2 2" xfId="7327"/>
    <cellStyle name="Currency 2 4 3" xfId="7328"/>
    <cellStyle name="Currency 2 4 4" xfId="25517"/>
    <cellStyle name="Currency 2 4 5" xfId="25518"/>
    <cellStyle name="Currency 2 5" xfId="7329"/>
    <cellStyle name="Currency 2 5 2" xfId="7330"/>
    <cellStyle name="Currency 2 6" xfId="7331"/>
    <cellStyle name="Currency 2 6 2" xfId="7332"/>
    <cellStyle name="Currency 2 7" xfId="7333"/>
    <cellStyle name="Currency 2 7 2" xfId="7334"/>
    <cellStyle name="Currency 2 8" xfId="7335"/>
    <cellStyle name="Currency 2 8 2" xfId="7336"/>
    <cellStyle name="Currency 2 9" xfId="7337"/>
    <cellStyle name="Currency 2 9 2" xfId="25519"/>
    <cellStyle name="Currency 20" xfId="7338"/>
    <cellStyle name="Currency 20 2" xfId="7339"/>
    <cellStyle name="Currency 20 2 2" xfId="25520"/>
    <cellStyle name="Currency 20 2 3" xfId="25521"/>
    <cellStyle name="Currency 20 3" xfId="25522"/>
    <cellStyle name="Currency 20 4" xfId="25523"/>
    <cellStyle name="Currency 21" xfId="7340"/>
    <cellStyle name="Currency 21 10" xfId="25524"/>
    <cellStyle name="Currency 21 11" xfId="25525"/>
    <cellStyle name="Currency 21 2" xfId="7341"/>
    <cellStyle name="Currency 21 2 2" xfId="7342"/>
    <cellStyle name="Currency 21 2 2 2" xfId="7343"/>
    <cellStyle name="Currency 21 2 2 2 2" xfId="7344"/>
    <cellStyle name="Currency 21 2 2 3" xfId="7345"/>
    <cellStyle name="Currency 21 2 2 3 2" xfId="7346"/>
    <cellStyle name="Currency 21 2 2 4" xfId="7347"/>
    <cellStyle name="Currency 21 2 2 4 2" xfId="7348"/>
    <cellStyle name="Currency 21 2 2 5" xfId="7349"/>
    <cellStyle name="Currency 21 2 3" xfId="7350"/>
    <cellStyle name="Currency 21 2 3 2" xfId="7351"/>
    <cellStyle name="Currency 21 2 4" xfId="7352"/>
    <cellStyle name="Currency 21 2 4 2" xfId="7353"/>
    <cellStyle name="Currency 21 2 4 2 2" xfId="7354"/>
    <cellStyle name="Currency 21 2 4 3" xfId="7355"/>
    <cellStyle name="Currency 21 2 4 3 2" xfId="7356"/>
    <cellStyle name="Currency 21 2 4 4" xfId="7357"/>
    <cellStyle name="Currency 21 2 5" xfId="7358"/>
    <cellStyle name="Currency 21 2 5 2" xfId="7359"/>
    <cellStyle name="Currency 21 2 6" xfId="7360"/>
    <cellStyle name="Currency 21 2 6 2" xfId="7361"/>
    <cellStyle name="Currency 21 2 7" xfId="7362"/>
    <cellStyle name="Currency 21 2 8" xfId="25526"/>
    <cellStyle name="Currency 21 2 9" xfId="25527"/>
    <cellStyle name="Currency 21 3" xfId="7363"/>
    <cellStyle name="Currency 21 3 2" xfId="7364"/>
    <cellStyle name="Currency 21 3 2 2" xfId="7365"/>
    <cellStyle name="Currency 21 3 2 2 2" xfId="7366"/>
    <cellStyle name="Currency 21 3 2 3" xfId="7367"/>
    <cellStyle name="Currency 21 3 2 3 2" xfId="7368"/>
    <cellStyle name="Currency 21 3 2 4" xfId="7369"/>
    <cellStyle name="Currency 21 3 2 4 2" xfId="7370"/>
    <cellStyle name="Currency 21 3 2 5" xfId="7371"/>
    <cellStyle name="Currency 21 3 3" xfId="7372"/>
    <cellStyle name="Currency 21 3 3 2" xfId="7373"/>
    <cellStyle name="Currency 21 3 4" xfId="7374"/>
    <cellStyle name="Currency 21 3 4 2" xfId="7375"/>
    <cellStyle name="Currency 21 3 4 2 2" xfId="7376"/>
    <cellStyle name="Currency 21 3 4 3" xfId="7377"/>
    <cellStyle name="Currency 21 3 4 3 2" xfId="7378"/>
    <cellStyle name="Currency 21 3 4 4" xfId="7379"/>
    <cellStyle name="Currency 21 3 5" xfId="7380"/>
    <cellStyle name="Currency 21 3 5 2" xfId="7381"/>
    <cellStyle name="Currency 21 3 6" xfId="7382"/>
    <cellStyle name="Currency 21 3 6 2" xfId="7383"/>
    <cellStyle name="Currency 21 3 7" xfId="7384"/>
    <cellStyle name="Currency 21 4" xfId="7385"/>
    <cellStyle name="Currency 21 4 2" xfId="7386"/>
    <cellStyle name="Currency 21 4 2 2" xfId="7387"/>
    <cellStyle name="Currency 21 4 3" xfId="7388"/>
    <cellStyle name="Currency 21 4 3 2" xfId="7389"/>
    <cellStyle name="Currency 21 4 4" xfId="7390"/>
    <cellStyle name="Currency 21 4 4 2" xfId="7391"/>
    <cellStyle name="Currency 21 4 5" xfId="7392"/>
    <cellStyle name="Currency 21 5" xfId="7393"/>
    <cellStyle name="Currency 21 5 2" xfId="7394"/>
    <cellStyle name="Currency 21 6" xfId="7395"/>
    <cellStyle name="Currency 21 6 2" xfId="7396"/>
    <cellStyle name="Currency 21 6 2 2" xfId="7397"/>
    <cellStyle name="Currency 21 6 3" xfId="7398"/>
    <cellStyle name="Currency 21 6 3 2" xfId="7399"/>
    <cellStyle name="Currency 21 6 4" xfId="7400"/>
    <cellStyle name="Currency 21 7" xfId="7401"/>
    <cellStyle name="Currency 21 7 2" xfId="7402"/>
    <cellStyle name="Currency 21 8" xfId="7403"/>
    <cellStyle name="Currency 21 8 2" xfId="7404"/>
    <cellStyle name="Currency 21 9" xfId="7405"/>
    <cellStyle name="Currency 22" xfId="7406"/>
    <cellStyle name="Currency 22 2" xfId="7407"/>
    <cellStyle name="Currency 22 2 2" xfId="25528"/>
    <cellStyle name="Currency 22 2 3" xfId="25529"/>
    <cellStyle name="Currency 22 3" xfId="25530"/>
    <cellStyle name="Currency 22 4" xfId="25531"/>
    <cellStyle name="Currency 23" xfId="7408"/>
    <cellStyle name="Currency 23 2" xfId="7409"/>
    <cellStyle name="Currency 23 2 2" xfId="25532"/>
    <cellStyle name="Currency 23 2 3" xfId="25533"/>
    <cellStyle name="Currency 23 3" xfId="25534"/>
    <cellStyle name="Currency 23 4" xfId="25535"/>
    <cellStyle name="Currency 24" xfId="25536"/>
    <cellStyle name="Currency 24 2" xfId="25537"/>
    <cellStyle name="Currency 25" xfId="25538"/>
    <cellStyle name="Currency 25 2" xfId="25539"/>
    <cellStyle name="Currency 26" xfId="25540"/>
    <cellStyle name="Currency 26 2" xfId="25541"/>
    <cellStyle name="Currency 27" xfId="25542"/>
    <cellStyle name="Currency 27 2" xfId="25543"/>
    <cellStyle name="Currency 28" xfId="25544"/>
    <cellStyle name="Currency 28 2" xfId="25545"/>
    <cellStyle name="Currency 29" xfId="25546"/>
    <cellStyle name="Currency 29 2" xfId="25547"/>
    <cellStyle name="Currency 3" xfId="58"/>
    <cellStyle name="Currency 3 10" xfId="25548"/>
    <cellStyle name="Currency 3 10 2" xfId="25549"/>
    <cellStyle name="Currency 3 11" xfId="25550"/>
    <cellStyle name="Currency 3 2" xfId="7410"/>
    <cellStyle name="Currency 3 2 2" xfId="7411"/>
    <cellStyle name="Currency 3 2 2 2" xfId="7412"/>
    <cellStyle name="Currency 3 2 3" xfId="7413"/>
    <cellStyle name="Currency 3 2 4" xfId="25551"/>
    <cellStyle name="Currency 3 2 5" xfId="25552"/>
    <cellStyle name="Currency 3 3" xfId="7414"/>
    <cellStyle name="Currency 3 3 2" xfId="7415"/>
    <cellStyle name="Currency 3 4" xfId="7416"/>
    <cellStyle name="Currency 3 4 2" xfId="7417"/>
    <cellStyle name="Currency 3 5" xfId="7418"/>
    <cellStyle name="Currency 3 5 2" xfId="7419"/>
    <cellStyle name="Currency 3 6" xfId="7420"/>
    <cellStyle name="Currency 3 6 2" xfId="7421"/>
    <cellStyle name="Currency 3 7" xfId="7422"/>
    <cellStyle name="Currency 3 7 2" xfId="7423"/>
    <cellStyle name="Currency 3 8" xfId="7424"/>
    <cellStyle name="Currency 3 8 2" xfId="7425"/>
    <cellStyle name="Currency 3 9" xfId="7426"/>
    <cellStyle name="Currency 30" xfId="25553"/>
    <cellStyle name="Currency 30 2" xfId="25554"/>
    <cellStyle name="Currency 31" xfId="25555"/>
    <cellStyle name="Currency 31 2" xfId="25556"/>
    <cellStyle name="Currency 32" xfId="25557"/>
    <cellStyle name="Currency 33" xfId="25558"/>
    <cellStyle name="Currency 34" xfId="25559"/>
    <cellStyle name="Currency 35" xfId="25560"/>
    <cellStyle name="Currency 4" xfId="7427"/>
    <cellStyle name="Currency 4 2" xfId="7428"/>
    <cellStyle name="Currency 4 2 2" xfId="7429"/>
    <cellStyle name="Currency 4 2 2 2" xfId="25561"/>
    <cellStyle name="Currency 4 2 2 3" xfId="25562"/>
    <cellStyle name="Currency 4 2 3" xfId="25563"/>
    <cellStyle name="Currency 4 2 4" xfId="25564"/>
    <cellStyle name="Currency 4 3" xfId="7430"/>
    <cellStyle name="Currency 4 3 2" xfId="7431"/>
    <cellStyle name="Currency 4 3 3" xfId="25565"/>
    <cellStyle name="Currency 4 3 4" xfId="25566"/>
    <cellStyle name="Currency 4 4" xfId="7432"/>
    <cellStyle name="Currency 4 5" xfId="19234"/>
    <cellStyle name="Currency 4 6" xfId="25567"/>
    <cellStyle name="Currency 5" xfId="7433"/>
    <cellStyle name="Currency 5 10" xfId="7434"/>
    <cellStyle name="Currency 5 10 2" xfId="7435"/>
    <cellStyle name="Currency 5 10 2 2" xfId="7436"/>
    <cellStyle name="Currency 5 10 3" xfId="7437"/>
    <cellStyle name="Currency 5 10 3 2" xfId="7438"/>
    <cellStyle name="Currency 5 10 4" xfId="7439"/>
    <cellStyle name="Currency 5 10 4 2" xfId="7440"/>
    <cellStyle name="Currency 5 10 5" xfId="7441"/>
    <cellStyle name="Currency 5 11" xfId="7442"/>
    <cellStyle name="Currency 5 11 2" xfId="7443"/>
    <cellStyle name="Currency 5 11 2 2" xfId="7444"/>
    <cellStyle name="Currency 5 11 3" xfId="7445"/>
    <cellStyle name="Currency 5 11 3 2" xfId="7446"/>
    <cellStyle name="Currency 5 11 4" xfId="7447"/>
    <cellStyle name="Currency 5 12" xfId="7448"/>
    <cellStyle name="Currency 5 12 2" xfId="7449"/>
    <cellStyle name="Currency 5 12 2 2" xfId="7450"/>
    <cellStyle name="Currency 5 12 3" xfId="7451"/>
    <cellStyle name="Currency 5 13" xfId="7452"/>
    <cellStyle name="Currency 5 13 2" xfId="7453"/>
    <cellStyle name="Currency 5 14" xfId="7454"/>
    <cellStyle name="Currency 5 14 2" xfId="7455"/>
    <cellStyle name="Currency 5 15" xfId="7456"/>
    <cellStyle name="Currency 5 16" xfId="19235"/>
    <cellStyle name="Currency 5 17" xfId="25568"/>
    <cellStyle name="Currency 5 18" xfId="25569"/>
    <cellStyle name="Currency 5 2" xfId="7457"/>
    <cellStyle name="Currency 5 2 2" xfId="7458"/>
    <cellStyle name="Currency 5 2 2 2" xfId="7459"/>
    <cellStyle name="Currency 5 2 2 2 2" xfId="7460"/>
    <cellStyle name="Currency 5 2 2 2 2 2" xfId="7461"/>
    <cellStyle name="Currency 5 2 2 2 2 2 2" xfId="7462"/>
    <cellStyle name="Currency 5 2 2 2 2 3" xfId="7463"/>
    <cellStyle name="Currency 5 2 2 2 2 3 2" xfId="7464"/>
    <cellStyle name="Currency 5 2 2 2 2 4" xfId="7465"/>
    <cellStyle name="Currency 5 2 2 2 3" xfId="7466"/>
    <cellStyle name="Currency 5 2 2 2 3 2" xfId="7467"/>
    <cellStyle name="Currency 5 2 2 2 4" xfId="7468"/>
    <cellStyle name="Currency 5 2 2 2 4 2" xfId="7469"/>
    <cellStyle name="Currency 5 2 2 2 5" xfId="7470"/>
    <cellStyle name="Currency 5 2 2 3" xfId="7471"/>
    <cellStyle name="Currency 5 2 2 3 2" xfId="7472"/>
    <cellStyle name="Currency 5 2 2 3 2 2" xfId="7473"/>
    <cellStyle name="Currency 5 2 2 3 3" xfId="7474"/>
    <cellStyle name="Currency 5 2 2 3 3 2" xfId="7475"/>
    <cellStyle name="Currency 5 2 2 3 4" xfId="7476"/>
    <cellStyle name="Currency 5 2 2 4" xfId="7477"/>
    <cellStyle name="Currency 5 2 2 4 2" xfId="7478"/>
    <cellStyle name="Currency 5 2 2 5" xfId="7479"/>
    <cellStyle name="Currency 5 2 2 5 2" xfId="7480"/>
    <cellStyle name="Currency 5 2 2 6" xfId="7481"/>
    <cellStyle name="Currency 5 2 3" xfId="7482"/>
    <cellStyle name="Currency 5 2 3 2" xfId="7483"/>
    <cellStyle name="Currency 5 2 3 2 2" xfId="7484"/>
    <cellStyle name="Currency 5 2 3 2 2 2" xfId="7485"/>
    <cellStyle name="Currency 5 2 3 2 3" xfId="7486"/>
    <cellStyle name="Currency 5 2 3 2 3 2" xfId="7487"/>
    <cellStyle name="Currency 5 2 3 2 4" xfId="7488"/>
    <cellStyle name="Currency 5 2 3 3" xfId="7489"/>
    <cellStyle name="Currency 5 2 3 3 2" xfId="7490"/>
    <cellStyle name="Currency 5 2 3 4" xfId="7491"/>
    <cellStyle name="Currency 5 2 3 4 2" xfId="7492"/>
    <cellStyle name="Currency 5 2 3 5" xfId="7493"/>
    <cellStyle name="Currency 5 2 4" xfId="7494"/>
    <cellStyle name="Currency 5 2 4 2" xfId="7495"/>
    <cellStyle name="Currency 5 2 4 2 2" xfId="7496"/>
    <cellStyle name="Currency 5 2 4 3" xfId="7497"/>
    <cellStyle name="Currency 5 2 4 3 2" xfId="7498"/>
    <cellStyle name="Currency 5 2 4 4" xfId="7499"/>
    <cellStyle name="Currency 5 2 5" xfId="7500"/>
    <cellStyle name="Currency 5 2 5 2" xfId="7501"/>
    <cellStyle name="Currency 5 2 6" xfId="7502"/>
    <cellStyle name="Currency 5 2 6 2" xfId="7503"/>
    <cellStyle name="Currency 5 2 7" xfId="7504"/>
    <cellStyle name="Currency 5 2 8" xfId="25570"/>
    <cellStyle name="Currency 5 2 9" xfId="25571"/>
    <cellStyle name="Currency 5 3" xfId="7505"/>
    <cellStyle name="Currency 5 3 10" xfId="7506"/>
    <cellStyle name="Currency 5 3 10 2" xfId="7507"/>
    <cellStyle name="Currency 5 3 10 2 2" xfId="7508"/>
    <cellStyle name="Currency 5 3 10 3" xfId="7509"/>
    <cellStyle name="Currency 5 3 10 3 2" xfId="7510"/>
    <cellStyle name="Currency 5 3 10 4" xfId="7511"/>
    <cellStyle name="Currency 5 3 11" xfId="7512"/>
    <cellStyle name="Currency 5 3 11 2" xfId="7513"/>
    <cellStyle name="Currency 5 3 12" xfId="7514"/>
    <cellStyle name="Currency 5 3 2" xfId="7515"/>
    <cellStyle name="Currency 5 3 2 2" xfId="7516"/>
    <cellStyle name="Currency 5 3 2 2 2" xfId="7517"/>
    <cellStyle name="Currency 5 3 2 2 2 2" xfId="7518"/>
    <cellStyle name="Currency 5 3 2 2 3" xfId="7519"/>
    <cellStyle name="Currency 5 3 2 2 3 2" xfId="7520"/>
    <cellStyle name="Currency 5 3 2 2 4" xfId="7521"/>
    <cellStyle name="Currency 5 3 2 3" xfId="7522"/>
    <cellStyle name="Currency 5 3 2 3 2" xfId="7523"/>
    <cellStyle name="Currency 5 3 2 4" xfId="7524"/>
    <cellStyle name="Currency 5 3 2 4 2" xfId="7525"/>
    <cellStyle name="Currency 5 3 2 5" xfId="7526"/>
    <cellStyle name="Currency 5 3 3" xfId="7527"/>
    <cellStyle name="Currency 5 3 3 10" xfId="7528"/>
    <cellStyle name="Currency 5 3 3 2" xfId="7529"/>
    <cellStyle name="Currency 5 3 3 2 2" xfId="7530"/>
    <cellStyle name="Currency 5 3 3 2 2 2" xfId="7531"/>
    <cellStyle name="Currency 5 3 3 2 2 2 2" xfId="7532"/>
    <cellStyle name="Currency 5 3 3 2 2 2 2 2" xfId="7533"/>
    <cellStyle name="Currency 5 3 3 2 2 2 3" xfId="7534"/>
    <cellStyle name="Currency 5 3 3 2 2 2 3 2" xfId="7535"/>
    <cellStyle name="Currency 5 3 3 2 2 2 4" xfId="7536"/>
    <cellStyle name="Currency 5 3 3 2 2 2 4 2" xfId="7537"/>
    <cellStyle name="Currency 5 3 3 2 2 2 5" xfId="7538"/>
    <cellStyle name="Currency 5 3 3 2 2 3" xfId="7539"/>
    <cellStyle name="Currency 5 3 3 2 2 3 2" xfId="7540"/>
    <cellStyle name="Currency 5 3 3 2 2 4" xfId="7541"/>
    <cellStyle name="Currency 5 3 3 2 2 4 2" xfId="7542"/>
    <cellStyle name="Currency 5 3 3 2 2 4 2 2" xfId="7543"/>
    <cellStyle name="Currency 5 3 3 2 2 4 3" xfId="7544"/>
    <cellStyle name="Currency 5 3 3 2 2 4 3 2" xfId="7545"/>
    <cellStyle name="Currency 5 3 3 2 2 4 4" xfId="7546"/>
    <cellStyle name="Currency 5 3 3 2 2 5" xfId="7547"/>
    <cellStyle name="Currency 5 3 3 2 2 5 2" xfId="7548"/>
    <cellStyle name="Currency 5 3 3 2 2 6" xfId="7549"/>
    <cellStyle name="Currency 5 3 3 2 2 6 2" xfId="7550"/>
    <cellStyle name="Currency 5 3 3 2 2 7" xfId="7551"/>
    <cellStyle name="Currency 5 3 3 2 3" xfId="7552"/>
    <cellStyle name="Currency 5 3 3 2 3 2" xfId="7553"/>
    <cellStyle name="Currency 5 3 3 2 3 2 2" xfId="7554"/>
    <cellStyle name="Currency 5 3 3 2 3 2 2 2" xfId="7555"/>
    <cellStyle name="Currency 5 3 3 2 3 2 3" xfId="7556"/>
    <cellStyle name="Currency 5 3 3 2 3 2 3 2" xfId="7557"/>
    <cellStyle name="Currency 5 3 3 2 3 2 4" xfId="7558"/>
    <cellStyle name="Currency 5 3 3 2 3 2 4 2" xfId="7559"/>
    <cellStyle name="Currency 5 3 3 2 3 2 5" xfId="7560"/>
    <cellStyle name="Currency 5 3 3 2 3 3" xfId="7561"/>
    <cellStyle name="Currency 5 3 3 2 3 3 2" xfId="7562"/>
    <cellStyle name="Currency 5 3 3 2 3 4" xfId="7563"/>
    <cellStyle name="Currency 5 3 3 2 3 4 2" xfId="7564"/>
    <cellStyle name="Currency 5 3 3 2 3 4 2 2" xfId="7565"/>
    <cellStyle name="Currency 5 3 3 2 3 4 3" xfId="7566"/>
    <cellStyle name="Currency 5 3 3 2 3 4 3 2" xfId="7567"/>
    <cellStyle name="Currency 5 3 3 2 3 4 4" xfId="7568"/>
    <cellStyle name="Currency 5 3 3 2 3 5" xfId="7569"/>
    <cellStyle name="Currency 5 3 3 2 3 5 2" xfId="7570"/>
    <cellStyle name="Currency 5 3 3 2 3 6" xfId="7571"/>
    <cellStyle name="Currency 5 3 3 2 3 6 2" xfId="7572"/>
    <cellStyle name="Currency 5 3 3 2 3 7" xfId="7573"/>
    <cellStyle name="Currency 5 3 3 2 4" xfId="7574"/>
    <cellStyle name="Currency 5 3 3 2 4 2" xfId="7575"/>
    <cellStyle name="Currency 5 3 3 2 4 2 2" xfId="7576"/>
    <cellStyle name="Currency 5 3 3 2 4 3" xfId="7577"/>
    <cellStyle name="Currency 5 3 3 2 4 3 2" xfId="7578"/>
    <cellStyle name="Currency 5 3 3 2 4 4" xfId="7579"/>
    <cellStyle name="Currency 5 3 3 2 4 4 2" xfId="7580"/>
    <cellStyle name="Currency 5 3 3 2 4 5" xfId="7581"/>
    <cellStyle name="Currency 5 3 3 2 5" xfId="7582"/>
    <cellStyle name="Currency 5 3 3 2 5 2" xfId="7583"/>
    <cellStyle name="Currency 5 3 3 2 6" xfId="7584"/>
    <cellStyle name="Currency 5 3 3 2 6 2" xfId="7585"/>
    <cellStyle name="Currency 5 3 3 2 6 2 2" xfId="7586"/>
    <cellStyle name="Currency 5 3 3 2 6 3" xfId="7587"/>
    <cellStyle name="Currency 5 3 3 2 6 3 2" xfId="7588"/>
    <cellStyle name="Currency 5 3 3 2 6 4" xfId="7589"/>
    <cellStyle name="Currency 5 3 3 2 7" xfId="7590"/>
    <cellStyle name="Currency 5 3 3 2 7 2" xfId="7591"/>
    <cellStyle name="Currency 5 3 3 2 8" xfId="7592"/>
    <cellStyle name="Currency 5 3 3 2 8 2" xfId="7593"/>
    <cellStyle name="Currency 5 3 3 2 9" xfId="7594"/>
    <cellStyle name="Currency 5 3 3 3" xfId="7595"/>
    <cellStyle name="Currency 5 3 3 3 2" xfId="7596"/>
    <cellStyle name="Currency 5 3 3 3 2 2" xfId="7597"/>
    <cellStyle name="Currency 5 3 3 3 2 2 2" xfId="7598"/>
    <cellStyle name="Currency 5 3 3 3 2 3" xfId="7599"/>
    <cellStyle name="Currency 5 3 3 3 2 3 2" xfId="7600"/>
    <cellStyle name="Currency 5 3 3 3 2 4" xfId="7601"/>
    <cellStyle name="Currency 5 3 3 3 2 4 2" xfId="7602"/>
    <cellStyle name="Currency 5 3 3 3 2 5" xfId="7603"/>
    <cellStyle name="Currency 5 3 3 3 3" xfId="7604"/>
    <cellStyle name="Currency 5 3 3 3 3 2" xfId="7605"/>
    <cellStyle name="Currency 5 3 3 3 4" xfId="7606"/>
    <cellStyle name="Currency 5 3 3 3 4 2" xfId="7607"/>
    <cellStyle name="Currency 5 3 3 3 4 2 2" xfId="7608"/>
    <cellStyle name="Currency 5 3 3 3 4 3" xfId="7609"/>
    <cellStyle name="Currency 5 3 3 3 4 3 2" xfId="7610"/>
    <cellStyle name="Currency 5 3 3 3 4 4" xfId="7611"/>
    <cellStyle name="Currency 5 3 3 3 5" xfId="7612"/>
    <cellStyle name="Currency 5 3 3 3 5 2" xfId="7613"/>
    <cellStyle name="Currency 5 3 3 3 6" xfId="7614"/>
    <cellStyle name="Currency 5 3 3 3 6 2" xfId="7615"/>
    <cellStyle name="Currency 5 3 3 3 7" xfId="7616"/>
    <cellStyle name="Currency 5 3 3 4" xfId="7617"/>
    <cellStyle name="Currency 5 3 3 4 2" xfId="7618"/>
    <cellStyle name="Currency 5 3 3 4 2 2" xfId="7619"/>
    <cellStyle name="Currency 5 3 3 4 2 2 2" xfId="7620"/>
    <cellStyle name="Currency 5 3 3 4 2 3" xfId="7621"/>
    <cellStyle name="Currency 5 3 3 4 2 3 2" xfId="7622"/>
    <cellStyle name="Currency 5 3 3 4 2 4" xfId="7623"/>
    <cellStyle name="Currency 5 3 3 4 2 4 2" xfId="7624"/>
    <cellStyle name="Currency 5 3 3 4 2 5" xfId="7625"/>
    <cellStyle name="Currency 5 3 3 4 3" xfId="7626"/>
    <cellStyle name="Currency 5 3 3 4 3 2" xfId="7627"/>
    <cellStyle name="Currency 5 3 3 4 4" xfId="7628"/>
    <cellStyle name="Currency 5 3 3 4 4 2" xfId="7629"/>
    <cellStyle name="Currency 5 3 3 4 4 2 2" xfId="7630"/>
    <cellStyle name="Currency 5 3 3 4 4 3" xfId="7631"/>
    <cellStyle name="Currency 5 3 3 4 4 3 2" xfId="7632"/>
    <cellStyle name="Currency 5 3 3 4 4 4" xfId="7633"/>
    <cellStyle name="Currency 5 3 3 4 5" xfId="7634"/>
    <cellStyle name="Currency 5 3 3 4 5 2" xfId="7635"/>
    <cellStyle name="Currency 5 3 3 4 6" xfId="7636"/>
    <cellStyle name="Currency 5 3 3 4 6 2" xfId="7637"/>
    <cellStyle name="Currency 5 3 3 4 7" xfId="7638"/>
    <cellStyle name="Currency 5 3 3 5" xfId="7639"/>
    <cellStyle name="Currency 5 3 3 5 2" xfId="7640"/>
    <cellStyle name="Currency 5 3 3 5 2 2" xfId="7641"/>
    <cellStyle name="Currency 5 3 3 5 3" xfId="7642"/>
    <cellStyle name="Currency 5 3 3 5 3 2" xfId="7643"/>
    <cellStyle name="Currency 5 3 3 5 4" xfId="7644"/>
    <cellStyle name="Currency 5 3 3 5 4 2" xfId="7645"/>
    <cellStyle name="Currency 5 3 3 5 5" xfId="7646"/>
    <cellStyle name="Currency 5 3 3 6" xfId="7647"/>
    <cellStyle name="Currency 5 3 3 6 2" xfId="7648"/>
    <cellStyle name="Currency 5 3 3 7" xfId="7649"/>
    <cellStyle name="Currency 5 3 3 7 2" xfId="7650"/>
    <cellStyle name="Currency 5 3 3 7 2 2" xfId="7651"/>
    <cellStyle name="Currency 5 3 3 7 3" xfId="7652"/>
    <cellStyle name="Currency 5 3 3 7 3 2" xfId="7653"/>
    <cellStyle name="Currency 5 3 3 7 4" xfId="7654"/>
    <cellStyle name="Currency 5 3 3 8" xfId="7655"/>
    <cellStyle name="Currency 5 3 3 8 2" xfId="7656"/>
    <cellStyle name="Currency 5 3 3 9" xfId="7657"/>
    <cellStyle name="Currency 5 3 3 9 2" xfId="7658"/>
    <cellStyle name="Currency 5 3 4" xfId="7659"/>
    <cellStyle name="Currency 5 3 4 10" xfId="7660"/>
    <cellStyle name="Currency 5 3 4 2" xfId="7661"/>
    <cellStyle name="Currency 5 3 4 2 2" xfId="7662"/>
    <cellStyle name="Currency 5 3 4 2 2 2" xfId="7663"/>
    <cellStyle name="Currency 5 3 4 2 2 2 2" xfId="7664"/>
    <cellStyle name="Currency 5 3 4 2 2 2 2 2" xfId="7665"/>
    <cellStyle name="Currency 5 3 4 2 2 2 3" xfId="7666"/>
    <cellStyle name="Currency 5 3 4 2 2 2 3 2" xfId="7667"/>
    <cellStyle name="Currency 5 3 4 2 2 2 4" xfId="7668"/>
    <cellStyle name="Currency 5 3 4 2 2 2 4 2" xfId="7669"/>
    <cellStyle name="Currency 5 3 4 2 2 2 5" xfId="7670"/>
    <cellStyle name="Currency 5 3 4 2 2 3" xfId="7671"/>
    <cellStyle name="Currency 5 3 4 2 2 3 2" xfId="7672"/>
    <cellStyle name="Currency 5 3 4 2 2 4" xfId="7673"/>
    <cellStyle name="Currency 5 3 4 2 2 4 2" xfId="7674"/>
    <cellStyle name="Currency 5 3 4 2 2 4 2 2" xfId="7675"/>
    <cellStyle name="Currency 5 3 4 2 2 4 3" xfId="7676"/>
    <cellStyle name="Currency 5 3 4 2 2 4 3 2" xfId="7677"/>
    <cellStyle name="Currency 5 3 4 2 2 4 4" xfId="7678"/>
    <cellStyle name="Currency 5 3 4 2 2 5" xfId="7679"/>
    <cellStyle name="Currency 5 3 4 2 2 5 2" xfId="7680"/>
    <cellStyle name="Currency 5 3 4 2 2 6" xfId="7681"/>
    <cellStyle name="Currency 5 3 4 2 2 6 2" xfId="7682"/>
    <cellStyle name="Currency 5 3 4 2 2 7" xfId="7683"/>
    <cellStyle name="Currency 5 3 4 2 3" xfId="7684"/>
    <cellStyle name="Currency 5 3 4 2 3 2" xfId="7685"/>
    <cellStyle name="Currency 5 3 4 2 3 2 2" xfId="7686"/>
    <cellStyle name="Currency 5 3 4 2 3 2 2 2" xfId="7687"/>
    <cellStyle name="Currency 5 3 4 2 3 2 3" xfId="7688"/>
    <cellStyle name="Currency 5 3 4 2 3 2 3 2" xfId="7689"/>
    <cellStyle name="Currency 5 3 4 2 3 2 4" xfId="7690"/>
    <cellStyle name="Currency 5 3 4 2 3 2 4 2" xfId="7691"/>
    <cellStyle name="Currency 5 3 4 2 3 2 5" xfId="7692"/>
    <cellStyle name="Currency 5 3 4 2 3 3" xfId="7693"/>
    <cellStyle name="Currency 5 3 4 2 3 3 2" xfId="7694"/>
    <cellStyle name="Currency 5 3 4 2 3 4" xfId="7695"/>
    <cellStyle name="Currency 5 3 4 2 3 4 2" xfId="7696"/>
    <cellStyle name="Currency 5 3 4 2 3 4 2 2" xfId="7697"/>
    <cellStyle name="Currency 5 3 4 2 3 4 3" xfId="7698"/>
    <cellStyle name="Currency 5 3 4 2 3 4 3 2" xfId="7699"/>
    <cellStyle name="Currency 5 3 4 2 3 4 4" xfId="7700"/>
    <cellStyle name="Currency 5 3 4 2 3 5" xfId="7701"/>
    <cellStyle name="Currency 5 3 4 2 3 5 2" xfId="7702"/>
    <cellStyle name="Currency 5 3 4 2 3 6" xfId="7703"/>
    <cellStyle name="Currency 5 3 4 2 3 6 2" xfId="7704"/>
    <cellStyle name="Currency 5 3 4 2 3 7" xfId="7705"/>
    <cellStyle name="Currency 5 3 4 2 4" xfId="7706"/>
    <cellStyle name="Currency 5 3 4 2 4 2" xfId="7707"/>
    <cellStyle name="Currency 5 3 4 2 4 2 2" xfId="7708"/>
    <cellStyle name="Currency 5 3 4 2 4 3" xfId="7709"/>
    <cellStyle name="Currency 5 3 4 2 4 3 2" xfId="7710"/>
    <cellStyle name="Currency 5 3 4 2 4 4" xfId="7711"/>
    <cellStyle name="Currency 5 3 4 2 4 4 2" xfId="7712"/>
    <cellStyle name="Currency 5 3 4 2 4 5" xfId="7713"/>
    <cellStyle name="Currency 5 3 4 2 5" xfId="7714"/>
    <cellStyle name="Currency 5 3 4 2 5 2" xfId="7715"/>
    <cellStyle name="Currency 5 3 4 2 6" xfId="7716"/>
    <cellStyle name="Currency 5 3 4 2 6 2" xfId="7717"/>
    <cellStyle name="Currency 5 3 4 2 6 2 2" xfId="7718"/>
    <cellStyle name="Currency 5 3 4 2 6 3" xfId="7719"/>
    <cellStyle name="Currency 5 3 4 2 6 3 2" xfId="7720"/>
    <cellStyle name="Currency 5 3 4 2 6 4" xfId="7721"/>
    <cellStyle name="Currency 5 3 4 2 7" xfId="7722"/>
    <cellStyle name="Currency 5 3 4 2 7 2" xfId="7723"/>
    <cellStyle name="Currency 5 3 4 2 8" xfId="7724"/>
    <cellStyle name="Currency 5 3 4 2 8 2" xfId="7725"/>
    <cellStyle name="Currency 5 3 4 2 9" xfId="7726"/>
    <cellStyle name="Currency 5 3 4 3" xfId="7727"/>
    <cellStyle name="Currency 5 3 4 3 2" xfId="7728"/>
    <cellStyle name="Currency 5 3 4 3 2 2" xfId="7729"/>
    <cellStyle name="Currency 5 3 4 3 2 2 2" xfId="7730"/>
    <cellStyle name="Currency 5 3 4 3 2 3" xfId="7731"/>
    <cellStyle name="Currency 5 3 4 3 2 3 2" xfId="7732"/>
    <cellStyle name="Currency 5 3 4 3 2 4" xfId="7733"/>
    <cellStyle name="Currency 5 3 4 3 2 4 2" xfId="7734"/>
    <cellStyle name="Currency 5 3 4 3 2 5" xfId="7735"/>
    <cellStyle name="Currency 5 3 4 3 3" xfId="7736"/>
    <cellStyle name="Currency 5 3 4 3 3 2" xfId="7737"/>
    <cellStyle name="Currency 5 3 4 3 4" xfId="7738"/>
    <cellStyle name="Currency 5 3 4 3 4 2" xfId="7739"/>
    <cellStyle name="Currency 5 3 4 3 4 2 2" xfId="7740"/>
    <cellStyle name="Currency 5 3 4 3 4 3" xfId="7741"/>
    <cellStyle name="Currency 5 3 4 3 4 3 2" xfId="7742"/>
    <cellStyle name="Currency 5 3 4 3 4 4" xfId="7743"/>
    <cellStyle name="Currency 5 3 4 3 5" xfId="7744"/>
    <cellStyle name="Currency 5 3 4 3 5 2" xfId="7745"/>
    <cellStyle name="Currency 5 3 4 3 6" xfId="7746"/>
    <cellStyle name="Currency 5 3 4 3 6 2" xfId="7747"/>
    <cellStyle name="Currency 5 3 4 3 7" xfId="7748"/>
    <cellStyle name="Currency 5 3 4 4" xfId="7749"/>
    <cellStyle name="Currency 5 3 4 4 2" xfId="7750"/>
    <cellStyle name="Currency 5 3 4 4 2 2" xfId="7751"/>
    <cellStyle name="Currency 5 3 4 4 2 2 2" xfId="7752"/>
    <cellStyle name="Currency 5 3 4 4 2 3" xfId="7753"/>
    <cellStyle name="Currency 5 3 4 4 2 3 2" xfId="7754"/>
    <cellStyle name="Currency 5 3 4 4 2 4" xfId="7755"/>
    <cellStyle name="Currency 5 3 4 4 2 4 2" xfId="7756"/>
    <cellStyle name="Currency 5 3 4 4 2 5" xfId="7757"/>
    <cellStyle name="Currency 5 3 4 4 3" xfId="7758"/>
    <cellStyle name="Currency 5 3 4 4 3 2" xfId="7759"/>
    <cellStyle name="Currency 5 3 4 4 4" xfId="7760"/>
    <cellStyle name="Currency 5 3 4 4 4 2" xfId="7761"/>
    <cellStyle name="Currency 5 3 4 4 4 2 2" xfId="7762"/>
    <cellStyle name="Currency 5 3 4 4 4 3" xfId="7763"/>
    <cellStyle name="Currency 5 3 4 4 4 3 2" xfId="7764"/>
    <cellStyle name="Currency 5 3 4 4 4 4" xfId="7765"/>
    <cellStyle name="Currency 5 3 4 4 5" xfId="7766"/>
    <cellStyle name="Currency 5 3 4 4 5 2" xfId="7767"/>
    <cellStyle name="Currency 5 3 4 4 6" xfId="7768"/>
    <cellStyle name="Currency 5 3 4 4 6 2" xfId="7769"/>
    <cellStyle name="Currency 5 3 4 4 7" xfId="7770"/>
    <cellStyle name="Currency 5 3 4 5" xfId="7771"/>
    <cellStyle name="Currency 5 3 4 5 2" xfId="7772"/>
    <cellStyle name="Currency 5 3 4 5 2 2" xfId="7773"/>
    <cellStyle name="Currency 5 3 4 5 3" xfId="7774"/>
    <cellStyle name="Currency 5 3 4 5 3 2" xfId="7775"/>
    <cellStyle name="Currency 5 3 4 5 4" xfId="7776"/>
    <cellStyle name="Currency 5 3 4 5 4 2" xfId="7777"/>
    <cellStyle name="Currency 5 3 4 5 5" xfId="7778"/>
    <cellStyle name="Currency 5 3 4 6" xfId="7779"/>
    <cellStyle name="Currency 5 3 4 6 2" xfId="7780"/>
    <cellStyle name="Currency 5 3 4 7" xfId="7781"/>
    <cellStyle name="Currency 5 3 4 7 2" xfId="7782"/>
    <cellStyle name="Currency 5 3 4 7 2 2" xfId="7783"/>
    <cellStyle name="Currency 5 3 4 7 3" xfId="7784"/>
    <cellStyle name="Currency 5 3 4 7 3 2" xfId="7785"/>
    <cellStyle name="Currency 5 3 4 7 4" xfId="7786"/>
    <cellStyle name="Currency 5 3 4 8" xfId="7787"/>
    <cellStyle name="Currency 5 3 4 8 2" xfId="7788"/>
    <cellStyle name="Currency 5 3 4 9" xfId="7789"/>
    <cellStyle name="Currency 5 3 4 9 2" xfId="7790"/>
    <cellStyle name="Currency 5 3 5" xfId="7791"/>
    <cellStyle name="Currency 5 3 5 10" xfId="7792"/>
    <cellStyle name="Currency 5 3 5 2" xfId="7793"/>
    <cellStyle name="Currency 5 3 5 2 2" xfId="7794"/>
    <cellStyle name="Currency 5 3 5 2 2 2" xfId="7795"/>
    <cellStyle name="Currency 5 3 5 2 2 2 2" xfId="7796"/>
    <cellStyle name="Currency 5 3 5 2 2 2 2 2" xfId="7797"/>
    <cellStyle name="Currency 5 3 5 2 2 2 3" xfId="7798"/>
    <cellStyle name="Currency 5 3 5 2 2 2 3 2" xfId="7799"/>
    <cellStyle name="Currency 5 3 5 2 2 2 4" xfId="7800"/>
    <cellStyle name="Currency 5 3 5 2 2 2 4 2" xfId="7801"/>
    <cellStyle name="Currency 5 3 5 2 2 2 5" xfId="7802"/>
    <cellStyle name="Currency 5 3 5 2 2 3" xfId="7803"/>
    <cellStyle name="Currency 5 3 5 2 2 3 2" xfId="7804"/>
    <cellStyle name="Currency 5 3 5 2 2 4" xfId="7805"/>
    <cellStyle name="Currency 5 3 5 2 2 4 2" xfId="7806"/>
    <cellStyle name="Currency 5 3 5 2 2 4 2 2" xfId="7807"/>
    <cellStyle name="Currency 5 3 5 2 2 4 3" xfId="7808"/>
    <cellStyle name="Currency 5 3 5 2 2 4 3 2" xfId="7809"/>
    <cellStyle name="Currency 5 3 5 2 2 4 4" xfId="7810"/>
    <cellStyle name="Currency 5 3 5 2 2 5" xfId="7811"/>
    <cellStyle name="Currency 5 3 5 2 2 5 2" xfId="7812"/>
    <cellStyle name="Currency 5 3 5 2 2 6" xfId="7813"/>
    <cellStyle name="Currency 5 3 5 2 2 6 2" xfId="7814"/>
    <cellStyle name="Currency 5 3 5 2 2 7" xfId="7815"/>
    <cellStyle name="Currency 5 3 5 2 3" xfId="7816"/>
    <cellStyle name="Currency 5 3 5 2 3 2" xfId="7817"/>
    <cellStyle name="Currency 5 3 5 2 3 2 2" xfId="7818"/>
    <cellStyle name="Currency 5 3 5 2 3 2 2 2" xfId="7819"/>
    <cellStyle name="Currency 5 3 5 2 3 2 3" xfId="7820"/>
    <cellStyle name="Currency 5 3 5 2 3 2 3 2" xfId="7821"/>
    <cellStyle name="Currency 5 3 5 2 3 2 4" xfId="7822"/>
    <cellStyle name="Currency 5 3 5 2 3 2 4 2" xfId="7823"/>
    <cellStyle name="Currency 5 3 5 2 3 2 5" xfId="7824"/>
    <cellStyle name="Currency 5 3 5 2 3 3" xfId="7825"/>
    <cellStyle name="Currency 5 3 5 2 3 3 2" xfId="7826"/>
    <cellStyle name="Currency 5 3 5 2 3 4" xfId="7827"/>
    <cellStyle name="Currency 5 3 5 2 3 4 2" xfId="7828"/>
    <cellStyle name="Currency 5 3 5 2 3 4 2 2" xfId="7829"/>
    <cellStyle name="Currency 5 3 5 2 3 4 3" xfId="7830"/>
    <cellStyle name="Currency 5 3 5 2 3 4 3 2" xfId="7831"/>
    <cellStyle name="Currency 5 3 5 2 3 4 4" xfId="7832"/>
    <cellStyle name="Currency 5 3 5 2 3 5" xfId="7833"/>
    <cellStyle name="Currency 5 3 5 2 3 5 2" xfId="7834"/>
    <cellStyle name="Currency 5 3 5 2 3 6" xfId="7835"/>
    <cellStyle name="Currency 5 3 5 2 3 6 2" xfId="7836"/>
    <cellStyle name="Currency 5 3 5 2 3 7" xfId="7837"/>
    <cellStyle name="Currency 5 3 5 2 4" xfId="7838"/>
    <cellStyle name="Currency 5 3 5 2 4 2" xfId="7839"/>
    <cellStyle name="Currency 5 3 5 2 4 2 2" xfId="7840"/>
    <cellStyle name="Currency 5 3 5 2 4 3" xfId="7841"/>
    <cellStyle name="Currency 5 3 5 2 4 3 2" xfId="7842"/>
    <cellStyle name="Currency 5 3 5 2 4 4" xfId="7843"/>
    <cellStyle name="Currency 5 3 5 2 4 4 2" xfId="7844"/>
    <cellStyle name="Currency 5 3 5 2 4 5" xfId="7845"/>
    <cellStyle name="Currency 5 3 5 2 5" xfId="7846"/>
    <cellStyle name="Currency 5 3 5 2 5 2" xfId="7847"/>
    <cellStyle name="Currency 5 3 5 2 6" xfId="7848"/>
    <cellStyle name="Currency 5 3 5 2 6 2" xfId="7849"/>
    <cellStyle name="Currency 5 3 5 2 6 2 2" xfId="7850"/>
    <cellStyle name="Currency 5 3 5 2 6 3" xfId="7851"/>
    <cellStyle name="Currency 5 3 5 2 6 3 2" xfId="7852"/>
    <cellStyle name="Currency 5 3 5 2 6 4" xfId="7853"/>
    <cellStyle name="Currency 5 3 5 2 7" xfId="7854"/>
    <cellStyle name="Currency 5 3 5 2 7 2" xfId="7855"/>
    <cellStyle name="Currency 5 3 5 2 8" xfId="7856"/>
    <cellStyle name="Currency 5 3 5 2 8 2" xfId="7857"/>
    <cellStyle name="Currency 5 3 5 2 9" xfId="7858"/>
    <cellStyle name="Currency 5 3 5 3" xfId="7859"/>
    <cellStyle name="Currency 5 3 5 3 2" xfId="7860"/>
    <cellStyle name="Currency 5 3 5 3 2 2" xfId="7861"/>
    <cellStyle name="Currency 5 3 5 3 2 2 2" xfId="7862"/>
    <cellStyle name="Currency 5 3 5 3 2 3" xfId="7863"/>
    <cellStyle name="Currency 5 3 5 3 2 3 2" xfId="7864"/>
    <cellStyle name="Currency 5 3 5 3 2 4" xfId="7865"/>
    <cellStyle name="Currency 5 3 5 3 2 4 2" xfId="7866"/>
    <cellStyle name="Currency 5 3 5 3 2 5" xfId="7867"/>
    <cellStyle name="Currency 5 3 5 3 3" xfId="7868"/>
    <cellStyle name="Currency 5 3 5 3 3 2" xfId="7869"/>
    <cellStyle name="Currency 5 3 5 3 4" xfId="7870"/>
    <cellStyle name="Currency 5 3 5 3 4 2" xfId="7871"/>
    <cellStyle name="Currency 5 3 5 3 4 2 2" xfId="7872"/>
    <cellStyle name="Currency 5 3 5 3 4 3" xfId="7873"/>
    <cellStyle name="Currency 5 3 5 3 4 3 2" xfId="7874"/>
    <cellStyle name="Currency 5 3 5 3 4 4" xfId="7875"/>
    <cellStyle name="Currency 5 3 5 3 5" xfId="7876"/>
    <cellStyle name="Currency 5 3 5 3 5 2" xfId="7877"/>
    <cellStyle name="Currency 5 3 5 3 6" xfId="7878"/>
    <cellStyle name="Currency 5 3 5 3 6 2" xfId="7879"/>
    <cellStyle name="Currency 5 3 5 3 7" xfId="7880"/>
    <cellStyle name="Currency 5 3 5 4" xfId="7881"/>
    <cellStyle name="Currency 5 3 5 4 2" xfId="7882"/>
    <cellStyle name="Currency 5 3 5 4 2 2" xfId="7883"/>
    <cellStyle name="Currency 5 3 5 4 2 2 2" xfId="7884"/>
    <cellStyle name="Currency 5 3 5 4 2 3" xfId="7885"/>
    <cellStyle name="Currency 5 3 5 4 2 3 2" xfId="7886"/>
    <cellStyle name="Currency 5 3 5 4 2 4" xfId="7887"/>
    <cellStyle name="Currency 5 3 5 4 2 4 2" xfId="7888"/>
    <cellStyle name="Currency 5 3 5 4 2 5" xfId="7889"/>
    <cellStyle name="Currency 5 3 5 4 3" xfId="7890"/>
    <cellStyle name="Currency 5 3 5 4 3 2" xfId="7891"/>
    <cellStyle name="Currency 5 3 5 4 4" xfId="7892"/>
    <cellStyle name="Currency 5 3 5 4 4 2" xfId="7893"/>
    <cellStyle name="Currency 5 3 5 4 4 2 2" xfId="7894"/>
    <cellStyle name="Currency 5 3 5 4 4 3" xfId="7895"/>
    <cellStyle name="Currency 5 3 5 4 4 3 2" xfId="7896"/>
    <cellStyle name="Currency 5 3 5 4 4 4" xfId="7897"/>
    <cellStyle name="Currency 5 3 5 4 5" xfId="7898"/>
    <cellStyle name="Currency 5 3 5 4 5 2" xfId="7899"/>
    <cellStyle name="Currency 5 3 5 4 6" xfId="7900"/>
    <cellStyle name="Currency 5 3 5 4 6 2" xfId="7901"/>
    <cellStyle name="Currency 5 3 5 4 7" xfId="7902"/>
    <cellStyle name="Currency 5 3 5 5" xfId="7903"/>
    <cellStyle name="Currency 5 3 5 5 2" xfId="7904"/>
    <cellStyle name="Currency 5 3 5 5 2 2" xfId="7905"/>
    <cellStyle name="Currency 5 3 5 5 3" xfId="7906"/>
    <cellStyle name="Currency 5 3 5 5 3 2" xfId="7907"/>
    <cellStyle name="Currency 5 3 5 5 4" xfId="7908"/>
    <cellStyle name="Currency 5 3 5 5 4 2" xfId="7909"/>
    <cellStyle name="Currency 5 3 5 5 5" xfId="7910"/>
    <cellStyle name="Currency 5 3 5 6" xfId="7911"/>
    <cellStyle name="Currency 5 3 5 6 2" xfId="7912"/>
    <cellStyle name="Currency 5 3 5 7" xfId="7913"/>
    <cellStyle name="Currency 5 3 5 7 2" xfId="7914"/>
    <cellStyle name="Currency 5 3 5 7 2 2" xfId="7915"/>
    <cellStyle name="Currency 5 3 5 7 3" xfId="7916"/>
    <cellStyle name="Currency 5 3 5 7 3 2" xfId="7917"/>
    <cellStyle name="Currency 5 3 5 7 4" xfId="7918"/>
    <cellStyle name="Currency 5 3 5 8" xfId="7919"/>
    <cellStyle name="Currency 5 3 5 8 2" xfId="7920"/>
    <cellStyle name="Currency 5 3 5 9" xfId="7921"/>
    <cellStyle name="Currency 5 3 5 9 2" xfId="7922"/>
    <cellStyle name="Currency 5 3 6" xfId="7923"/>
    <cellStyle name="Currency 5 3 6 2" xfId="7924"/>
    <cellStyle name="Currency 5 3 6 2 2" xfId="7925"/>
    <cellStyle name="Currency 5 3 6 2 2 2" xfId="7926"/>
    <cellStyle name="Currency 5 3 6 2 2 2 2" xfId="7927"/>
    <cellStyle name="Currency 5 3 6 2 2 3" xfId="7928"/>
    <cellStyle name="Currency 5 3 6 2 2 3 2" xfId="7929"/>
    <cellStyle name="Currency 5 3 6 2 2 4" xfId="7930"/>
    <cellStyle name="Currency 5 3 6 2 2 4 2" xfId="7931"/>
    <cellStyle name="Currency 5 3 6 2 2 5" xfId="7932"/>
    <cellStyle name="Currency 5 3 6 2 3" xfId="7933"/>
    <cellStyle name="Currency 5 3 6 2 3 2" xfId="7934"/>
    <cellStyle name="Currency 5 3 6 2 4" xfId="7935"/>
    <cellStyle name="Currency 5 3 6 2 4 2" xfId="7936"/>
    <cellStyle name="Currency 5 3 6 2 4 2 2" xfId="7937"/>
    <cellStyle name="Currency 5 3 6 2 4 3" xfId="7938"/>
    <cellStyle name="Currency 5 3 6 2 4 3 2" xfId="7939"/>
    <cellStyle name="Currency 5 3 6 2 4 4" xfId="7940"/>
    <cellStyle name="Currency 5 3 6 2 5" xfId="7941"/>
    <cellStyle name="Currency 5 3 6 2 5 2" xfId="7942"/>
    <cellStyle name="Currency 5 3 6 2 6" xfId="7943"/>
    <cellStyle name="Currency 5 3 6 2 6 2" xfId="7944"/>
    <cellStyle name="Currency 5 3 6 2 7" xfId="7945"/>
    <cellStyle name="Currency 5 3 6 3" xfId="7946"/>
    <cellStyle name="Currency 5 3 6 3 2" xfId="7947"/>
    <cellStyle name="Currency 5 3 6 3 2 2" xfId="7948"/>
    <cellStyle name="Currency 5 3 6 3 2 2 2" xfId="7949"/>
    <cellStyle name="Currency 5 3 6 3 2 3" xfId="7950"/>
    <cellStyle name="Currency 5 3 6 3 2 3 2" xfId="7951"/>
    <cellStyle name="Currency 5 3 6 3 2 4" xfId="7952"/>
    <cellStyle name="Currency 5 3 6 3 2 4 2" xfId="7953"/>
    <cellStyle name="Currency 5 3 6 3 2 5" xfId="7954"/>
    <cellStyle name="Currency 5 3 6 3 3" xfId="7955"/>
    <cellStyle name="Currency 5 3 6 3 3 2" xfId="7956"/>
    <cellStyle name="Currency 5 3 6 3 4" xfId="7957"/>
    <cellStyle name="Currency 5 3 6 3 4 2" xfId="7958"/>
    <cellStyle name="Currency 5 3 6 3 4 2 2" xfId="7959"/>
    <cellStyle name="Currency 5 3 6 3 4 3" xfId="7960"/>
    <cellStyle name="Currency 5 3 6 3 4 3 2" xfId="7961"/>
    <cellStyle name="Currency 5 3 6 3 4 4" xfId="7962"/>
    <cellStyle name="Currency 5 3 6 3 5" xfId="7963"/>
    <cellStyle name="Currency 5 3 6 3 5 2" xfId="7964"/>
    <cellStyle name="Currency 5 3 6 3 6" xfId="7965"/>
    <cellStyle name="Currency 5 3 6 3 6 2" xfId="7966"/>
    <cellStyle name="Currency 5 3 6 3 7" xfId="7967"/>
    <cellStyle name="Currency 5 3 6 4" xfId="7968"/>
    <cellStyle name="Currency 5 3 6 4 2" xfId="7969"/>
    <cellStyle name="Currency 5 3 6 4 2 2" xfId="7970"/>
    <cellStyle name="Currency 5 3 6 4 3" xfId="7971"/>
    <cellStyle name="Currency 5 3 6 4 3 2" xfId="7972"/>
    <cellStyle name="Currency 5 3 6 4 4" xfId="7973"/>
    <cellStyle name="Currency 5 3 6 4 4 2" xfId="7974"/>
    <cellStyle name="Currency 5 3 6 4 5" xfId="7975"/>
    <cellStyle name="Currency 5 3 6 5" xfId="7976"/>
    <cellStyle name="Currency 5 3 6 5 2" xfId="7977"/>
    <cellStyle name="Currency 5 3 6 6" xfId="7978"/>
    <cellStyle name="Currency 5 3 6 6 2" xfId="7979"/>
    <cellStyle name="Currency 5 3 6 6 2 2" xfId="7980"/>
    <cellStyle name="Currency 5 3 6 6 3" xfId="7981"/>
    <cellStyle name="Currency 5 3 6 6 3 2" xfId="7982"/>
    <cellStyle name="Currency 5 3 6 6 4" xfId="7983"/>
    <cellStyle name="Currency 5 3 6 7" xfId="7984"/>
    <cellStyle name="Currency 5 3 6 7 2" xfId="7985"/>
    <cellStyle name="Currency 5 3 6 8" xfId="7986"/>
    <cellStyle name="Currency 5 3 6 8 2" xfId="7987"/>
    <cellStyle name="Currency 5 3 6 9" xfId="7988"/>
    <cellStyle name="Currency 5 3 7" xfId="7989"/>
    <cellStyle name="Currency 5 3 7 2" xfId="7990"/>
    <cellStyle name="Currency 5 3 7 2 2" xfId="7991"/>
    <cellStyle name="Currency 5 3 7 2 2 2" xfId="7992"/>
    <cellStyle name="Currency 5 3 7 2 3" xfId="7993"/>
    <cellStyle name="Currency 5 3 7 2 3 2" xfId="7994"/>
    <cellStyle name="Currency 5 3 7 2 4" xfId="7995"/>
    <cellStyle name="Currency 5 3 7 2 4 2" xfId="7996"/>
    <cellStyle name="Currency 5 3 7 2 5" xfId="7997"/>
    <cellStyle name="Currency 5 3 7 3" xfId="7998"/>
    <cellStyle name="Currency 5 3 7 3 2" xfId="7999"/>
    <cellStyle name="Currency 5 3 7 4" xfId="8000"/>
    <cellStyle name="Currency 5 3 7 4 2" xfId="8001"/>
    <cellStyle name="Currency 5 3 7 4 2 2" xfId="8002"/>
    <cellStyle name="Currency 5 3 7 4 3" xfId="8003"/>
    <cellStyle name="Currency 5 3 7 4 3 2" xfId="8004"/>
    <cellStyle name="Currency 5 3 7 4 4" xfId="8005"/>
    <cellStyle name="Currency 5 3 7 5" xfId="8006"/>
    <cellStyle name="Currency 5 3 7 5 2" xfId="8007"/>
    <cellStyle name="Currency 5 3 7 6" xfId="8008"/>
    <cellStyle name="Currency 5 3 7 6 2" xfId="8009"/>
    <cellStyle name="Currency 5 3 7 7" xfId="8010"/>
    <cellStyle name="Currency 5 3 8" xfId="8011"/>
    <cellStyle name="Currency 5 3 8 2" xfId="8012"/>
    <cellStyle name="Currency 5 3 8 2 2" xfId="8013"/>
    <cellStyle name="Currency 5 3 8 2 2 2" xfId="8014"/>
    <cellStyle name="Currency 5 3 8 2 3" xfId="8015"/>
    <cellStyle name="Currency 5 3 8 2 3 2" xfId="8016"/>
    <cellStyle name="Currency 5 3 8 2 4" xfId="8017"/>
    <cellStyle name="Currency 5 3 8 2 4 2" xfId="8018"/>
    <cellStyle name="Currency 5 3 8 2 5" xfId="8019"/>
    <cellStyle name="Currency 5 3 8 3" xfId="8020"/>
    <cellStyle name="Currency 5 3 8 3 2" xfId="8021"/>
    <cellStyle name="Currency 5 3 8 4" xfId="8022"/>
    <cellStyle name="Currency 5 3 8 4 2" xfId="8023"/>
    <cellStyle name="Currency 5 3 8 4 2 2" xfId="8024"/>
    <cellStyle name="Currency 5 3 8 4 3" xfId="8025"/>
    <cellStyle name="Currency 5 3 8 4 3 2" xfId="8026"/>
    <cellStyle name="Currency 5 3 8 4 4" xfId="8027"/>
    <cellStyle name="Currency 5 3 8 5" xfId="8028"/>
    <cellStyle name="Currency 5 3 8 5 2" xfId="8029"/>
    <cellStyle name="Currency 5 3 8 6" xfId="8030"/>
    <cellStyle name="Currency 5 3 8 6 2" xfId="8031"/>
    <cellStyle name="Currency 5 3 8 7" xfId="8032"/>
    <cellStyle name="Currency 5 3 9" xfId="8033"/>
    <cellStyle name="Currency 5 3 9 2" xfId="8034"/>
    <cellStyle name="Currency 5 3 9 2 2" xfId="8035"/>
    <cellStyle name="Currency 5 3 9 3" xfId="8036"/>
    <cellStyle name="Currency 5 3 9 3 2" xfId="8037"/>
    <cellStyle name="Currency 5 3 9 4" xfId="8038"/>
    <cellStyle name="Currency 5 3 9 4 2" xfId="8039"/>
    <cellStyle name="Currency 5 3 9 5" xfId="8040"/>
    <cellStyle name="Currency 5 4" xfId="8041"/>
    <cellStyle name="Currency 5 4 10" xfId="8042"/>
    <cellStyle name="Currency 5 4 2" xfId="8043"/>
    <cellStyle name="Currency 5 4 2 2" xfId="8044"/>
    <cellStyle name="Currency 5 4 2 2 2" xfId="8045"/>
    <cellStyle name="Currency 5 4 2 2 2 2" xfId="8046"/>
    <cellStyle name="Currency 5 4 2 2 2 2 2" xfId="8047"/>
    <cellStyle name="Currency 5 4 2 2 2 3" xfId="8048"/>
    <cellStyle name="Currency 5 4 2 2 2 3 2" xfId="8049"/>
    <cellStyle name="Currency 5 4 2 2 2 4" xfId="8050"/>
    <cellStyle name="Currency 5 4 2 2 2 4 2" xfId="8051"/>
    <cellStyle name="Currency 5 4 2 2 2 5" xfId="8052"/>
    <cellStyle name="Currency 5 4 2 2 3" xfId="8053"/>
    <cellStyle name="Currency 5 4 2 2 3 2" xfId="8054"/>
    <cellStyle name="Currency 5 4 2 2 4" xfId="8055"/>
    <cellStyle name="Currency 5 4 2 2 4 2" xfId="8056"/>
    <cellStyle name="Currency 5 4 2 2 4 2 2" xfId="8057"/>
    <cellStyle name="Currency 5 4 2 2 4 3" xfId="8058"/>
    <cellStyle name="Currency 5 4 2 2 4 3 2" xfId="8059"/>
    <cellStyle name="Currency 5 4 2 2 4 4" xfId="8060"/>
    <cellStyle name="Currency 5 4 2 2 5" xfId="8061"/>
    <cellStyle name="Currency 5 4 2 2 5 2" xfId="8062"/>
    <cellStyle name="Currency 5 4 2 2 6" xfId="8063"/>
    <cellStyle name="Currency 5 4 2 2 6 2" xfId="8064"/>
    <cellStyle name="Currency 5 4 2 2 7" xfId="8065"/>
    <cellStyle name="Currency 5 4 2 3" xfId="8066"/>
    <cellStyle name="Currency 5 4 2 3 2" xfId="8067"/>
    <cellStyle name="Currency 5 4 2 3 2 2" xfId="8068"/>
    <cellStyle name="Currency 5 4 2 3 2 2 2" xfId="8069"/>
    <cellStyle name="Currency 5 4 2 3 2 3" xfId="8070"/>
    <cellStyle name="Currency 5 4 2 3 2 3 2" xfId="8071"/>
    <cellStyle name="Currency 5 4 2 3 2 4" xfId="8072"/>
    <cellStyle name="Currency 5 4 2 3 2 4 2" xfId="8073"/>
    <cellStyle name="Currency 5 4 2 3 2 5" xfId="8074"/>
    <cellStyle name="Currency 5 4 2 3 3" xfId="8075"/>
    <cellStyle name="Currency 5 4 2 3 3 2" xfId="8076"/>
    <cellStyle name="Currency 5 4 2 3 4" xfId="8077"/>
    <cellStyle name="Currency 5 4 2 3 4 2" xfId="8078"/>
    <cellStyle name="Currency 5 4 2 3 4 2 2" xfId="8079"/>
    <cellStyle name="Currency 5 4 2 3 4 3" xfId="8080"/>
    <cellStyle name="Currency 5 4 2 3 4 3 2" xfId="8081"/>
    <cellStyle name="Currency 5 4 2 3 4 4" xfId="8082"/>
    <cellStyle name="Currency 5 4 2 3 5" xfId="8083"/>
    <cellStyle name="Currency 5 4 2 3 5 2" xfId="8084"/>
    <cellStyle name="Currency 5 4 2 3 6" xfId="8085"/>
    <cellStyle name="Currency 5 4 2 3 6 2" xfId="8086"/>
    <cellStyle name="Currency 5 4 2 3 7" xfId="8087"/>
    <cellStyle name="Currency 5 4 2 4" xfId="8088"/>
    <cellStyle name="Currency 5 4 2 4 2" xfId="8089"/>
    <cellStyle name="Currency 5 4 2 4 2 2" xfId="8090"/>
    <cellStyle name="Currency 5 4 2 4 3" xfId="8091"/>
    <cellStyle name="Currency 5 4 2 4 3 2" xfId="8092"/>
    <cellStyle name="Currency 5 4 2 4 4" xfId="8093"/>
    <cellStyle name="Currency 5 4 2 4 4 2" xfId="8094"/>
    <cellStyle name="Currency 5 4 2 4 5" xfId="8095"/>
    <cellStyle name="Currency 5 4 2 5" xfId="8096"/>
    <cellStyle name="Currency 5 4 2 5 2" xfId="8097"/>
    <cellStyle name="Currency 5 4 2 6" xfId="8098"/>
    <cellStyle name="Currency 5 4 2 6 2" xfId="8099"/>
    <cellStyle name="Currency 5 4 2 6 2 2" xfId="8100"/>
    <cellStyle name="Currency 5 4 2 6 3" xfId="8101"/>
    <cellStyle name="Currency 5 4 2 6 3 2" xfId="8102"/>
    <cellStyle name="Currency 5 4 2 6 4" xfId="8103"/>
    <cellStyle name="Currency 5 4 2 7" xfId="8104"/>
    <cellStyle name="Currency 5 4 2 7 2" xfId="8105"/>
    <cellStyle name="Currency 5 4 2 8" xfId="8106"/>
    <cellStyle name="Currency 5 4 2 8 2" xfId="8107"/>
    <cellStyle name="Currency 5 4 2 9" xfId="8108"/>
    <cellStyle name="Currency 5 4 3" xfId="8109"/>
    <cellStyle name="Currency 5 4 3 2" xfId="8110"/>
    <cellStyle name="Currency 5 4 3 2 2" xfId="8111"/>
    <cellStyle name="Currency 5 4 3 2 2 2" xfId="8112"/>
    <cellStyle name="Currency 5 4 3 2 3" xfId="8113"/>
    <cellStyle name="Currency 5 4 3 2 3 2" xfId="8114"/>
    <cellStyle name="Currency 5 4 3 2 4" xfId="8115"/>
    <cellStyle name="Currency 5 4 3 2 4 2" xfId="8116"/>
    <cellStyle name="Currency 5 4 3 2 5" xfId="8117"/>
    <cellStyle name="Currency 5 4 3 3" xfId="8118"/>
    <cellStyle name="Currency 5 4 3 3 2" xfId="8119"/>
    <cellStyle name="Currency 5 4 3 4" xfId="8120"/>
    <cellStyle name="Currency 5 4 3 4 2" xfId="8121"/>
    <cellStyle name="Currency 5 4 3 4 2 2" xfId="8122"/>
    <cellStyle name="Currency 5 4 3 4 3" xfId="8123"/>
    <cellStyle name="Currency 5 4 3 4 3 2" xfId="8124"/>
    <cellStyle name="Currency 5 4 3 4 4" xfId="8125"/>
    <cellStyle name="Currency 5 4 3 5" xfId="8126"/>
    <cellStyle name="Currency 5 4 3 5 2" xfId="8127"/>
    <cellStyle name="Currency 5 4 3 6" xfId="8128"/>
    <cellStyle name="Currency 5 4 3 6 2" xfId="8129"/>
    <cellStyle name="Currency 5 4 3 7" xfId="8130"/>
    <cellStyle name="Currency 5 4 4" xfId="8131"/>
    <cellStyle name="Currency 5 4 4 2" xfId="8132"/>
    <cellStyle name="Currency 5 4 4 2 2" xfId="8133"/>
    <cellStyle name="Currency 5 4 4 2 2 2" xfId="8134"/>
    <cellStyle name="Currency 5 4 4 2 3" xfId="8135"/>
    <cellStyle name="Currency 5 4 4 2 3 2" xfId="8136"/>
    <cellStyle name="Currency 5 4 4 2 4" xfId="8137"/>
    <cellStyle name="Currency 5 4 4 2 4 2" xfId="8138"/>
    <cellStyle name="Currency 5 4 4 2 5" xfId="8139"/>
    <cellStyle name="Currency 5 4 4 3" xfId="8140"/>
    <cellStyle name="Currency 5 4 4 3 2" xfId="8141"/>
    <cellStyle name="Currency 5 4 4 4" xfId="8142"/>
    <cellStyle name="Currency 5 4 4 4 2" xfId="8143"/>
    <cellStyle name="Currency 5 4 4 4 2 2" xfId="8144"/>
    <cellStyle name="Currency 5 4 4 4 3" xfId="8145"/>
    <cellStyle name="Currency 5 4 4 4 3 2" xfId="8146"/>
    <cellStyle name="Currency 5 4 4 4 4" xfId="8147"/>
    <cellStyle name="Currency 5 4 4 5" xfId="8148"/>
    <cellStyle name="Currency 5 4 4 5 2" xfId="8149"/>
    <cellStyle name="Currency 5 4 4 6" xfId="8150"/>
    <cellStyle name="Currency 5 4 4 6 2" xfId="8151"/>
    <cellStyle name="Currency 5 4 4 7" xfId="8152"/>
    <cellStyle name="Currency 5 4 5" xfId="8153"/>
    <cellStyle name="Currency 5 4 5 2" xfId="8154"/>
    <cellStyle name="Currency 5 4 5 2 2" xfId="8155"/>
    <cellStyle name="Currency 5 4 5 3" xfId="8156"/>
    <cellStyle name="Currency 5 4 5 3 2" xfId="8157"/>
    <cellStyle name="Currency 5 4 5 4" xfId="8158"/>
    <cellStyle name="Currency 5 4 5 4 2" xfId="8159"/>
    <cellStyle name="Currency 5 4 5 5" xfId="8160"/>
    <cellStyle name="Currency 5 4 6" xfId="8161"/>
    <cellStyle name="Currency 5 4 6 2" xfId="8162"/>
    <cellStyle name="Currency 5 4 7" xfId="8163"/>
    <cellStyle name="Currency 5 4 7 2" xfId="8164"/>
    <cellStyle name="Currency 5 4 7 2 2" xfId="8165"/>
    <cellStyle name="Currency 5 4 7 3" xfId="8166"/>
    <cellStyle name="Currency 5 4 7 3 2" xfId="8167"/>
    <cellStyle name="Currency 5 4 7 4" xfId="8168"/>
    <cellStyle name="Currency 5 4 8" xfId="8169"/>
    <cellStyle name="Currency 5 4 8 2" xfId="8170"/>
    <cellStyle name="Currency 5 4 9" xfId="8171"/>
    <cellStyle name="Currency 5 4 9 2" xfId="8172"/>
    <cellStyle name="Currency 5 5" xfId="8173"/>
    <cellStyle name="Currency 5 5 10" xfId="8174"/>
    <cellStyle name="Currency 5 5 2" xfId="8175"/>
    <cellStyle name="Currency 5 5 2 2" xfId="8176"/>
    <cellStyle name="Currency 5 5 2 2 2" xfId="8177"/>
    <cellStyle name="Currency 5 5 2 2 2 2" xfId="8178"/>
    <cellStyle name="Currency 5 5 2 2 2 2 2" xfId="8179"/>
    <cellStyle name="Currency 5 5 2 2 2 3" xfId="8180"/>
    <cellStyle name="Currency 5 5 2 2 2 3 2" xfId="8181"/>
    <cellStyle name="Currency 5 5 2 2 2 4" xfId="8182"/>
    <cellStyle name="Currency 5 5 2 2 2 4 2" xfId="8183"/>
    <cellStyle name="Currency 5 5 2 2 2 5" xfId="8184"/>
    <cellStyle name="Currency 5 5 2 2 3" xfId="8185"/>
    <cellStyle name="Currency 5 5 2 2 3 2" xfId="8186"/>
    <cellStyle name="Currency 5 5 2 2 4" xfId="8187"/>
    <cellStyle name="Currency 5 5 2 2 4 2" xfId="8188"/>
    <cellStyle name="Currency 5 5 2 2 4 2 2" xfId="8189"/>
    <cellStyle name="Currency 5 5 2 2 4 3" xfId="8190"/>
    <cellStyle name="Currency 5 5 2 2 4 3 2" xfId="8191"/>
    <cellStyle name="Currency 5 5 2 2 4 4" xfId="8192"/>
    <cellStyle name="Currency 5 5 2 2 5" xfId="8193"/>
    <cellStyle name="Currency 5 5 2 2 5 2" xfId="8194"/>
    <cellStyle name="Currency 5 5 2 2 6" xfId="8195"/>
    <cellStyle name="Currency 5 5 2 2 6 2" xfId="8196"/>
    <cellStyle name="Currency 5 5 2 2 7" xfId="8197"/>
    <cellStyle name="Currency 5 5 2 3" xfId="8198"/>
    <cellStyle name="Currency 5 5 2 3 2" xfId="8199"/>
    <cellStyle name="Currency 5 5 2 3 2 2" xfId="8200"/>
    <cellStyle name="Currency 5 5 2 3 2 2 2" xfId="8201"/>
    <cellStyle name="Currency 5 5 2 3 2 3" xfId="8202"/>
    <cellStyle name="Currency 5 5 2 3 2 3 2" xfId="8203"/>
    <cellStyle name="Currency 5 5 2 3 2 4" xfId="8204"/>
    <cellStyle name="Currency 5 5 2 3 2 4 2" xfId="8205"/>
    <cellStyle name="Currency 5 5 2 3 2 5" xfId="8206"/>
    <cellStyle name="Currency 5 5 2 3 3" xfId="8207"/>
    <cellStyle name="Currency 5 5 2 3 3 2" xfId="8208"/>
    <cellStyle name="Currency 5 5 2 3 4" xfId="8209"/>
    <cellStyle name="Currency 5 5 2 3 4 2" xfId="8210"/>
    <cellStyle name="Currency 5 5 2 3 4 2 2" xfId="8211"/>
    <cellStyle name="Currency 5 5 2 3 4 3" xfId="8212"/>
    <cellStyle name="Currency 5 5 2 3 4 3 2" xfId="8213"/>
    <cellStyle name="Currency 5 5 2 3 4 4" xfId="8214"/>
    <cellStyle name="Currency 5 5 2 3 5" xfId="8215"/>
    <cellStyle name="Currency 5 5 2 3 5 2" xfId="8216"/>
    <cellStyle name="Currency 5 5 2 3 6" xfId="8217"/>
    <cellStyle name="Currency 5 5 2 3 6 2" xfId="8218"/>
    <cellStyle name="Currency 5 5 2 3 7" xfId="8219"/>
    <cellStyle name="Currency 5 5 2 4" xfId="8220"/>
    <cellStyle name="Currency 5 5 2 4 2" xfId="8221"/>
    <cellStyle name="Currency 5 5 2 4 2 2" xfId="8222"/>
    <cellStyle name="Currency 5 5 2 4 3" xfId="8223"/>
    <cellStyle name="Currency 5 5 2 4 3 2" xfId="8224"/>
    <cellStyle name="Currency 5 5 2 4 4" xfId="8225"/>
    <cellStyle name="Currency 5 5 2 4 4 2" xfId="8226"/>
    <cellStyle name="Currency 5 5 2 4 5" xfId="8227"/>
    <cellStyle name="Currency 5 5 2 5" xfId="8228"/>
    <cellStyle name="Currency 5 5 2 5 2" xfId="8229"/>
    <cellStyle name="Currency 5 5 2 6" xfId="8230"/>
    <cellStyle name="Currency 5 5 2 6 2" xfId="8231"/>
    <cellStyle name="Currency 5 5 2 6 2 2" xfId="8232"/>
    <cellStyle name="Currency 5 5 2 6 3" xfId="8233"/>
    <cellStyle name="Currency 5 5 2 6 3 2" xfId="8234"/>
    <cellStyle name="Currency 5 5 2 6 4" xfId="8235"/>
    <cellStyle name="Currency 5 5 2 7" xfId="8236"/>
    <cellStyle name="Currency 5 5 2 7 2" xfId="8237"/>
    <cellStyle name="Currency 5 5 2 8" xfId="8238"/>
    <cellStyle name="Currency 5 5 2 8 2" xfId="8239"/>
    <cellStyle name="Currency 5 5 2 9" xfId="8240"/>
    <cellStyle name="Currency 5 5 3" xfId="8241"/>
    <cellStyle name="Currency 5 5 3 2" xfId="8242"/>
    <cellStyle name="Currency 5 5 3 2 2" xfId="8243"/>
    <cellStyle name="Currency 5 5 3 2 2 2" xfId="8244"/>
    <cellStyle name="Currency 5 5 3 2 3" xfId="8245"/>
    <cellStyle name="Currency 5 5 3 2 3 2" xfId="8246"/>
    <cellStyle name="Currency 5 5 3 2 4" xfId="8247"/>
    <cellStyle name="Currency 5 5 3 2 4 2" xfId="8248"/>
    <cellStyle name="Currency 5 5 3 2 5" xfId="8249"/>
    <cellStyle name="Currency 5 5 3 3" xfId="8250"/>
    <cellStyle name="Currency 5 5 3 3 2" xfId="8251"/>
    <cellStyle name="Currency 5 5 3 4" xfId="8252"/>
    <cellStyle name="Currency 5 5 3 4 2" xfId="8253"/>
    <cellStyle name="Currency 5 5 3 4 2 2" xfId="8254"/>
    <cellStyle name="Currency 5 5 3 4 3" xfId="8255"/>
    <cellStyle name="Currency 5 5 3 4 3 2" xfId="8256"/>
    <cellStyle name="Currency 5 5 3 4 4" xfId="8257"/>
    <cellStyle name="Currency 5 5 3 5" xfId="8258"/>
    <cellStyle name="Currency 5 5 3 5 2" xfId="8259"/>
    <cellStyle name="Currency 5 5 3 6" xfId="8260"/>
    <cellStyle name="Currency 5 5 3 6 2" xfId="8261"/>
    <cellStyle name="Currency 5 5 3 7" xfId="8262"/>
    <cellStyle name="Currency 5 5 4" xfId="8263"/>
    <cellStyle name="Currency 5 5 4 2" xfId="8264"/>
    <cellStyle name="Currency 5 5 4 2 2" xfId="8265"/>
    <cellStyle name="Currency 5 5 4 2 2 2" xfId="8266"/>
    <cellStyle name="Currency 5 5 4 2 3" xfId="8267"/>
    <cellStyle name="Currency 5 5 4 2 3 2" xfId="8268"/>
    <cellStyle name="Currency 5 5 4 2 4" xfId="8269"/>
    <cellStyle name="Currency 5 5 4 2 4 2" xfId="8270"/>
    <cellStyle name="Currency 5 5 4 2 5" xfId="8271"/>
    <cellStyle name="Currency 5 5 4 3" xfId="8272"/>
    <cellStyle name="Currency 5 5 4 3 2" xfId="8273"/>
    <cellStyle name="Currency 5 5 4 4" xfId="8274"/>
    <cellStyle name="Currency 5 5 4 4 2" xfId="8275"/>
    <cellStyle name="Currency 5 5 4 4 2 2" xfId="8276"/>
    <cellStyle name="Currency 5 5 4 4 3" xfId="8277"/>
    <cellStyle name="Currency 5 5 4 4 3 2" xfId="8278"/>
    <cellStyle name="Currency 5 5 4 4 4" xfId="8279"/>
    <cellStyle name="Currency 5 5 4 5" xfId="8280"/>
    <cellStyle name="Currency 5 5 4 5 2" xfId="8281"/>
    <cellStyle name="Currency 5 5 4 6" xfId="8282"/>
    <cellStyle name="Currency 5 5 4 6 2" xfId="8283"/>
    <cellStyle name="Currency 5 5 4 7" xfId="8284"/>
    <cellStyle name="Currency 5 5 5" xfId="8285"/>
    <cellStyle name="Currency 5 5 5 2" xfId="8286"/>
    <cellStyle name="Currency 5 5 5 2 2" xfId="8287"/>
    <cellStyle name="Currency 5 5 5 3" xfId="8288"/>
    <cellStyle name="Currency 5 5 5 3 2" xfId="8289"/>
    <cellStyle name="Currency 5 5 5 4" xfId="8290"/>
    <cellStyle name="Currency 5 5 5 4 2" xfId="8291"/>
    <cellStyle name="Currency 5 5 5 5" xfId="8292"/>
    <cellStyle name="Currency 5 5 6" xfId="8293"/>
    <cellStyle name="Currency 5 5 6 2" xfId="8294"/>
    <cellStyle name="Currency 5 5 7" xfId="8295"/>
    <cellStyle name="Currency 5 5 7 2" xfId="8296"/>
    <cellStyle name="Currency 5 5 7 2 2" xfId="8297"/>
    <cellStyle name="Currency 5 5 7 3" xfId="8298"/>
    <cellStyle name="Currency 5 5 7 3 2" xfId="8299"/>
    <cellStyle name="Currency 5 5 7 4" xfId="8300"/>
    <cellStyle name="Currency 5 5 8" xfId="8301"/>
    <cellStyle name="Currency 5 5 8 2" xfId="8302"/>
    <cellStyle name="Currency 5 5 9" xfId="8303"/>
    <cellStyle name="Currency 5 5 9 2" xfId="8304"/>
    <cellStyle name="Currency 5 6" xfId="8305"/>
    <cellStyle name="Currency 5 6 10" xfId="8306"/>
    <cellStyle name="Currency 5 6 2" xfId="8307"/>
    <cellStyle name="Currency 5 6 2 2" xfId="8308"/>
    <cellStyle name="Currency 5 6 2 2 2" xfId="8309"/>
    <cellStyle name="Currency 5 6 2 2 2 2" xfId="8310"/>
    <cellStyle name="Currency 5 6 2 2 2 2 2" xfId="8311"/>
    <cellStyle name="Currency 5 6 2 2 2 3" xfId="8312"/>
    <cellStyle name="Currency 5 6 2 2 2 3 2" xfId="8313"/>
    <cellStyle name="Currency 5 6 2 2 2 4" xfId="8314"/>
    <cellStyle name="Currency 5 6 2 2 2 4 2" xfId="8315"/>
    <cellStyle name="Currency 5 6 2 2 2 5" xfId="8316"/>
    <cellStyle name="Currency 5 6 2 2 3" xfId="8317"/>
    <cellStyle name="Currency 5 6 2 2 3 2" xfId="8318"/>
    <cellStyle name="Currency 5 6 2 2 4" xfId="8319"/>
    <cellStyle name="Currency 5 6 2 2 4 2" xfId="8320"/>
    <cellStyle name="Currency 5 6 2 2 4 2 2" xfId="8321"/>
    <cellStyle name="Currency 5 6 2 2 4 3" xfId="8322"/>
    <cellStyle name="Currency 5 6 2 2 4 3 2" xfId="8323"/>
    <cellStyle name="Currency 5 6 2 2 4 4" xfId="8324"/>
    <cellStyle name="Currency 5 6 2 2 5" xfId="8325"/>
    <cellStyle name="Currency 5 6 2 2 5 2" xfId="8326"/>
    <cellStyle name="Currency 5 6 2 2 6" xfId="8327"/>
    <cellStyle name="Currency 5 6 2 2 6 2" xfId="8328"/>
    <cellStyle name="Currency 5 6 2 2 7" xfId="8329"/>
    <cellStyle name="Currency 5 6 2 3" xfId="8330"/>
    <cellStyle name="Currency 5 6 2 3 2" xfId="8331"/>
    <cellStyle name="Currency 5 6 2 3 2 2" xfId="8332"/>
    <cellStyle name="Currency 5 6 2 3 2 2 2" xfId="8333"/>
    <cellStyle name="Currency 5 6 2 3 2 3" xfId="8334"/>
    <cellStyle name="Currency 5 6 2 3 2 3 2" xfId="8335"/>
    <cellStyle name="Currency 5 6 2 3 2 4" xfId="8336"/>
    <cellStyle name="Currency 5 6 2 3 2 4 2" xfId="8337"/>
    <cellStyle name="Currency 5 6 2 3 2 5" xfId="8338"/>
    <cellStyle name="Currency 5 6 2 3 3" xfId="8339"/>
    <cellStyle name="Currency 5 6 2 3 3 2" xfId="8340"/>
    <cellStyle name="Currency 5 6 2 3 4" xfId="8341"/>
    <cellStyle name="Currency 5 6 2 3 4 2" xfId="8342"/>
    <cellStyle name="Currency 5 6 2 3 4 2 2" xfId="8343"/>
    <cellStyle name="Currency 5 6 2 3 4 3" xfId="8344"/>
    <cellStyle name="Currency 5 6 2 3 4 3 2" xfId="8345"/>
    <cellStyle name="Currency 5 6 2 3 4 4" xfId="8346"/>
    <cellStyle name="Currency 5 6 2 3 5" xfId="8347"/>
    <cellStyle name="Currency 5 6 2 3 5 2" xfId="8348"/>
    <cellStyle name="Currency 5 6 2 3 6" xfId="8349"/>
    <cellStyle name="Currency 5 6 2 3 6 2" xfId="8350"/>
    <cellStyle name="Currency 5 6 2 3 7" xfId="8351"/>
    <cellStyle name="Currency 5 6 2 4" xfId="8352"/>
    <cellStyle name="Currency 5 6 2 4 2" xfId="8353"/>
    <cellStyle name="Currency 5 6 2 4 2 2" xfId="8354"/>
    <cellStyle name="Currency 5 6 2 4 3" xfId="8355"/>
    <cellStyle name="Currency 5 6 2 4 3 2" xfId="8356"/>
    <cellStyle name="Currency 5 6 2 4 4" xfId="8357"/>
    <cellStyle name="Currency 5 6 2 4 4 2" xfId="8358"/>
    <cellStyle name="Currency 5 6 2 4 5" xfId="8359"/>
    <cellStyle name="Currency 5 6 2 5" xfId="8360"/>
    <cellStyle name="Currency 5 6 2 5 2" xfId="8361"/>
    <cellStyle name="Currency 5 6 2 6" xfId="8362"/>
    <cellStyle name="Currency 5 6 2 6 2" xfId="8363"/>
    <cellStyle name="Currency 5 6 2 6 2 2" xfId="8364"/>
    <cellStyle name="Currency 5 6 2 6 3" xfId="8365"/>
    <cellStyle name="Currency 5 6 2 6 3 2" xfId="8366"/>
    <cellStyle name="Currency 5 6 2 6 4" xfId="8367"/>
    <cellStyle name="Currency 5 6 2 7" xfId="8368"/>
    <cellStyle name="Currency 5 6 2 7 2" xfId="8369"/>
    <cellStyle name="Currency 5 6 2 8" xfId="8370"/>
    <cellStyle name="Currency 5 6 2 8 2" xfId="8371"/>
    <cellStyle name="Currency 5 6 2 9" xfId="8372"/>
    <cellStyle name="Currency 5 6 3" xfId="8373"/>
    <cellStyle name="Currency 5 6 3 2" xfId="8374"/>
    <cellStyle name="Currency 5 6 3 2 2" xfId="8375"/>
    <cellStyle name="Currency 5 6 3 2 2 2" xfId="8376"/>
    <cellStyle name="Currency 5 6 3 2 3" xfId="8377"/>
    <cellStyle name="Currency 5 6 3 2 3 2" xfId="8378"/>
    <cellStyle name="Currency 5 6 3 2 4" xfId="8379"/>
    <cellStyle name="Currency 5 6 3 2 4 2" xfId="8380"/>
    <cellStyle name="Currency 5 6 3 2 5" xfId="8381"/>
    <cellStyle name="Currency 5 6 3 3" xfId="8382"/>
    <cellStyle name="Currency 5 6 3 3 2" xfId="8383"/>
    <cellStyle name="Currency 5 6 3 4" xfId="8384"/>
    <cellStyle name="Currency 5 6 3 4 2" xfId="8385"/>
    <cellStyle name="Currency 5 6 3 4 2 2" xfId="8386"/>
    <cellStyle name="Currency 5 6 3 4 3" xfId="8387"/>
    <cellStyle name="Currency 5 6 3 4 3 2" xfId="8388"/>
    <cellStyle name="Currency 5 6 3 4 4" xfId="8389"/>
    <cellStyle name="Currency 5 6 3 5" xfId="8390"/>
    <cellStyle name="Currency 5 6 3 5 2" xfId="8391"/>
    <cellStyle name="Currency 5 6 3 6" xfId="8392"/>
    <cellStyle name="Currency 5 6 3 6 2" xfId="8393"/>
    <cellStyle name="Currency 5 6 3 7" xfId="8394"/>
    <cellStyle name="Currency 5 6 4" xfId="8395"/>
    <cellStyle name="Currency 5 6 4 2" xfId="8396"/>
    <cellStyle name="Currency 5 6 4 2 2" xfId="8397"/>
    <cellStyle name="Currency 5 6 4 2 2 2" xfId="8398"/>
    <cellStyle name="Currency 5 6 4 2 3" xfId="8399"/>
    <cellStyle name="Currency 5 6 4 2 3 2" xfId="8400"/>
    <cellStyle name="Currency 5 6 4 2 4" xfId="8401"/>
    <cellStyle name="Currency 5 6 4 2 4 2" xfId="8402"/>
    <cellStyle name="Currency 5 6 4 2 5" xfId="8403"/>
    <cellStyle name="Currency 5 6 4 3" xfId="8404"/>
    <cellStyle name="Currency 5 6 4 3 2" xfId="8405"/>
    <cellStyle name="Currency 5 6 4 4" xfId="8406"/>
    <cellStyle name="Currency 5 6 4 4 2" xfId="8407"/>
    <cellStyle name="Currency 5 6 4 4 2 2" xfId="8408"/>
    <cellStyle name="Currency 5 6 4 4 3" xfId="8409"/>
    <cellStyle name="Currency 5 6 4 4 3 2" xfId="8410"/>
    <cellStyle name="Currency 5 6 4 4 4" xfId="8411"/>
    <cellStyle name="Currency 5 6 4 5" xfId="8412"/>
    <cellStyle name="Currency 5 6 4 5 2" xfId="8413"/>
    <cellStyle name="Currency 5 6 4 6" xfId="8414"/>
    <cellStyle name="Currency 5 6 4 6 2" xfId="8415"/>
    <cellStyle name="Currency 5 6 4 7" xfId="8416"/>
    <cellStyle name="Currency 5 6 5" xfId="8417"/>
    <cellStyle name="Currency 5 6 5 2" xfId="8418"/>
    <cellStyle name="Currency 5 6 5 2 2" xfId="8419"/>
    <cellStyle name="Currency 5 6 5 3" xfId="8420"/>
    <cellStyle name="Currency 5 6 5 3 2" xfId="8421"/>
    <cellStyle name="Currency 5 6 5 4" xfId="8422"/>
    <cellStyle name="Currency 5 6 5 4 2" xfId="8423"/>
    <cellStyle name="Currency 5 6 5 5" xfId="8424"/>
    <cellStyle name="Currency 5 6 6" xfId="8425"/>
    <cellStyle name="Currency 5 6 6 2" xfId="8426"/>
    <cellStyle name="Currency 5 6 7" xfId="8427"/>
    <cellStyle name="Currency 5 6 7 2" xfId="8428"/>
    <cellStyle name="Currency 5 6 7 2 2" xfId="8429"/>
    <cellStyle name="Currency 5 6 7 3" xfId="8430"/>
    <cellStyle name="Currency 5 6 7 3 2" xfId="8431"/>
    <cellStyle name="Currency 5 6 7 4" xfId="8432"/>
    <cellStyle name="Currency 5 6 8" xfId="8433"/>
    <cellStyle name="Currency 5 6 8 2" xfId="8434"/>
    <cellStyle name="Currency 5 6 9" xfId="8435"/>
    <cellStyle name="Currency 5 6 9 2" xfId="8436"/>
    <cellStyle name="Currency 5 7" xfId="8437"/>
    <cellStyle name="Currency 5 7 2" xfId="8438"/>
    <cellStyle name="Currency 5 7 2 2" xfId="8439"/>
    <cellStyle name="Currency 5 7 2 2 2" xfId="8440"/>
    <cellStyle name="Currency 5 7 2 2 2 2" xfId="8441"/>
    <cellStyle name="Currency 5 7 2 2 3" xfId="8442"/>
    <cellStyle name="Currency 5 7 2 2 3 2" xfId="8443"/>
    <cellStyle name="Currency 5 7 2 2 4" xfId="8444"/>
    <cellStyle name="Currency 5 7 2 2 4 2" xfId="8445"/>
    <cellStyle name="Currency 5 7 2 2 5" xfId="8446"/>
    <cellStyle name="Currency 5 7 2 3" xfId="8447"/>
    <cellStyle name="Currency 5 7 2 3 2" xfId="8448"/>
    <cellStyle name="Currency 5 7 2 4" xfId="8449"/>
    <cellStyle name="Currency 5 7 2 4 2" xfId="8450"/>
    <cellStyle name="Currency 5 7 2 4 2 2" xfId="8451"/>
    <cellStyle name="Currency 5 7 2 4 3" xfId="8452"/>
    <cellStyle name="Currency 5 7 2 4 3 2" xfId="8453"/>
    <cellStyle name="Currency 5 7 2 4 4" xfId="8454"/>
    <cellStyle name="Currency 5 7 2 5" xfId="8455"/>
    <cellStyle name="Currency 5 7 2 5 2" xfId="8456"/>
    <cellStyle name="Currency 5 7 2 6" xfId="8457"/>
    <cellStyle name="Currency 5 7 2 6 2" xfId="8458"/>
    <cellStyle name="Currency 5 7 2 7" xfId="8459"/>
    <cellStyle name="Currency 5 7 3" xfId="8460"/>
    <cellStyle name="Currency 5 7 3 2" xfId="8461"/>
    <cellStyle name="Currency 5 7 3 2 2" xfId="8462"/>
    <cellStyle name="Currency 5 7 3 2 2 2" xfId="8463"/>
    <cellStyle name="Currency 5 7 3 2 3" xfId="8464"/>
    <cellStyle name="Currency 5 7 3 2 3 2" xfId="8465"/>
    <cellStyle name="Currency 5 7 3 2 4" xfId="8466"/>
    <cellStyle name="Currency 5 7 3 2 4 2" xfId="8467"/>
    <cellStyle name="Currency 5 7 3 2 5" xfId="8468"/>
    <cellStyle name="Currency 5 7 3 3" xfId="8469"/>
    <cellStyle name="Currency 5 7 3 3 2" xfId="8470"/>
    <cellStyle name="Currency 5 7 3 4" xfId="8471"/>
    <cellStyle name="Currency 5 7 3 4 2" xfId="8472"/>
    <cellStyle name="Currency 5 7 3 4 2 2" xfId="8473"/>
    <cellStyle name="Currency 5 7 3 4 3" xfId="8474"/>
    <cellStyle name="Currency 5 7 3 4 3 2" xfId="8475"/>
    <cellStyle name="Currency 5 7 3 4 4" xfId="8476"/>
    <cellStyle name="Currency 5 7 3 5" xfId="8477"/>
    <cellStyle name="Currency 5 7 3 5 2" xfId="8478"/>
    <cellStyle name="Currency 5 7 3 6" xfId="8479"/>
    <cellStyle name="Currency 5 7 3 6 2" xfId="8480"/>
    <cellStyle name="Currency 5 7 3 7" xfId="8481"/>
    <cellStyle name="Currency 5 7 4" xfId="8482"/>
    <cellStyle name="Currency 5 7 4 2" xfId="8483"/>
    <cellStyle name="Currency 5 7 4 2 2" xfId="8484"/>
    <cellStyle name="Currency 5 7 4 3" xfId="8485"/>
    <cellStyle name="Currency 5 7 4 3 2" xfId="8486"/>
    <cellStyle name="Currency 5 7 4 4" xfId="8487"/>
    <cellStyle name="Currency 5 7 4 4 2" xfId="8488"/>
    <cellStyle name="Currency 5 7 4 5" xfId="8489"/>
    <cellStyle name="Currency 5 7 5" xfId="8490"/>
    <cellStyle name="Currency 5 7 5 2" xfId="8491"/>
    <cellStyle name="Currency 5 7 6" xfId="8492"/>
    <cellStyle name="Currency 5 7 6 2" xfId="8493"/>
    <cellStyle name="Currency 5 7 6 2 2" xfId="8494"/>
    <cellStyle name="Currency 5 7 6 3" xfId="8495"/>
    <cellStyle name="Currency 5 7 6 3 2" xfId="8496"/>
    <cellStyle name="Currency 5 7 6 4" xfId="8497"/>
    <cellStyle name="Currency 5 7 7" xfId="8498"/>
    <cellStyle name="Currency 5 7 7 2" xfId="8499"/>
    <cellStyle name="Currency 5 7 8" xfId="8500"/>
    <cellStyle name="Currency 5 7 8 2" xfId="8501"/>
    <cellStyle name="Currency 5 7 9" xfId="8502"/>
    <cellStyle name="Currency 5 8" xfId="8503"/>
    <cellStyle name="Currency 5 8 2" xfId="8504"/>
    <cellStyle name="Currency 5 8 2 2" xfId="8505"/>
    <cellStyle name="Currency 5 8 2 2 2" xfId="8506"/>
    <cellStyle name="Currency 5 8 2 3" xfId="8507"/>
    <cellStyle name="Currency 5 8 2 3 2" xfId="8508"/>
    <cellStyle name="Currency 5 8 2 4" xfId="8509"/>
    <cellStyle name="Currency 5 8 2 4 2" xfId="8510"/>
    <cellStyle name="Currency 5 8 2 5" xfId="8511"/>
    <cellStyle name="Currency 5 8 3" xfId="8512"/>
    <cellStyle name="Currency 5 8 3 2" xfId="8513"/>
    <cellStyle name="Currency 5 8 4" xfId="8514"/>
    <cellStyle name="Currency 5 8 4 2" xfId="8515"/>
    <cellStyle name="Currency 5 8 4 2 2" xfId="8516"/>
    <cellStyle name="Currency 5 8 4 3" xfId="8517"/>
    <cellStyle name="Currency 5 8 4 3 2" xfId="8518"/>
    <cellStyle name="Currency 5 8 4 4" xfId="8519"/>
    <cellStyle name="Currency 5 8 5" xfId="8520"/>
    <cellStyle name="Currency 5 8 5 2" xfId="8521"/>
    <cellStyle name="Currency 5 8 6" xfId="8522"/>
    <cellStyle name="Currency 5 8 6 2" xfId="8523"/>
    <cellStyle name="Currency 5 8 7" xfId="8524"/>
    <cellStyle name="Currency 5 9" xfId="8525"/>
    <cellStyle name="Currency 5 9 2" xfId="8526"/>
    <cellStyle name="Currency 5 9 2 2" xfId="8527"/>
    <cellStyle name="Currency 5 9 2 2 2" xfId="8528"/>
    <cellStyle name="Currency 5 9 2 3" xfId="8529"/>
    <cellStyle name="Currency 5 9 2 3 2" xfId="8530"/>
    <cellStyle name="Currency 5 9 2 4" xfId="8531"/>
    <cellStyle name="Currency 5 9 2 4 2" xfId="8532"/>
    <cellStyle name="Currency 5 9 2 5" xfId="8533"/>
    <cellStyle name="Currency 5 9 3" xfId="8534"/>
    <cellStyle name="Currency 5 9 3 2" xfId="8535"/>
    <cellStyle name="Currency 5 9 4" xfId="8536"/>
    <cellStyle name="Currency 5 9 4 2" xfId="8537"/>
    <cellStyle name="Currency 5 9 4 2 2" xfId="8538"/>
    <cellStyle name="Currency 5 9 4 3" xfId="8539"/>
    <cellStyle name="Currency 5 9 4 3 2" xfId="8540"/>
    <cellStyle name="Currency 5 9 4 4" xfId="8541"/>
    <cellStyle name="Currency 5 9 5" xfId="8542"/>
    <cellStyle name="Currency 5 9 5 2" xfId="8543"/>
    <cellStyle name="Currency 5 9 6" xfId="8544"/>
    <cellStyle name="Currency 5 9 6 2" xfId="8545"/>
    <cellStyle name="Currency 5 9 7" xfId="8546"/>
    <cellStyle name="Currency 6" xfId="8547"/>
    <cellStyle name="Currency 6 2" xfId="8548"/>
    <cellStyle name="Currency 6 2 2" xfId="8549"/>
    <cellStyle name="Currency 6 2 2 2" xfId="25572"/>
    <cellStyle name="Currency 6 2 2 3" xfId="25573"/>
    <cellStyle name="Currency 6 2 3" xfId="25574"/>
    <cellStyle name="Currency 6 2 4" xfId="25575"/>
    <cellStyle name="Currency 6 3" xfId="8550"/>
    <cellStyle name="Currency 6 3 2" xfId="25576"/>
    <cellStyle name="Currency 6 3 3" xfId="25577"/>
    <cellStyle name="Currency 6 4" xfId="19236"/>
    <cellStyle name="Currency 6 5" xfId="25578"/>
    <cellStyle name="Currency 7" xfId="8551"/>
    <cellStyle name="Currency 7 2" xfId="8552"/>
    <cellStyle name="Currency 7 2 2" xfId="8553"/>
    <cellStyle name="Currency 7 2 3" xfId="25579"/>
    <cellStyle name="Currency 7 2 4" xfId="25580"/>
    <cellStyle name="Currency 7 3" xfId="8554"/>
    <cellStyle name="Currency 7 3 2" xfId="8555"/>
    <cellStyle name="Currency 7 4" xfId="8556"/>
    <cellStyle name="Currency 7 4 2" xfId="8557"/>
    <cellStyle name="Currency 7 5" xfId="8558"/>
    <cellStyle name="Currency 7 5 2" xfId="8559"/>
    <cellStyle name="Currency 7 5 2 2" xfId="8560"/>
    <cellStyle name="Currency 7 5 2 2 2" xfId="8561"/>
    <cellStyle name="Currency 7 5 2 3" xfId="8562"/>
    <cellStyle name="Currency 7 5 3" xfId="8563"/>
    <cellStyle name="Currency 7 5 3 2" xfId="8564"/>
    <cellStyle name="Currency 7 5 4" xfId="8565"/>
    <cellStyle name="Currency 7 5 4 2" xfId="8566"/>
    <cellStyle name="Currency 7 5 5" xfId="8567"/>
    <cellStyle name="Currency 7 6" xfId="8568"/>
    <cellStyle name="Currency 7 6 2" xfId="8569"/>
    <cellStyle name="Currency 7 7" xfId="8570"/>
    <cellStyle name="Currency 7 8" xfId="19237"/>
    <cellStyle name="Currency 7 9" xfId="25581"/>
    <cellStyle name="Currency 8" xfId="8571"/>
    <cellStyle name="Currency 8 10" xfId="8572"/>
    <cellStyle name="Currency 8 10 2" xfId="8573"/>
    <cellStyle name="Currency 8 10 2 2" xfId="8574"/>
    <cellStyle name="Currency 8 10 2 2 2" xfId="8575"/>
    <cellStyle name="Currency 8 10 2 3" xfId="8576"/>
    <cellStyle name="Currency 8 10 2 3 2" xfId="8577"/>
    <cellStyle name="Currency 8 10 2 4" xfId="8578"/>
    <cellStyle name="Currency 8 10 2 4 2" xfId="8579"/>
    <cellStyle name="Currency 8 10 2 5" xfId="8580"/>
    <cellStyle name="Currency 8 10 3" xfId="8581"/>
    <cellStyle name="Currency 8 10 3 2" xfId="8582"/>
    <cellStyle name="Currency 8 10 4" xfId="8583"/>
    <cellStyle name="Currency 8 10 4 2" xfId="8584"/>
    <cellStyle name="Currency 8 10 4 2 2" xfId="8585"/>
    <cellStyle name="Currency 8 10 4 3" xfId="8586"/>
    <cellStyle name="Currency 8 10 4 3 2" xfId="8587"/>
    <cellStyle name="Currency 8 10 4 4" xfId="8588"/>
    <cellStyle name="Currency 8 10 5" xfId="8589"/>
    <cellStyle name="Currency 8 10 5 2" xfId="8590"/>
    <cellStyle name="Currency 8 10 6" xfId="8591"/>
    <cellStyle name="Currency 8 10 6 2" xfId="8592"/>
    <cellStyle name="Currency 8 10 7" xfId="8593"/>
    <cellStyle name="Currency 8 11" xfId="8594"/>
    <cellStyle name="Currency 8 11 2" xfId="8595"/>
    <cellStyle name="Currency 8 11 2 2" xfId="8596"/>
    <cellStyle name="Currency 8 11 2 2 2" xfId="8597"/>
    <cellStyle name="Currency 8 11 2 3" xfId="8598"/>
    <cellStyle name="Currency 8 11 2 3 2" xfId="8599"/>
    <cellStyle name="Currency 8 11 2 4" xfId="8600"/>
    <cellStyle name="Currency 8 11 2 4 2" xfId="8601"/>
    <cellStyle name="Currency 8 11 2 5" xfId="8602"/>
    <cellStyle name="Currency 8 11 3" xfId="8603"/>
    <cellStyle name="Currency 8 11 3 2" xfId="8604"/>
    <cellStyle name="Currency 8 11 4" xfId="8605"/>
    <cellStyle name="Currency 8 11 4 2" xfId="8606"/>
    <cellStyle name="Currency 8 11 4 2 2" xfId="8607"/>
    <cellStyle name="Currency 8 11 4 3" xfId="8608"/>
    <cellStyle name="Currency 8 11 4 3 2" xfId="8609"/>
    <cellStyle name="Currency 8 11 4 4" xfId="8610"/>
    <cellStyle name="Currency 8 11 5" xfId="8611"/>
    <cellStyle name="Currency 8 11 5 2" xfId="8612"/>
    <cellStyle name="Currency 8 11 6" xfId="8613"/>
    <cellStyle name="Currency 8 11 6 2" xfId="8614"/>
    <cellStyle name="Currency 8 11 7" xfId="8615"/>
    <cellStyle name="Currency 8 12" xfId="8616"/>
    <cellStyle name="Currency 8 12 2" xfId="8617"/>
    <cellStyle name="Currency 8 12 2 2" xfId="8618"/>
    <cellStyle name="Currency 8 12 3" xfId="8619"/>
    <cellStyle name="Currency 8 12 3 2" xfId="8620"/>
    <cellStyle name="Currency 8 12 4" xfId="8621"/>
    <cellStyle name="Currency 8 12 4 2" xfId="8622"/>
    <cellStyle name="Currency 8 12 5" xfId="8623"/>
    <cellStyle name="Currency 8 13" xfId="8624"/>
    <cellStyle name="Currency 8 13 2" xfId="8625"/>
    <cellStyle name="Currency 8 13 2 2" xfId="8626"/>
    <cellStyle name="Currency 8 13 3" xfId="8627"/>
    <cellStyle name="Currency 8 13 3 2" xfId="8628"/>
    <cellStyle name="Currency 8 13 4" xfId="8629"/>
    <cellStyle name="Currency 8 14" xfId="8630"/>
    <cellStyle name="Currency 8 14 2" xfId="8631"/>
    <cellStyle name="Currency 8 15" xfId="8632"/>
    <cellStyle name="Currency 8 16" xfId="19238"/>
    <cellStyle name="Currency 8 17" xfId="25582"/>
    <cellStyle name="Currency 8 2" xfId="8633"/>
    <cellStyle name="Currency 8 2 2" xfId="8634"/>
    <cellStyle name="Currency 8 2 2 2" xfId="8635"/>
    <cellStyle name="Currency 8 2 3" xfId="8636"/>
    <cellStyle name="Currency 8 2 4" xfId="25583"/>
    <cellStyle name="Currency 8 2 5" xfId="25584"/>
    <cellStyle name="Currency 8 3" xfId="8637"/>
    <cellStyle name="Currency 8 3 2" xfId="8638"/>
    <cellStyle name="Currency 8 4" xfId="8639"/>
    <cellStyle name="Currency 8 4 2" xfId="8640"/>
    <cellStyle name="Currency 8 4 2 2" xfId="8641"/>
    <cellStyle name="Currency 8 4 2 2 2" xfId="8642"/>
    <cellStyle name="Currency 8 4 2 3" xfId="8643"/>
    <cellStyle name="Currency 8 4 2 3 2" xfId="8644"/>
    <cellStyle name="Currency 8 4 2 4" xfId="8645"/>
    <cellStyle name="Currency 8 4 3" xfId="8646"/>
    <cellStyle name="Currency 8 4 3 2" xfId="8647"/>
    <cellStyle name="Currency 8 4 4" xfId="8648"/>
    <cellStyle name="Currency 8 4 4 2" xfId="8649"/>
    <cellStyle name="Currency 8 4 5" xfId="8650"/>
    <cellStyle name="Currency 8 5" xfId="8651"/>
    <cellStyle name="Currency 8 5 2" xfId="8652"/>
    <cellStyle name="Currency 8 5 2 2" xfId="8653"/>
    <cellStyle name="Currency 8 5 2 2 2" xfId="8654"/>
    <cellStyle name="Currency 8 5 2 3" xfId="8655"/>
    <cellStyle name="Currency 8 5 2 3 2" xfId="8656"/>
    <cellStyle name="Currency 8 5 2 4" xfId="8657"/>
    <cellStyle name="Currency 8 5 3" xfId="8658"/>
    <cellStyle name="Currency 8 5 3 2" xfId="8659"/>
    <cellStyle name="Currency 8 5 4" xfId="8660"/>
    <cellStyle name="Currency 8 5 4 2" xfId="8661"/>
    <cellStyle name="Currency 8 5 5" xfId="8662"/>
    <cellStyle name="Currency 8 6" xfId="8663"/>
    <cellStyle name="Currency 8 6 10" xfId="8664"/>
    <cellStyle name="Currency 8 6 2" xfId="8665"/>
    <cellStyle name="Currency 8 6 2 2" xfId="8666"/>
    <cellStyle name="Currency 8 6 2 2 2" xfId="8667"/>
    <cellStyle name="Currency 8 6 2 2 2 2" xfId="8668"/>
    <cellStyle name="Currency 8 6 2 2 2 2 2" xfId="8669"/>
    <cellStyle name="Currency 8 6 2 2 2 3" xfId="8670"/>
    <cellStyle name="Currency 8 6 2 2 2 3 2" xfId="8671"/>
    <cellStyle name="Currency 8 6 2 2 2 4" xfId="8672"/>
    <cellStyle name="Currency 8 6 2 2 2 4 2" xfId="8673"/>
    <cellStyle name="Currency 8 6 2 2 2 5" xfId="8674"/>
    <cellStyle name="Currency 8 6 2 2 3" xfId="8675"/>
    <cellStyle name="Currency 8 6 2 2 3 2" xfId="8676"/>
    <cellStyle name="Currency 8 6 2 2 4" xfId="8677"/>
    <cellStyle name="Currency 8 6 2 2 4 2" xfId="8678"/>
    <cellStyle name="Currency 8 6 2 2 4 2 2" xfId="8679"/>
    <cellStyle name="Currency 8 6 2 2 4 3" xfId="8680"/>
    <cellStyle name="Currency 8 6 2 2 4 3 2" xfId="8681"/>
    <cellStyle name="Currency 8 6 2 2 4 4" xfId="8682"/>
    <cellStyle name="Currency 8 6 2 2 5" xfId="8683"/>
    <cellStyle name="Currency 8 6 2 2 5 2" xfId="8684"/>
    <cellStyle name="Currency 8 6 2 2 6" xfId="8685"/>
    <cellStyle name="Currency 8 6 2 2 6 2" xfId="8686"/>
    <cellStyle name="Currency 8 6 2 2 7" xfId="8687"/>
    <cellStyle name="Currency 8 6 2 3" xfId="8688"/>
    <cellStyle name="Currency 8 6 2 3 2" xfId="8689"/>
    <cellStyle name="Currency 8 6 2 3 2 2" xfId="8690"/>
    <cellStyle name="Currency 8 6 2 3 2 2 2" xfId="8691"/>
    <cellStyle name="Currency 8 6 2 3 2 3" xfId="8692"/>
    <cellStyle name="Currency 8 6 2 3 2 3 2" xfId="8693"/>
    <cellStyle name="Currency 8 6 2 3 2 4" xfId="8694"/>
    <cellStyle name="Currency 8 6 2 3 2 4 2" xfId="8695"/>
    <cellStyle name="Currency 8 6 2 3 2 5" xfId="8696"/>
    <cellStyle name="Currency 8 6 2 3 3" xfId="8697"/>
    <cellStyle name="Currency 8 6 2 3 3 2" xfId="8698"/>
    <cellStyle name="Currency 8 6 2 3 4" xfId="8699"/>
    <cellStyle name="Currency 8 6 2 3 4 2" xfId="8700"/>
    <cellStyle name="Currency 8 6 2 3 4 2 2" xfId="8701"/>
    <cellStyle name="Currency 8 6 2 3 4 3" xfId="8702"/>
    <cellStyle name="Currency 8 6 2 3 4 3 2" xfId="8703"/>
    <cellStyle name="Currency 8 6 2 3 4 4" xfId="8704"/>
    <cellStyle name="Currency 8 6 2 3 5" xfId="8705"/>
    <cellStyle name="Currency 8 6 2 3 5 2" xfId="8706"/>
    <cellStyle name="Currency 8 6 2 3 6" xfId="8707"/>
    <cellStyle name="Currency 8 6 2 3 6 2" xfId="8708"/>
    <cellStyle name="Currency 8 6 2 3 7" xfId="8709"/>
    <cellStyle name="Currency 8 6 2 4" xfId="8710"/>
    <cellStyle name="Currency 8 6 2 4 2" xfId="8711"/>
    <cellStyle name="Currency 8 6 2 4 2 2" xfId="8712"/>
    <cellStyle name="Currency 8 6 2 4 3" xfId="8713"/>
    <cellStyle name="Currency 8 6 2 4 3 2" xfId="8714"/>
    <cellStyle name="Currency 8 6 2 4 4" xfId="8715"/>
    <cellStyle name="Currency 8 6 2 4 4 2" xfId="8716"/>
    <cellStyle name="Currency 8 6 2 4 5" xfId="8717"/>
    <cellStyle name="Currency 8 6 2 5" xfId="8718"/>
    <cellStyle name="Currency 8 6 2 5 2" xfId="8719"/>
    <cellStyle name="Currency 8 6 2 6" xfId="8720"/>
    <cellStyle name="Currency 8 6 2 6 2" xfId="8721"/>
    <cellStyle name="Currency 8 6 2 6 2 2" xfId="8722"/>
    <cellStyle name="Currency 8 6 2 6 3" xfId="8723"/>
    <cellStyle name="Currency 8 6 2 6 3 2" xfId="8724"/>
    <cellStyle name="Currency 8 6 2 6 4" xfId="8725"/>
    <cellStyle name="Currency 8 6 2 7" xfId="8726"/>
    <cellStyle name="Currency 8 6 2 7 2" xfId="8727"/>
    <cellStyle name="Currency 8 6 2 8" xfId="8728"/>
    <cellStyle name="Currency 8 6 2 8 2" xfId="8729"/>
    <cellStyle name="Currency 8 6 2 9" xfId="8730"/>
    <cellStyle name="Currency 8 6 3" xfId="8731"/>
    <cellStyle name="Currency 8 6 3 2" xfId="8732"/>
    <cellStyle name="Currency 8 6 3 2 2" xfId="8733"/>
    <cellStyle name="Currency 8 6 3 2 2 2" xfId="8734"/>
    <cellStyle name="Currency 8 6 3 2 3" xfId="8735"/>
    <cellStyle name="Currency 8 6 3 2 3 2" xfId="8736"/>
    <cellStyle name="Currency 8 6 3 2 4" xfId="8737"/>
    <cellStyle name="Currency 8 6 3 2 4 2" xfId="8738"/>
    <cellStyle name="Currency 8 6 3 2 5" xfId="8739"/>
    <cellStyle name="Currency 8 6 3 3" xfId="8740"/>
    <cellStyle name="Currency 8 6 3 3 2" xfId="8741"/>
    <cellStyle name="Currency 8 6 3 4" xfId="8742"/>
    <cellStyle name="Currency 8 6 3 4 2" xfId="8743"/>
    <cellStyle name="Currency 8 6 3 4 2 2" xfId="8744"/>
    <cellStyle name="Currency 8 6 3 4 3" xfId="8745"/>
    <cellStyle name="Currency 8 6 3 4 3 2" xfId="8746"/>
    <cellStyle name="Currency 8 6 3 4 4" xfId="8747"/>
    <cellStyle name="Currency 8 6 3 5" xfId="8748"/>
    <cellStyle name="Currency 8 6 3 5 2" xfId="8749"/>
    <cellStyle name="Currency 8 6 3 6" xfId="8750"/>
    <cellStyle name="Currency 8 6 3 6 2" xfId="8751"/>
    <cellStyle name="Currency 8 6 3 7" xfId="8752"/>
    <cellStyle name="Currency 8 6 4" xfId="8753"/>
    <cellStyle name="Currency 8 6 4 2" xfId="8754"/>
    <cellStyle name="Currency 8 6 4 2 2" xfId="8755"/>
    <cellStyle name="Currency 8 6 4 2 2 2" xfId="8756"/>
    <cellStyle name="Currency 8 6 4 2 3" xfId="8757"/>
    <cellStyle name="Currency 8 6 4 2 3 2" xfId="8758"/>
    <cellStyle name="Currency 8 6 4 2 4" xfId="8759"/>
    <cellStyle name="Currency 8 6 4 2 4 2" xfId="8760"/>
    <cellStyle name="Currency 8 6 4 2 5" xfId="8761"/>
    <cellStyle name="Currency 8 6 4 3" xfId="8762"/>
    <cellStyle name="Currency 8 6 4 3 2" xfId="8763"/>
    <cellStyle name="Currency 8 6 4 4" xfId="8764"/>
    <cellStyle name="Currency 8 6 4 4 2" xfId="8765"/>
    <cellStyle name="Currency 8 6 4 4 2 2" xfId="8766"/>
    <cellStyle name="Currency 8 6 4 4 3" xfId="8767"/>
    <cellStyle name="Currency 8 6 4 4 3 2" xfId="8768"/>
    <cellStyle name="Currency 8 6 4 4 4" xfId="8769"/>
    <cellStyle name="Currency 8 6 4 5" xfId="8770"/>
    <cellStyle name="Currency 8 6 4 5 2" xfId="8771"/>
    <cellStyle name="Currency 8 6 4 6" xfId="8772"/>
    <cellStyle name="Currency 8 6 4 6 2" xfId="8773"/>
    <cellStyle name="Currency 8 6 4 7" xfId="8774"/>
    <cellStyle name="Currency 8 6 5" xfId="8775"/>
    <cellStyle name="Currency 8 6 5 2" xfId="8776"/>
    <cellStyle name="Currency 8 6 5 2 2" xfId="8777"/>
    <cellStyle name="Currency 8 6 5 3" xfId="8778"/>
    <cellStyle name="Currency 8 6 5 3 2" xfId="8779"/>
    <cellStyle name="Currency 8 6 5 4" xfId="8780"/>
    <cellStyle name="Currency 8 6 5 4 2" xfId="8781"/>
    <cellStyle name="Currency 8 6 5 5" xfId="8782"/>
    <cellStyle name="Currency 8 6 6" xfId="8783"/>
    <cellStyle name="Currency 8 6 6 2" xfId="8784"/>
    <cellStyle name="Currency 8 6 7" xfId="8785"/>
    <cellStyle name="Currency 8 6 7 2" xfId="8786"/>
    <cellStyle name="Currency 8 6 7 2 2" xfId="8787"/>
    <cellStyle name="Currency 8 6 7 3" xfId="8788"/>
    <cellStyle name="Currency 8 6 7 3 2" xfId="8789"/>
    <cellStyle name="Currency 8 6 7 4" xfId="8790"/>
    <cellStyle name="Currency 8 6 8" xfId="8791"/>
    <cellStyle name="Currency 8 6 8 2" xfId="8792"/>
    <cellStyle name="Currency 8 6 9" xfId="8793"/>
    <cellStyle name="Currency 8 6 9 2" xfId="8794"/>
    <cellStyle name="Currency 8 7" xfId="8795"/>
    <cellStyle name="Currency 8 7 10" xfId="8796"/>
    <cellStyle name="Currency 8 7 2" xfId="8797"/>
    <cellStyle name="Currency 8 7 2 2" xfId="8798"/>
    <cellStyle name="Currency 8 7 2 2 2" xfId="8799"/>
    <cellStyle name="Currency 8 7 2 2 2 2" xfId="8800"/>
    <cellStyle name="Currency 8 7 2 2 2 2 2" xfId="8801"/>
    <cellStyle name="Currency 8 7 2 2 2 3" xfId="8802"/>
    <cellStyle name="Currency 8 7 2 2 2 3 2" xfId="8803"/>
    <cellStyle name="Currency 8 7 2 2 2 4" xfId="8804"/>
    <cellStyle name="Currency 8 7 2 2 2 4 2" xfId="8805"/>
    <cellStyle name="Currency 8 7 2 2 2 5" xfId="8806"/>
    <cellStyle name="Currency 8 7 2 2 3" xfId="8807"/>
    <cellStyle name="Currency 8 7 2 2 3 2" xfId="8808"/>
    <cellStyle name="Currency 8 7 2 2 4" xfId="8809"/>
    <cellStyle name="Currency 8 7 2 2 4 2" xfId="8810"/>
    <cellStyle name="Currency 8 7 2 2 4 2 2" xfId="8811"/>
    <cellStyle name="Currency 8 7 2 2 4 3" xfId="8812"/>
    <cellStyle name="Currency 8 7 2 2 4 3 2" xfId="8813"/>
    <cellStyle name="Currency 8 7 2 2 4 4" xfId="8814"/>
    <cellStyle name="Currency 8 7 2 2 5" xfId="8815"/>
    <cellStyle name="Currency 8 7 2 2 5 2" xfId="8816"/>
    <cellStyle name="Currency 8 7 2 2 6" xfId="8817"/>
    <cellStyle name="Currency 8 7 2 2 6 2" xfId="8818"/>
    <cellStyle name="Currency 8 7 2 2 7" xfId="8819"/>
    <cellStyle name="Currency 8 7 2 3" xfId="8820"/>
    <cellStyle name="Currency 8 7 2 3 2" xfId="8821"/>
    <cellStyle name="Currency 8 7 2 3 2 2" xfId="8822"/>
    <cellStyle name="Currency 8 7 2 3 2 2 2" xfId="8823"/>
    <cellStyle name="Currency 8 7 2 3 2 3" xfId="8824"/>
    <cellStyle name="Currency 8 7 2 3 2 3 2" xfId="8825"/>
    <cellStyle name="Currency 8 7 2 3 2 4" xfId="8826"/>
    <cellStyle name="Currency 8 7 2 3 2 4 2" xfId="8827"/>
    <cellStyle name="Currency 8 7 2 3 2 5" xfId="8828"/>
    <cellStyle name="Currency 8 7 2 3 3" xfId="8829"/>
    <cellStyle name="Currency 8 7 2 3 3 2" xfId="8830"/>
    <cellStyle name="Currency 8 7 2 3 4" xfId="8831"/>
    <cellStyle name="Currency 8 7 2 3 4 2" xfId="8832"/>
    <cellStyle name="Currency 8 7 2 3 4 2 2" xfId="8833"/>
    <cellStyle name="Currency 8 7 2 3 4 3" xfId="8834"/>
    <cellStyle name="Currency 8 7 2 3 4 3 2" xfId="8835"/>
    <cellStyle name="Currency 8 7 2 3 4 4" xfId="8836"/>
    <cellStyle name="Currency 8 7 2 3 5" xfId="8837"/>
    <cellStyle name="Currency 8 7 2 3 5 2" xfId="8838"/>
    <cellStyle name="Currency 8 7 2 3 6" xfId="8839"/>
    <cellStyle name="Currency 8 7 2 3 6 2" xfId="8840"/>
    <cellStyle name="Currency 8 7 2 3 7" xfId="8841"/>
    <cellStyle name="Currency 8 7 2 4" xfId="8842"/>
    <cellStyle name="Currency 8 7 2 4 2" xfId="8843"/>
    <cellStyle name="Currency 8 7 2 4 2 2" xfId="8844"/>
    <cellStyle name="Currency 8 7 2 4 3" xfId="8845"/>
    <cellStyle name="Currency 8 7 2 4 3 2" xfId="8846"/>
    <cellStyle name="Currency 8 7 2 4 4" xfId="8847"/>
    <cellStyle name="Currency 8 7 2 4 4 2" xfId="8848"/>
    <cellStyle name="Currency 8 7 2 4 5" xfId="8849"/>
    <cellStyle name="Currency 8 7 2 5" xfId="8850"/>
    <cellStyle name="Currency 8 7 2 5 2" xfId="8851"/>
    <cellStyle name="Currency 8 7 2 6" xfId="8852"/>
    <cellStyle name="Currency 8 7 2 6 2" xfId="8853"/>
    <cellStyle name="Currency 8 7 2 6 2 2" xfId="8854"/>
    <cellStyle name="Currency 8 7 2 6 3" xfId="8855"/>
    <cellStyle name="Currency 8 7 2 6 3 2" xfId="8856"/>
    <cellStyle name="Currency 8 7 2 6 4" xfId="8857"/>
    <cellStyle name="Currency 8 7 2 7" xfId="8858"/>
    <cellStyle name="Currency 8 7 2 7 2" xfId="8859"/>
    <cellStyle name="Currency 8 7 2 8" xfId="8860"/>
    <cellStyle name="Currency 8 7 2 8 2" xfId="8861"/>
    <cellStyle name="Currency 8 7 2 9" xfId="8862"/>
    <cellStyle name="Currency 8 7 3" xfId="8863"/>
    <cellStyle name="Currency 8 7 3 2" xfId="8864"/>
    <cellStyle name="Currency 8 7 3 2 2" xfId="8865"/>
    <cellStyle name="Currency 8 7 3 2 2 2" xfId="8866"/>
    <cellStyle name="Currency 8 7 3 2 3" xfId="8867"/>
    <cellStyle name="Currency 8 7 3 2 3 2" xfId="8868"/>
    <cellStyle name="Currency 8 7 3 2 4" xfId="8869"/>
    <cellStyle name="Currency 8 7 3 2 4 2" xfId="8870"/>
    <cellStyle name="Currency 8 7 3 2 5" xfId="8871"/>
    <cellStyle name="Currency 8 7 3 3" xfId="8872"/>
    <cellStyle name="Currency 8 7 3 3 2" xfId="8873"/>
    <cellStyle name="Currency 8 7 3 4" xfId="8874"/>
    <cellStyle name="Currency 8 7 3 4 2" xfId="8875"/>
    <cellStyle name="Currency 8 7 3 4 2 2" xfId="8876"/>
    <cellStyle name="Currency 8 7 3 4 3" xfId="8877"/>
    <cellStyle name="Currency 8 7 3 4 3 2" xfId="8878"/>
    <cellStyle name="Currency 8 7 3 4 4" xfId="8879"/>
    <cellStyle name="Currency 8 7 3 5" xfId="8880"/>
    <cellStyle name="Currency 8 7 3 5 2" xfId="8881"/>
    <cellStyle name="Currency 8 7 3 6" xfId="8882"/>
    <cellStyle name="Currency 8 7 3 6 2" xfId="8883"/>
    <cellStyle name="Currency 8 7 3 7" xfId="8884"/>
    <cellStyle name="Currency 8 7 4" xfId="8885"/>
    <cellStyle name="Currency 8 7 4 2" xfId="8886"/>
    <cellStyle name="Currency 8 7 4 2 2" xfId="8887"/>
    <cellStyle name="Currency 8 7 4 2 2 2" xfId="8888"/>
    <cellStyle name="Currency 8 7 4 2 3" xfId="8889"/>
    <cellStyle name="Currency 8 7 4 2 3 2" xfId="8890"/>
    <cellStyle name="Currency 8 7 4 2 4" xfId="8891"/>
    <cellStyle name="Currency 8 7 4 2 4 2" xfId="8892"/>
    <cellStyle name="Currency 8 7 4 2 5" xfId="8893"/>
    <cellStyle name="Currency 8 7 4 3" xfId="8894"/>
    <cellStyle name="Currency 8 7 4 3 2" xfId="8895"/>
    <cellStyle name="Currency 8 7 4 4" xfId="8896"/>
    <cellStyle name="Currency 8 7 4 4 2" xfId="8897"/>
    <cellStyle name="Currency 8 7 4 4 2 2" xfId="8898"/>
    <cellStyle name="Currency 8 7 4 4 3" xfId="8899"/>
    <cellStyle name="Currency 8 7 4 4 3 2" xfId="8900"/>
    <cellStyle name="Currency 8 7 4 4 4" xfId="8901"/>
    <cellStyle name="Currency 8 7 4 5" xfId="8902"/>
    <cellStyle name="Currency 8 7 4 5 2" xfId="8903"/>
    <cellStyle name="Currency 8 7 4 6" xfId="8904"/>
    <cellStyle name="Currency 8 7 4 6 2" xfId="8905"/>
    <cellStyle name="Currency 8 7 4 7" xfId="8906"/>
    <cellStyle name="Currency 8 7 5" xfId="8907"/>
    <cellStyle name="Currency 8 7 5 2" xfId="8908"/>
    <cellStyle name="Currency 8 7 5 2 2" xfId="8909"/>
    <cellStyle name="Currency 8 7 5 3" xfId="8910"/>
    <cellStyle name="Currency 8 7 5 3 2" xfId="8911"/>
    <cellStyle name="Currency 8 7 5 4" xfId="8912"/>
    <cellStyle name="Currency 8 7 5 4 2" xfId="8913"/>
    <cellStyle name="Currency 8 7 5 5" xfId="8914"/>
    <cellStyle name="Currency 8 7 6" xfId="8915"/>
    <cellStyle name="Currency 8 7 6 2" xfId="8916"/>
    <cellStyle name="Currency 8 7 7" xfId="8917"/>
    <cellStyle name="Currency 8 7 7 2" xfId="8918"/>
    <cellStyle name="Currency 8 7 7 2 2" xfId="8919"/>
    <cellStyle name="Currency 8 7 7 3" xfId="8920"/>
    <cellStyle name="Currency 8 7 7 3 2" xfId="8921"/>
    <cellStyle name="Currency 8 7 7 4" xfId="8922"/>
    <cellStyle name="Currency 8 7 8" xfId="8923"/>
    <cellStyle name="Currency 8 7 8 2" xfId="8924"/>
    <cellStyle name="Currency 8 7 9" xfId="8925"/>
    <cellStyle name="Currency 8 7 9 2" xfId="8926"/>
    <cellStyle name="Currency 8 8" xfId="8927"/>
    <cellStyle name="Currency 8 8 10" xfId="8928"/>
    <cellStyle name="Currency 8 8 2" xfId="8929"/>
    <cellStyle name="Currency 8 8 2 2" xfId="8930"/>
    <cellStyle name="Currency 8 8 2 2 2" xfId="8931"/>
    <cellStyle name="Currency 8 8 2 2 2 2" xfId="8932"/>
    <cellStyle name="Currency 8 8 2 2 2 2 2" xfId="8933"/>
    <cellStyle name="Currency 8 8 2 2 2 3" xfId="8934"/>
    <cellStyle name="Currency 8 8 2 2 2 3 2" xfId="8935"/>
    <cellStyle name="Currency 8 8 2 2 2 4" xfId="8936"/>
    <cellStyle name="Currency 8 8 2 2 2 4 2" xfId="8937"/>
    <cellStyle name="Currency 8 8 2 2 2 5" xfId="8938"/>
    <cellStyle name="Currency 8 8 2 2 3" xfId="8939"/>
    <cellStyle name="Currency 8 8 2 2 3 2" xfId="8940"/>
    <cellStyle name="Currency 8 8 2 2 4" xfId="8941"/>
    <cellStyle name="Currency 8 8 2 2 4 2" xfId="8942"/>
    <cellStyle name="Currency 8 8 2 2 4 2 2" xfId="8943"/>
    <cellStyle name="Currency 8 8 2 2 4 3" xfId="8944"/>
    <cellStyle name="Currency 8 8 2 2 4 3 2" xfId="8945"/>
    <cellStyle name="Currency 8 8 2 2 4 4" xfId="8946"/>
    <cellStyle name="Currency 8 8 2 2 5" xfId="8947"/>
    <cellStyle name="Currency 8 8 2 2 5 2" xfId="8948"/>
    <cellStyle name="Currency 8 8 2 2 6" xfId="8949"/>
    <cellStyle name="Currency 8 8 2 2 6 2" xfId="8950"/>
    <cellStyle name="Currency 8 8 2 2 7" xfId="8951"/>
    <cellStyle name="Currency 8 8 2 3" xfId="8952"/>
    <cellStyle name="Currency 8 8 2 3 2" xfId="8953"/>
    <cellStyle name="Currency 8 8 2 3 2 2" xfId="8954"/>
    <cellStyle name="Currency 8 8 2 3 2 2 2" xfId="8955"/>
    <cellStyle name="Currency 8 8 2 3 2 3" xfId="8956"/>
    <cellStyle name="Currency 8 8 2 3 2 3 2" xfId="8957"/>
    <cellStyle name="Currency 8 8 2 3 2 4" xfId="8958"/>
    <cellStyle name="Currency 8 8 2 3 2 4 2" xfId="8959"/>
    <cellStyle name="Currency 8 8 2 3 2 5" xfId="8960"/>
    <cellStyle name="Currency 8 8 2 3 3" xfId="8961"/>
    <cellStyle name="Currency 8 8 2 3 3 2" xfId="8962"/>
    <cellStyle name="Currency 8 8 2 3 4" xfId="8963"/>
    <cellStyle name="Currency 8 8 2 3 4 2" xfId="8964"/>
    <cellStyle name="Currency 8 8 2 3 4 2 2" xfId="8965"/>
    <cellStyle name="Currency 8 8 2 3 4 3" xfId="8966"/>
    <cellStyle name="Currency 8 8 2 3 4 3 2" xfId="8967"/>
    <cellStyle name="Currency 8 8 2 3 4 4" xfId="8968"/>
    <cellStyle name="Currency 8 8 2 3 5" xfId="8969"/>
    <cellStyle name="Currency 8 8 2 3 5 2" xfId="8970"/>
    <cellStyle name="Currency 8 8 2 3 6" xfId="8971"/>
    <cellStyle name="Currency 8 8 2 3 6 2" xfId="8972"/>
    <cellStyle name="Currency 8 8 2 3 7" xfId="8973"/>
    <cellStyle name="Currency 8 8 2 4" xfId="8974"/>
    <cellStyle name="Currency 8 8 2 4 2" xfId="8975"/>
    <cellStyle name="Currency 8 8 2 4 2 2" xfId="8976"/>
    <cellStyle name="Currency 8 8 2 4 3" xfId="8977"/>
    <cellStyle name="Currency 8 8 2 4 3 2" xfId="8978"/>
    <cellStyle name="Currency 8 8 2 4 4" xfId="8979"/>
    <cellStyle name="Currency 8 8 2 4 4 2" xfId="8980"/>
    <cellStyle name="Currency 8 8 2 4 5" xfId="8981"/>
    <cellStyle name="Currency 8 8 2 5" xfId="8982"/>
    <cellStyle name="Currency 8 8 2 5 2" xfId="8983"/>
    <cellStyle name="Currency 8 8 2 6" xfId="8984"/>
    <cellStyle name="Currency 8 8 2 6 2" xfId="8985"/>
    <cellStyle name="Currency 8 8 2 6 2 2" xfId="8986"/>
    <cellStyle name="Currency 8 8 2 6 3" xfId="8987"/>
    <cellStyle name="Currency 8 8 2 6 3 2" xfId="8988"/>
    <cellStyle name="Currency 8 8 2 6 4" xfId="8989"/>
    <cellStyle name="Currency 8 8 2 7" xfId="8990"/>
    <cellStyle name="Currency 8 8 2 7 2" xfId="8991"/>
    <cellStyle name="Currency 8 8 2 8" xfId="8992"/>
    <cellStyle name="Currency 8 8 2 8 2" xfId="8993"/>
    <cellStyle name="Currency 8 8 2 9" xfId="8994"/>
    <cellStyle name="Currency 8 8 3" xfId="8995"/>
    <cellStyle name="Currency 8 8 3 2" xfId="8996"/>
    <cellStyle name="Currency 8 8 3 2 2" xfId="8997"/>
    <cellStyle name="Currency 8 8 3 2 2 2" xfId="8998"/>
    <cellStyle name="Currency 8 8 3 2 3" xfId="8999"/>
    <cellStyle name="Currency 8 8 3 2 3 2" xfId="9000"/>
    <cellStyle name="Currency 8 8 3 2 4" xfId="9001"/>
    <cellStyle name="Currency 8 8 3 2 4 2" xfId="9002"/>
    <cellStyle name="Currency 8 8 3 2 5" xfId="9003"/>
    <cellStyle name="Currency 8 8 3 3" xfId="9004"/>
    <cellStyle name="Currency 8 8 3 3 2" xfId="9005"/>
    <cellStyle name="Currency 8 8 3 4" xfId="9006"/>
    <cellStyle name="Currency 8 8 3 4 2" xfId="9007"/>
    <cellStyle name="Currency 8 8 3 4 2 2" xfId="9008"/>
    <cellStyle name="Currency 8 8 3 4 3" xfId="9009"/>
    <cellStyle name="Currency 8 8 3 4 3 2" xfId="9010"/>
    <cellStyle name="Currency 8 8 3 4 4" xfId="9011"/>
    <cellStyle name="Currency 8 8 3 5" xfId="9012"/>
    <cellStyle name="Currency 8 8 3 5 2" xfId="9013"/>
    <cellStyle name="Currency 8 8 3 6" xfId="9014"/>
    <cellStyle name="Currency 8 8 3 6 2" xfId="9015"/>
    <cellStyle name="Currency 8 8 3 7" xfId="9016"/>
    <cellStyle name="Currency 8 8 4" xfId="9017"/>
    <cellStyle name="Currency 8 8 4 2" xfId="9018"/>
    <cellStyle name="Currency 8 8 4 2 2" xfId="9019"/>
    <cellStyle name="Currency 8 8 4 2 2 2" xfId="9020"/>
    <cellStyle name="Currency 8 8 4 2 3" xfId="9021"/>
    <cellStyle name="Currency 8 8 4 2 3 2" xfId="9022"/>
    <cellStyle name="Currency 8 8 4 2 4" xfId="9023"/>
    <cellStyle name="Currency 8 8 4 2 4 2" xfId="9024"/>
    <cellStyle name="Currency 8 8 4 2 5" xfId="9025"/>
    <cellStyle name="Currency 8 8 4 3" xfId="9026"/>
    <cellStyle name="Currency 8 8 4 3 2" xfId="9027"/>
    <cellStyle name="Currency 8 8 4 4" xfId="9028"/>
    <cellStyle name="Currency 8 8 4 4 2" xfId="9029"/>
    <cellStyle name="Currency 8 8 4 4 2 2" xfId="9030"/>
    <cellStyle name="Currency 8 8 4 4 3" xfId="9031"/>
    <cellStyle name="Currency 8 8 4 4 3 2" xfId="9032"/>
    <cellStyle name="Currency 8 8 4 4 4" xfId="9033"/>
    <cellStyle name="Currency 8 8 4 5" xfId="9034"/>
    <cellStyle name="Currency 8 8 4 5 2" xfId="9035"/>
    <cellStyle name="Currency 8 8 4 6" xfId="9036"/>
    <cellStyle name="Currency 8 8 4 6 2" xfId="9037"/>
    <cellStyle name="Currency 8 8 4 7" xfId="9038"/>
    <cellStyle name="Currency 8 8 5" xfId="9039"/>
    <cellStyle name="Currency 8 8 5 2" xfId="9040"/>
    <cellStyle name="Currency 8 8 5 2 2" xfId="9041"/>
    <cellStyle name="Currency 8 8 5 3" xfId="9042"/>
    <cellStyle name="Currency 8 8 5 3 2" xfId="9043"/>
    <cellStyle name="Currency 8 8 5 4" xfId="9044"/>
    <cellStyle name="Currency 8 8 5 4 2" xfId="9045"/>
    <cellStyle name="Currency 8 8 5 5" xfId="9046"/>
    <cellStyle name="Currency 8 8 6" xfId="9047"/>
    <cellStyle name="Currency 8 8 6 2" xfId="9048"/>
    <cellStyle name="Currency 8 8 7" xfId="9049"/>
    <cellStyle name="Currency 8 8 7 2" xfId="9050"/>
    <cellStyle name="Currency 8 8 7 2 2" xfId="9051"/>
    <cellStyle name="Currency 8 8 7 3" xfId="9052"/>
    <cellStyle name="Currency 8 8 7 3 2" xfId="9053"/>
    <cellStyle name="Currency 8 8 7 4" xfId="9054"/>
    <cellStyle name="Currency 8 8 8" xfId="9055"/>
    <cellStyle name="Currency 8 8 8 2" xfId="9056"/>
    <cellStyle name="Currency 8 8 9" xfId="9057"/>
    <cellStyle name="Currency 8 8 9 2" xfId="9058"/>
    <cellStyle name="Currency 8 9" xfId="9059"/>
    <cellStyle name="Currency 8 9 2" xfId="9060"/>
    <cellStyle name="Currency 8 9 2 2" xfId="9061"/>
    <cellStyle name="Currency 8 9 2 2 2" xfId="9062"/>
    <cellStyle name="Currency 8 9 2 2 2 2" xfId="9063"/>
    <cellStyle name="Currency 8 9 2 2 3" xfId="9064"/>
    <cellStyle name="Currency 8 9 2 2 3 2" xfId="9065"/>
    <cellStyle name="Currency 8 9 2 2 4" xfId="9066"/>
    <cellStyle name="Currency 8 9 2 2 4 2" xfId="9067"/>
    <cellStyle name="Currency 8 9 2 2 5" xfId="9068"/>
    <cellStyle name="Currency 8 9 2 3" xfId="9069"/>
    <cellStyle name="Currency 8 9 2 3 2" xfId="9070"/>
    <cellStyle name="Currency 8 9 2 4" xfId="9071"/>
    <cellStyle name="Currency 8 9 2 4 2" xfId="9072"/>
    <cellStyle name="Currency 8 9 2 4 2 2" xfId="9073"/>
    <cellStyle name="Currency 8 9 2 4 3" xfId="9074"/>
    <cellStyle name="Currency 8 9 2 4 3 2" xfId="9075"/>
    <cellStyle name="Currency 8 9 2 4 4" xfId="9076"/>
    <cellStyle name="Currency 8 9 2 5" xfId="9077"/>
    <cellStyle name="Currency 8 9 2 5 2" xfId="9078"/>
    <cellStyle name="Currency 8 9 2 6" xfId="9079"/>
    <cellStyle name="Currency 8 9 2 6 2" xfId="9080"/>
    <cellStyle name="Currency 8 9 2 7" xfId="9081"/>
    <cellStyle name="Currency 8 9 3" xfId="9082"/>
    <cellStyle name="Currency 8 9 3 2" xfId="9083"/>
    <cellStyle name="Currency 8 9 3 2 2" xfId="9084"/>
    <cellStyle name="Currency 8 9 3 2 2 2" xfId="9085"/>
    <cellStyle name="Currency 8 9 3 2 3" xfId="9086"/>
    <cellStyle name="Currency 8 9 3 2 3 2" xfId="9087"/>
    <cellStyle name="Currency 8 9 3 2 4" xfId="9088"/>
    <cellStyle name="Currency 8 9 3 2 4 2" xfId="9089"/>
    <cellStyle name="Currency 8 9 3 2 5" xfId="9090"/>
    <cellStyle name="Currency 8 9 3 3" xfId="9091"/>
    <cellStyle name="Currency 8 9 3 3 2" xfId="9092"/>
    <cellStyle name="Currency 8 9 3 4" xfId="9093"/>
    <cellStyle name="Currency 8 9 3 4 2" xfId="9094"/>
    <cellStyle name="Currency 8 9 3 4 2 2" xfId="9095"/>
    <cellStyle name="Currency 8 9 3 4 3" xfId="9096"/>
    <cellStyle name="Currency 8 9 3 4 3 2" xfId="9097"/>
    <cellStyle name="Currency 8 9 3 4 4" xfId="9098"/>
    <cellStyle name="Currency 8 9 3 5" xfId="9099"/>
    <cellStyle name="Currency 8 9 3 5 2" xfId="9100"/>
    <cellStyle name="Currency 8 9 3 6" xfId="9101"/>
    <cellStyle name="Currency 8 9 3 6 2" xfId="9102"/>
    <cellStyle name="Currency 8 9 3 7" xfId="9103"/>
    <cellStyle name="Currency 8 9 4" xfId="9104"/>
    <cellStyle name="Currency 8 9 4 2" xfId="9105"/>
    <cellStyle name="Currency 8 9 4 2 2" xfId="9106"/>
    <cellStyle name="Currency 8 9 4 3" xfId="9107"/>
    <cellStyle name="Currency 8 9 4 3 2" xfId="9108"/>
    <cellStyle name="Currency 8 9 4 4" xfId="9109"/>
    <cellStyle name="Currency 8 9 4 4 2" xfId="9110"/>
    <cellStyle name="Currency 8 9 4 5" xfId="9111"/>
    <cellStyle name="Currency 8 9 5" xfId="9112"/>
    <cellStyle name="Currency 8 9 5 2" xfId="9113"/>
    <cellStyle name="Currency 8 9 6" xfId="9114"/>
    <cellStyle name="Currency 8 9 6 2" xfId="9115"/>
    <cellStyle name="Currency 8 9 6 2 2" xfId="9116"/>
    <cellStyle name="Currency 8 9 6 3" xfId="9117"/>
    <cellStyle name="Currency 8 9 6 3 2" xfId="9118"/>
    <cellStyle name="Currency 8 9 6 4" xfId="9119"/>
    <cellStyle name="Currency 8 9 7" xfId="9120"/>
    <cellStyle name="Currency 8 9 7 2" xfId="9121"/>
    <cellStyle name="Currency 8 9 8" xfId="9122"/>
    <cellStyle name="Currency 8 9 8 2" xfId="9123"/>
    <cellStyle name="Currency 8 9 9" xfId="9124"/>
    <cellStyle name="Currency 9" xfId="9125"/>
    <cellStyle name="Currency 9 2" xfId="9126"/>
    <cellStyle name="Currency 9 2 2" xfId="9127"/>
    <cellStyle name="Currency 9 2 3" xfId="25585"/>
    <cellStyle name="Currency 9 2 4" xfId="25586"/>
    <cellStyle name="Currency 9 3" xfId="9128"/>
    <cellStyle name="Currency 9 4" xfId="19239"/>
    <cellStyle name="Currency 9 5" xfId="25587"/>
    <cellStyle name="Currency0" xfId="9129"/>
    <cellStyle name="Currency0 2" xfId="9130"/>
    <cellStyle name="Currency0 2 2" xfId="9131"/>
    <cellStyle name="Currency0 3" xfId="9132"/>
    <cellStyle name="Currency0 3 2" xfId="25588"/>
    <cellStyle name="Currency0 4" xfId="9133"/>
    <cellStyle name="Currency0 5" xfId="25589"/>
    <cellStyle name="Currency0 6" xfId="25590"/>
    <cellStyle name="Dane wejściowe" xfId="9134"/>
    <cellStyle name="Dane wejściowe 2" xfId="9135"/>
    <cellStyle name="Dane wyjściowe" xfId="9136"/>
    <cellStyle name="Dane wyjściowe 2" xfId="9137"/>
    <cellStyle name="Data" xfId="25591"/>
    <cellStyle name="Date" xfId="9138"/>
    <cellStyle name="Date 2" xfId="9139"/>
    <cellStyle name="Date 2 2" xfId="9140"/>
    <cellStyle name="Date 3" xfId="9141"/>
    <cellStyle name="Date 3 2" xfId="25592"/>
    <cellStyle name="Date 4" xfId="9142"/>
    <cellStyle name="Date 5" xfId="25593"/>
    <cellStyle name="Date 6" xfId="25594"/>
    <cellStyle name="Date Short" xfId="25595"/>
    <cellStyle name="Date_Indicadores IF_agosto_07mensual con Semaforos" xfId="25596"/>
    <cellStyle name="Dia" xfId="25597"/>
    <cellStyle name="Dobre" xfId="9143"/>
    <cellStyle name="Dobre 2" xfId="9144"/>
    <cellStyle name="Encabez1" xfId="25598"/>
    <cellStyle name="Encabez2" xfId="25599"/>
    <cellStyle name="Encabezado 4" xfId="9145"/>
    <cellStyle name="Encabezado 4 2" xfId="9146"/>
    <cellStyle name="Encabezado 4 2 2" xfId="9147"/>
    <cellStyle name="Encabezado 4 3" xfId="9148"/>
    <cellStyle name="Énfasis1" xfId="9149"/>
    <cellStyle name="Énfasis1 2" xfId="9150"/>
    <cellStyle name="Énfasis1 2 2" xfId="9151"/>
    <cellStyle name="Énfasis1 3" xfId="9152"/>
    <cellStyle name="Énfasis2" xfId="9153"/>
    <cellStyle name="Énfasis2 2" xfId="9154"/>
    <cellStyle name="Énfasis2 2 2" xfId="9155"/>
    <cellStyle name="Énfasis2 3" xfId="9156"/>
    <cellStyle name="Énfasis3" xfId="9157"/>
    <cellStyle name="Énfasis3 2" xfId="9158"/>
    <cellStyle name="Énfasis3 2 2" xfId="9159"/>
    <cellStyle name="Énfasis3 3" xfId="9160"/>
    <cellStyle name="Énfasis4" xfId="9161"/>
    <cellStyle name="Énfasis4 2" xfId="9162"/>
    <cellStyle name="Énfasis4 2 2" xfId="9163"/>
    <cellStyle name="Énfasis4 3" xfId="9164"/>
    <cellStyle name="Énfasis5" xfId="9165"/>
    <cellStyle name="Énfasis5 2" xfId="9166"/>
    <cellStyle name="Énfasis5 2 2" xfId="9167"/>
    <cellStyle name="Énfasis5 3" xfId="9168"/>
    <cellStyle name="Énfasis6" xfId="9169"/>
    <cellStyle name="Énfasis6 2" xfId="9170"/>
    <cellStyle name="Énfasis6 2 2" xfId="9171"/>
    <cellStyle name="Énfasis6 3" xfId="9172"/>
    <cellStyle name="Enter Currency (0)" xfId="25600"/>
    <cellStyle name="Enter Currency (0) 2" xfId="25601"/>
    <cellStyle name="Enter Currency (0) 2 2" xfId="25602"/>
    <cellStyle name="Enter Currency (0) 3" xfId="25603"/>
    <cellStyle name="Enter Currency (2)" xfId="25604"/>
    <cellStyle name="Enter Currency (2) 2" xfId="25605"/>
    <cellStyle name="Enter Currency (2) 2 2" xfId="25606"/>
    <cellStyle name="Enter Currency (2) 3" xfId="25607"/>
    <cellStyle name="Enter Units (0)" xfId="25608"/>
    <cellStyle name="Enter Units (0) 2" xfId="25609"/>
    <cellStyle name="Enter Units (0) 2 2" xfId="25610"/>
    <cellStyle name="Enter Units (0) 3" xfId="25611"/>
    <cellStyle name="Enter Units (1)" xfId="25612"/>
    <cellStyle name="Enter Units (1) 2" xfId="25613"/>
    <cellStyle name="Enter Units (1) 2 2" xfId="25614"/>
    <cellStyle name="Enter Units (1) 3" xfId="25615"/>
    <cellStyle name="Enter Units (2)" xfId="25616"/>
    <cellStyle name="Enter Units (2) 2" xfId="25617"/>
    <cellStyle name="Enter Units (2) 2 2" xfId="25618"/>
    <cellStyle name="Enter Units (2) 3" xfId="25619"/>
    <cellStyle name="Entered" xfId="25620"/>
    <cellStyle name="Entrada" xfId="9173"/>
    <cellStyle name="Entrada 2" xfId="9174"/>
    <cellStyle name="Entrada 2 2" xfId="9175"/>
    <cellStyle name="Entrada 2 2 2" xfId="9176"/>
    <cellStyle name="Entrada 2 3" xfId="9177"/>
    <cellStyle name="Entrada 3" xfId="9178"/>
    <cellStyle name="Entrada 3 2" xfId="9179"/>
    <cellStyle name="Entrada 4" xfId="9180"/>
    <cellStyle name="Estilo 1" xfId="9181"/>
    <cellStyle name="Estilo 1 2" xfId="9182"/>
    <cellStyle name="Estilo 1 2 2" xfId="9183"/>
    <cellStyle name="Estilo 1 3" xfId="9184"/>
    <cellStyle name="Estilo 1_Plantilla presupuesto 2012" xfId="9185"/>
    <cellStyle name="Euro" xfId="9186"/>
    <cellStyle name="Euro 10" xfId="17175"/>
    <cellStyle name="Euro 10 2" xfId="17176"/>
    <cellStyle name="Euro 10 3" xfId="17177"/>
    <cellStyle name="Euro 11" xfId="17178"/>
    <cellStyle name="Euro 11 2" xfId="17179"/>
    <cellStyle name="Euro 11 3" xfId="17180"/>
    <cellStyle name="Euro 12" xfId="17181"/>
    <cellStyle name="Euro 12 2" xfId="17182"/>
    <cellStyle name="Euro 12 3" xfId="17183"/>
    <cellStyle name="Euro 13" xfId="17184"/>
    <cellStyle name="Euro 13 2" xfId="17185"/>
    <cellStyle name="Euro 13 3" xfId="17186"/>
    <cellStyle name="Euro 14" xfId="17187"/>
    <cellStyle name="Euro 14 2" xfId="17188"/>
    <cellStyle name="Euro 14 3" xfId="17189"/>
    <cellStyle name="Euro 15" xfId="17190"/>
    <cellStyle name="Euro 15 2" xfId="17191"/>
    <cellStyle name="Euro 15 3" xfId="17192"/>
    <cellStyle name="Euro 16" xfId="17193"/>
    <cellStyle name="Euro 17" xfId="17194"/>
    <cellStyle name="Euro 18" xfId="17195"/>
    <cellStyle name="Euro 19" xfId="17196"/>
    <cellStyle name="Euro 2" xfId="9187"/>
    <cellStyle name="Euro 2 2" xfId="17197"/>
    <cellStyle name="Euro 2 2 2" xfId="25621"/>
    <cellStyle name="Euro 2 2 3" xfId="25622"/>
    <cellStyle name="Euro 2 3" xfId="17198"/>
    <cellStyle name="Euro 2 3 2" xfId="25623"/>
    <cellStyle name="Euro 2 4" xfId="25624"/>
    <cellStyle name="Euro 20" xfId="25625"/>
    <cellStyle name="Euro 3" xfId="17199"/>
    <cellStyle name="Euro 3 2" xfId="17200"/>
    <cellStyle name="Euro 3 2 2" xfId="25626"/>
    <cellStyle name="Euro 3 2 3" xfId="25627"/>
    <cellStyle name="Euro 3 3" xfId="17201"/>
    <cellStyle name="Euro 3 3 2" xfId="25628"/>
    <cellStyle name="Euro 3 4" xfId="25629"/>
    <cellStyle name="Euro 4" xfId="17202"/>
    <cellStyle name="Euro 4 2" xfId="17203"/>
    <cellStyle name="Euro 4 2 2" xfId="25630"/>
    <cellStyle name="Euro 4 2 3" xfId="25631"/>
    <cellStyle name="Euro 4 3" xfId="17204"/>
    <cellStyle name="Euro 4 3 2" xfId="25632"/>
    <cellStyle name="Euro 4 4" xfId="25633"/>
    <cellStyle name="Euro 5" xfId="17205"/>
    <cellStyle name="Euro 5 2" xfId="17206"/>
    <cellStyle name="Euro 5 3" xfId="17207"/>
    <cellStyle name="Euro 6" xfId="17208"/>
    <cellStyle name="Euro 6 2" xfId="17209"/>
    <cellStyle name="Euro 6 3" xfId="17210"/>
    <cellStyle name="Euro 7" xfId="17211"/>
    <cellStyle name="Euro 7 2" xfId="17212"/>
    <cellStyle name="Euro 7 3" xfId="17213"/>
    <cellStyle name="Euro 8" xfId="17214"/>
    <cellStyle name="Euro 8 2" xfId="17215"/>
    <cellStyle name="Euro 8 3" xfId="17216"/>
    <cellStyle name="Euro 9" xfId="17217"/>
    <cellStyle name="Euro 9 2" xfId="17218"/>
    <cellStyle name="Euro 9 3" xfId="17219"/>
    <cellStyle name="Explanatory Text 2" xfId="9188"/>
    <cellStyle name="Explanatory Text 2 2" xfId="9189"/>
    <cellStyle name="Explanatory Text 2 2 2" xfId="9190"/>
    <cellStyle name="Explanatory Text 2 2 2 2" xfId="9191"/>
    <cellStyle name="Explanatory Text 2 2 3" xfId="9192"/>
    <cellStyle name="Explanatory Text 2 3" xfId="9193"/>
    <cellStyle name="Explanatory Text 2 3 2" xfId="9194"/>
    <cellStyle name="Explanatory Text 2 4" xfId="9195"/>
    <cellStyle name="Explanatory Text 2 4 2" xfId="9196"/>
    <cellStyle name="Explanatory Text 2 5" xfId="9197"/>
    <cellStyle name="Explanatory Text 2 6" xfId="25634"/>
    <cellStyle name="Explanatory Text 2 7" xfId="25635"/>
    <cellStyle name="Explanatory Text 3" xfId="9198"/>
    <cellStyle name="Explanatory Text 3 2" xfId="9199"/>
    <cellStyle name="Explanatory Text 4" xfId="25636"/>
    <cellStyle name="Explanatory Text 5" xfId="25637"/>
    <cellStyle name="F2" xfId="25638"/>
    <cellStyle name="F3" xfId="25639"/>
    <cellStyle name="F4" xfId="25640"/>
    <cellStyle name="F5" xfId="25641"/>
    <cellStyle name="F6" xfId="25642"/>
    <cellStyle name="F7" xfId="25643"/>
    <cellStyle name="F8" xfId="25644"/>
    <cellStyle name="Fijo" xfId="25645"/>
    <cellStyle name="Financiero" xfId="25646"/>
    <cellStyle name="Fixed" xfId="9200"/>
    <cellStyle name="Fixed 2" xfId="9201"/>
    <cellStyle name="Fixed 2 2" xfId="9202"/>
    <cellStyle name="Fixed 3" xfId="9203"/>
    <cellStyle name="Fixed 3 2" xfId="25647"/>
    <cellStyle name="Fixed 4" xfId="9204"/>
    <cellStyle name="Fixed 5" xfId="25648"/>
    <cellStyle name="Fixed 6" xfId="25649"/>
    <cellStyle name="Fixo" xfId="25650"/>
    <cellStyle name="Good 2" xfId="9205"/>
    <cellStyle name="Good 2 2" xfId="9206"/>
    <cellStyle name="Good 2 2 2" xfId="9207"/>
    <cellStyle name="Good 2 2 2 2" xfId="9208"/>
    <cellStyle name="Good 2 2 3" xfId="9209"/>
    <cellStyle name="Good 2 3" xfId="9210"/>
    <cellStyle name="Good 2 3 2" xfId="9211"/>
    <cellStyle name="Good 2 4" xfId="9212"/>
    <cellStyle name="Good 2 4 2" xfId="9213"/>
    <cellStyle name="Good 2 5" xfId="9214"/>
    <cellStyle name="Good 2 6" xfId="25651"/>
    <cellStyle name="Good 2 7" xfId="25652"/>
    <cellStyle name="Good 3" xfId="9215"/>
    <cellStyle name="Good 3 2" xfId="9216"/>
    <cellStyle name="Good 4" xfId="25653"/>
    <cellStyle name="Good 5" xfId="25654"/>
    <cellStyle name="Grey" xfId="9217"/>
    <cellStyle name="Grey 2" xfId="9218"/>
    <cellStyle name="Grey 3" xfId="19240"/>
    <cellStyle name="Grey 4" xfId="25655"/>
    <cellStyle name="Head 1" xfId="25656"/>
    <cellStyle name="Header1" xfId="25657"/>
    <cellStyle name="Header2" xfId="25658"/>
    <cellStyle name="Heading" xfId="9219"/>
    <cellStyle name="Heading 1 2" xfId="9220"/>
    <cellStyle name="Heading 1 2 2" xfId="9221"/>
    <cellStyle name="Heading 1 2 2 2" xfId="9222"/>
    <cellStyle name="Heading 1 2 2 2 2" xfId="9223"/>
    <cellStyle name="Heading 1 2 2 3" xfId="9224"/>
    <cellStyle name="Heading 1 2 3" xfId="9225"/>
    <cellStyle name="Heading 1 2 3 2" xfId="9226"/>
    <cellStyle name="Heading 1 2 4" xfId="9227"/>
    <cellStyle name="Heading 1 2 4 2" xfId="9228"/>
    <cellStyle name="Heading 1 2 5" xfId="9229"/>
    <cellStyle name="Heading 1 2 6" xfId="25659"/>
    <cellStyle name="Heading 1 2 7" xfId="25660"/>
    <cellStyle name="Heading 1 2 8" xfId="25661"/>
    <cellStyle name="Heading 1 3" xfId="9230"/>
    <cellStyle name="Heading 1 3 2" xfId="9231"/>
    <cellStyle name="Heading 1 3 2 2" xfId="9232"/>
    <cellStyle name="Heading 1 3 3" xfId="9233"/>
    <cellStyle name="Heading 1 3 4" xfId="25662"/>
    <cellStyle name="Heading 1 3 5" xfId="25663"/>
    <cellStyle name="Heading 1 3 6" xfId="25664"/>
    <cellStyle name="Heading 1 4" xfId="25665"/>
    <cellStyle name="Heading 1 5" xfId="25666"/>
    <cellStyle name="Heading 1 6" xfId="25667"/>
    <cellStyle name="Heading 2 2" xfId="9234"/>
    <cellStyle name="Heading 2 2 2" xfId="9235"/>
    <cellStyle name="Heading 2 2 2 2" xfId="9236"/>
    <cellStyle name="Heading 2 2 2 2 2" xfId="9237"/>
    <cellStyle name="Heading 2 2 2 3" xfId="9238"/>
    <cellStyle name="Heading 2 2 3" xfId="9239"/>
    <cellStyle name="Heading 2 2 3 2" xfId="9240"/>
    <cellStyle name="Heading 2 2 4" xfId="9241"/>
    <cellStyle name="Heading 2 2 4 2" xfId="9242"/>
    <cellStyle name="Heading 2 2 5" xfId="9243"/>
    <cellStyle name="Heading 2 2 6" xfId="25668"/>
    <cellStyle name="Heading 2 2 7" xfId="25669"/>
    <cellStyle name="Heading 2 2 8" xfId="25670"/>
    <cellStyle name="Heading 2 3" xfId="9244"/>
    <cellStyle name="Heading 2 3 2" xfId="9245"/>
    <cellStyle name="Heading 2 3 2 2" xfId="9246"/>
    <cellStyle name="Heading 2 3 3" xfId="9247"/>
    <cellStyle name="Heading 2 3 4" xfId="25671"/>
    <cellStyle name="Heading 2 3 5" xfId="25672"/>
    <cellStyle name="Heading 2 3 6" xfId="25673"/>
    <cellStyle name="Heading 2 4" xfId="25674"/>
    <cellStyle name="Heading 2 5" xfId="25675"/>
    <cellStyle name="Heading 2 6" xfId="25676"/>
    <cellStyle name="Heading 2 7" xfId="25677"/>
    <cellStyle name="Heading 3 2" xfId="9248"/>
    <cellStyle name="Heading 3 2 2" xfId="9249"/>
    <cellStyle name="Heading 3 2 2 2" xfId="9250"/>
    <cellStyle name="Heading 3 2 2 2 2" xfId="9251"/>
    <cellStyle name="Heading 3 2 2 3" xfId="9252"/>
    <cellStyle name="Heading 3 2 3" xfId="9253"/>
    <cellStyle name="Heading 3 2 3 2" xfId="9254"/>
    <cellStyle name="Heading 3 2 4" xfId="9255"/>
    <cellStyle name="Heading 3 2 4 2" xfId="9256"/>
    <cellStyle name="Heading 3 2 5" xfId="9257"/>
    <cellStyle name="Heading 3 2 6" xfId="25678"/>
    <cellStyle name="Heading 3 2 7" xfId="25679"/>
    <cellStyle name="Heading 3 2 8" xfId="25680"/>
    <cellStyle name="Heading 3 3" xfId="9258"/>
    <cellStyle name="Heading 3 3 2" xfId="9259"/>
    <cellStyle name="Heading 3 3 3" xfId="25681"/>
    <cellStyle name="Heading 3 4" xfId="25682"/>
    <cellStyle name="Heading 3 5" xfId="25683"/>
    <cellStyle name="Heading 3 6" xfId="25684"/>
    <cellStyle name="Heading 4 2" xfId="9260"/>
    <cellStyle name="Heading 4 2 2" xfId="9261"/>
    <cellStyle name="Heading 4 2 2 2" xfId="9262"/>
    <cellStyle name="Heading 4 2 2 2 2" xfId="9263"/>
    <cellStyle name="Heading 4 2 2 3" xfId="9264"/>
    <cellStyle name="Heading 4 2 3" xfId="9265"/>
    <cellStyle name="Heading 4 2 3 2" xfId="9266"/>
    <cellStyle name="Heading 4 2 4" xfId="9267"/>
    <cellStyle name="Heading 4 2 4 2" xfId="9268"/>
    <cellStyle name="Heading 4 2 5" xfId="9269"/>
    <cellStyle name="Heading 4 2 6" xfId="25685"/>
    <cellStyle name="Heading 4 2 7" xfId="25686"/>
    <cellStyle name="Heading 4 2 8" xfId="25687"/>
    <cellStyle name="Heading 4 3" xfId="9270"/>
    <cellStyle name="Heading 4 3 2" xfId="9271"/>
    <cellStyle name="Heading 4 3 3" xfId="25688"/>
    <cellStyle name="Heading 4 4" xfId="25689"/>
    <cellStyle name="Heading 4 5" xfId="25690"/>
    <cellStyle name="Heading 4 6" xfId="25691"/>
    <cellStyle name="Heading 5" xfId="9272"/>
    <cellStyle name="Heading No Underline" xfId="9273"/>
    <cellStyle name="Heading No Underline 2" xfId="9274"/>
    <cellStyle name="Heading With Underline" xfId="9275"/>
    <cellStyle name="Heading With Underline 2" xfId="9276"/>
    <cellStyle name="HEADINGS" xfId="25692"/>
    <cellStyle name="HEADINGSTOP" xfId="25693"/>
    <cellStyle name="HeadlineStyle" xfId="25694"/>
    <cellStyle name="HeadlineStyle 2" xfId="25695"/>
    <cellStyle name="HeadlineStyle 2 2" xfId="25696"/>
    <cellStyle name="HeadlineStyle 3" xfId="25697"/>
    <cellStyle name="HeadlineStyleJustified" xfId="25698"/>
    <cellStyle name="HeadlineStyleJustified 2" xfId="25699"/>
    <cellStyle name="HeadlineStyleJustified 2 2" xfId="25700"/>
    <cellStyle name="HeadlineStyleJustified 3" xfId="25701"/>
    <cellStyle name="Hipervínculo" xfId="25702"/>
    <cellStyle name="Hyperlink 2" xfId="9277"/>
    <cellStyle name="Hyperlink 2 2" xfId="25703"/>
    <cellStyle name="Incorrecto" xfId="9278"/>
    <cellStyle name="Incorrecto 2" xfId="9279"/>
    <cellStyle name="Incorrecto 2 2" xfId="9280"/>
    <cellStyle name="Incorrecto 3" xfId="9281"/>
    <cellStyle name="Input [yellow]" xfId="9282"/>
    <cellStyle name="Input [yellow] 2" xfId="9283"/>
    <cellStyle name="Input [yellow] 3" xfId="19241"/>
    <cellStyle name="Input [yellow] 4" xfId="25704"/>
    <cellStyle name="Input 2" xfId="9284"/>
    <cellStyle name="Input 2 2" xfId="9285"/>
    <cellStyle name="Input 2 2 2" xfId="9286"/>
    <cellStyle name="Input 2 2 2 2" xfId="9287"/>
    <cellStyle name="Input 2 2 3" xfId="9288"/>
    <cellStyle name="Input 2 3" xfId="9289"/>
    <cellStyle name="Input 2 3 2" xfId="9290"/>
    <cellStyle name="Input 2 4" xfId="9291"/>
    <cellStyle name="Input 2 4 2" xfId="9292"/>
    <cellStyle name="Input 2 5" xfId="9293"/>
    <cellStyle name="Input 2 6" xfId="25705"/>
    <cellStyle name="Input 2 7" xfId="25706"/>
    <cellStyle name="Input 2 8" xfId="25707"/>
    <cellStyle name="Input 3" xfId="9294"/>
    <cellStyle name="Input 3 2" xfId="9295"/>
    <cellStyle name="Input 3 3" xfId="25708"/>
    <cellStyle name="Input 3 4" xfId="25709"/>
    <cellStyle name="Input 3 5" xfId="25710"/>
    <cellStyle name="Input 4" xfId="25711"/>
    <cellStyle name="Input 5" xfId="25712"/>
    <cellStyle name="Input 6" xfId="25713"/>
    <cellStyle name="Input 7" xfId="25714"/>
    <cellStyle name="Komórka połączona" xfId="9296"/>
    <cellStyle name="Komórka połączona 2" xfId="9297"/>
    <cellStyle name="Komórka zaznaczona" xfId="9298"/>
    <cellStyle name="Komórka zaznaczona 2" xfId="9299"/>
    <cellStyle name="l]_x000d__x000a_Path=M:\RIOCEN01_x000d__x000a_Name=Carlos Emilio Brousse_x000d__x000a_DDEApps=nsf,nsg,nsh,ntf,ns2,ors,org_x000d__x000a_SmartIcons=Todos_x000d__x000a_" xfId="59"/>
    <cellStyle name="l]_x000d__x000a_Path=M:\RIOCEN01_x000d__x000a_Name=Carlos Emilio Brousse_x000d__x000a_DDEApps=nsf,nsg,nsh,ntf,ns2,ors,org_x000d__x000a_SmartIcons=Todos_x000d__x000a_ 10" xfId="25715"/>
    <cellStyle name="l]_x000d__x000a_Path=M:\RIOCEN01_x000d__x000a_Name=Carlos Emilio Brousse_x000d__x000a_DDEApps=nsf,nsg,nsh,ntf,ns2,ors,org_x000d__x000a_SmartIcons=Todos_x000d__x000a_ 11" xfId="25716"/>
    <cellStyle name="l]_x000d__x000a_Path=M:\RIOCEN01_x000d__x000a_Name=Carlos Emilio Brousse_x000d__x000a_DDEApps=nsf,nsg,nsh,ntf,ns2,ors,org_x000d__x000a_SmartIcons=Todos_x000d__x000a_ 2" xfId="60"/>
    <cellStyle name="l]_x000d__x000a_Path=M:\RIOCEN01_x000d__x000a_Name=Carlos Emilio Brousse_x000d__x000a_DDEApps=nsf,nsg,nsh,ntf,ns2,ors,org_x000d__x000a_SmartIcons=Todos_x000d__x000a_ 2 2" xfId="61"/>
    <cellStyle name="l]_x000d__x000a_Path=M:\RIOCEN01_x000d__x000a_Name=Carlos Emilio Brousse_x000d__x000a_DDEApps=nsf,nsg,nsh,ntf,ns2,ors,org_x000d__x000a_SmartIcons=Todos_x000d__x000a_ 2 2 2" xfId="62"/>
    <cellStyle name="l]_x000d__x000a_Path=M:\RIOCEN01_x000d__x000a_Name=Carlos Emilio Brousse_x000d__x000a_DDEApps=nsf,nsg,nsh,ntf,ns2,ors,org_x000d__x000a_SmartIcons=Todos_x000d__x000a_ 2 2 2 2" xfId="25717"/>
    <cellStyle name="l]_x000d__x000a_Path=M:\RIOCEN01_x000d__x000a_Name=Carlos Emilio Brousse_x000d__x000a_DDEApps=nsf,nsg,nsh,ntf,ns2,ors,org_x000d__x000a_SmartIcons=Todos_x000d__x000a_ 2 2 2 3" xfId="25718"/>
    <cellStyle name="l]_x000d__x000a_Path=M:\RIOCEN01_x000d__x000a_Name=Carlos Emilio Brousse_x000d__x000a_DDEApps=nsf,nsg,nsh,ntf,ns2,ors,org_x000d__x000a_SmartIcons=Todos_x000d__x000a_ 2 2 3" xfId="25719"/>
    <cellStyle name="l]_x000d__x000a_Path=M:\RIOCEN01_x000d__x000a_Name=Carlos Emilio Brousse_x000d__x000a_DDEApps=nsf,nsg,nsh,ntf,ns2,ors,org_x000d__x000a_SmartIcons=Todos_x000d__x000a_ 2 2 3 2" xfId="25720"/>
    <cellStyle name="l]_x000d__x000a_Path=M:\RIOCEN01_x000d__x000a_Name=Carlos Emilio Brousse_x000d__x000a_DDEApps=nsf,nsg,nsh,ntf,ns2,ors,org_x000d__x000a_SmartIcons=Todos_x000d__x000a_ 2 2 4" xfId="25721"/>
    <cellStyle name="l]_x000d__x000a_Path=M:\RIOCEN01_x000d__x000a_Name=Carlos Emilio Brousse_x000d__x000a_DDEApps=nsf,nsg,nsh,ntf,ns2,ors,org_x000d__x000a_SmartIcons=Todos_x000d__x000a_ 2 2 4 2" xfId="25722"/>
    <cellStyle name="l]_x000d__x000a_Path=M:\RIOCEN01_x000d__x000a_Name=Carlos Emilio Brousse_x000d__x000a_DDEApps=nsf,nsg,nsh,ntf,ns2,ors,org_x000d__x000a_SmartIcons=Todos_x000d__x000a_ 2 2 5" xfId="25723"/>
    <cellStyle name="l]_x000d__x000a_Path=M:\RIOCEN01_x000d__x000a_Name=Carlos Emilio Brousse_x000d__x000a_DDEApps=nsf,nsg,nsh,ntf,ns2,ors,org_x000d__x000a_SmartIcons=Todos_x000d__x000a_ 2 3" xfId="9300"/>
    <cellStyle name="l]_x000d__x000a_Path=M:\RIOCEN01_x000d__x000a_Name=Carlos Emilio Brousse_x000d__x000a_DDEApps=nsf,nsg,nsh,ntf,ns2,ors,org_x000d__x000a_SmartIcons=Todos_x000d__x000a_ 2 3 2" xfId="9301"/>
    <cellStyle name="l]_x000d__x000a_Path=M:\RIOCEN01_x000d__x000a_Name=Carlos Emilio Brousse_x000d__x000a_DDEApps=nsf,nsg,nsh,ntf,ns2,ors,org_x000d__x000a_SmartIcons=Todos_x000d__x000a_ 2 3 3" xfId="19242"/>
    <cellStyle name="l]_x000d__x000a_Path=M:\RIOCEN01_x000d__x000a_Name=Carlos Emilio Brousse_x000d__x000a_DDEApps=nsf,nsg,nsh,ntf,ns2,ors,org_x000d__x000a_SmartIcons=Todos_x000d__x000a_ 2 3 4" xfId="25724"/>
    <cellStyle name="l]_x000d__x000a_Path=M:\RIOCEN01_x000d__x000a_Name=Carlos Emilio Brousse_x000d__x000a_DDEApps=nsf,nsg,nsh,ntf,ns2,ors,org_x000d__x000a_SmartIcons=Todos_x000d__x000a_ 2 4" xfId="9302"/>
    <cellStyle name="l]_x000d__x000a_Path=M:\RIOCEN01_x000d__x000a_Name=Carlos Emilio Brousse_x000d__x000a_DDEApps=nsf,nsg,nsh,ntf,ns2,ors,org_x000d__x000a_SmartIcons=Todos_x000d__x000a_ 2 5" xfId="25725"/>
    <cellStyle name="l]_x000d__x000a_Path=M:\RIOCEN01_x000d__x000a_Name=Carlos Emilio Brousse_x000d__x000a_DDEApps=nsf,nsg,nsh,ntf,ns2,ors,org_x000d__x000a_SmartIcons=Todos_x000d__x000a_ 3" xfId="9303"/>
    <cellStyle name="l]_x000d__x000a_Path=M:\RIOCEN01_x000d__x000a_Name=Carlos Emilio Brousse_x000d__x000a_DDEApps=nsf,nsg,nsh,ntf,ns2,ors,org_x000d__x000a_SmartIcons=Todos_x000d__x000a_ 3 2" xfId="9304"/>
    <cellStyle name="l]_x000d__x000a_Path=M:\RIOCEN01_x000d__x000a_Name=Carlos Emilio Brousse_x000d__x000a_DDEApps=nsf,nsg,nsh,ntf,ns2,ors,org_x000d__x000a_SmartIcons=Todos_x000d__x000a_ 3 2 2" xfId="25726"/>
    <cellStyle name="l]_x000d__x000a_Path=M:\RIOCEN01_x000d__x000a_Name=Carlos Emilio Brousse_x000d__x000a_DDEApps=nsf,nsg,nsh,ntf,ns2,ors,org_x000d__x000a_SmartIcons=Todos_x000d__x000a_ 3 2 3" xfId="25727"/>
    <cellStyle name="l]_x000d__x000a_Path=M:\RIOCEN01_x000d__x000a_Name=Carlos Emilio Brousse_x000d__x000a_DDEApps=nsf,nsg,nsh,ntf,ns2,ors,org_x000d__x000a_SmartIcons=Todos_x000d__x000a_ 3 3" xfId="19243"/>
    <cellStyle name="l]_x000d__x000a_Path=M:\RIOCEN01_x000d__x000a_Name=Carlos Emilio Brousse_x000d__x000a_DDEApps=nsf,nsg,nsh,ntf,ns2,ors,org_x000d__x000a_SmartIcons=Todos_x000d__x000a_ 3 4" xfId="25728"/>
    <cellStyle name="l]_x000d__x000a_Path=M:\RIOCEN01_x000d__x000a_Name=Carlos Emilio Brousse_x000d__x000a_DDEApps=nsf,nsg,nsh,ntf,ns2,ors,org_x000d__x000a_SmartIcons=Todos_x000d__x000a_ 4" xfId="9305"/>
    <cellStyle name="l]_x000d__x000a_Path=M:\RIOCEN01_x000d__x000a_Name=Carlos Emilio Brousse_x000d__x000a_DDEApps=nsf,nsg,nsh,ntf,ns2,ors,org_x000d__x000a_SmartIcons=Todos_x000d__x000a_ 4 2" xfId="25729"/>
    <cellStyle name="l]_x000d__x000a_Path=M:\RIOCEN01_x000d__x000a_Name=Carlos Emilio Brousse_x000d__x000a_DDEApps=nsf,nsg,nsh,ntf,ns2,ors,org_x000d__x000a_SmartIcons=Todos_x000d__x000a_ 4 3" xfId="25730"/>
    <cellStyle name="l]_x000d__x000a_Path=M:\RIOCEN01_x000d__x000a_Name=Carlos Emilio Brousse_x000d__x000a_DDEApps=nsf,nsg,nsh,ntf,ns2,ors,org_x000d__x000a_SmartIcons=Todos_x000d__x000a_ 4 4" xfId="25731"/>
    <cellStyle name="l]_x000d__x000a_Path=M:\RIOCEN01_x000d__x000a_Name=Carlos Emilio Brousse_x000d__x000a_DDEApps=nsf,nsg,nsh,ntf,ns2,ors,org_x000d__x000a_SmartIcons=Todos_x000d__x000a_ 5" xfId="9306"/>
    <cellStyle name="l]_x000d__x000a_Path=M:\RIOCEN01_x000d__x000a_Name=Carlos Emilio Brousse_x000d__x000a_DDEApps=nsf,nsg,nsh,ntf,ns2,ors,org_x000d__x000a_SmartIcons=Todos_x000d__x000a_ 5 2" xfId="19244"/>
    <cellStyle name="l]_x000d__x000a_Path=M:\RIOCEN01_x000d__x000a_Name=Carlos Emilio Brousse_x000d__x000a_DDEApps=nsf,nsg,nsh,ntf,ns2,ors,org_x000d__x000a_SmartIcons=Todos_x000d__x000a_ 5 3" xfId="25732"/>
    <cellStyle name="l]_x000d__x000a_Path=M:\RIOCEN01_x000d__x000a_Name=Carlos Emilio Brousse_x000d__x000a_DDEApps=nsf,nsg,nsh,ntf,ns2,ors,org_x000d__x000a_SmartIcons=Todos_x000d__x000a_ 5 4" xfId="25733"/>
    <cellStyle name="l]_x000d__x000a_Path=M:\RIOCEN01_x000d__x000a_Name=Carlos Emilio Brousse_x000d__x000a_DDEApps=nsf,nsg,nsh,ntf,ns2,ors,org_x000d__x000a_SmartIcons=Todos_x000d__x000a_ 6" xfId="17220"/>
    <cellStyle name="l]_x000d__x000a_Path=M:\RIOCEN01_x000d__x000a_Name=Carlos Emilio Brousse_x000d__x000a_DDEApps=nsf,nsg,nsh,ntf,ns2,ors,org_x000d__x000a_SmartIcons=Todos_x000d__x000a_ 6 2" xfId="25734"/>
    <cellStyle name="l]_x000d__x000a_Path=M:\RIOCEN01_x000d__x000a_Name=Carlos Emilio Brousse_x000d__x000a_DDEApps=nsf,nsg,nsh,ntf,ns2,ors,org_x000d__x000a_SmartIcons=Todos_x000d__x000a_ 6 3" xfId="25735"/>
    <cellStyle name="l]_x000d__x000a_Path=M:\RIOCEN01_x000d__x000a_Name=Carlos Emilio Brousse_x000d__x000a_DDEApps=nsf,nsg,nsh,ntf,ns2,ors,org_x000d__x000a_SmartIcons=Todos_x000d__x000a_ 7" xfId="25736"/>
    <cellStyle name="l]_x000d__x000a_Path=M:\RIOCEN01_x000d__x000a_Name=Carlos Emilio Brousse_x000d__x000a_DDEApps=nsf,nsg,nsh,ntf,ns2,ors,org_x000d__x000a_SmartIcons=Todos_x000d__x000a_ 7 2" xfId="25737"/>
    <cellStyle name="l]_x000d__x000a_Path=M:\RIOCEN01_x000d__x000a_Name=Carlos Emilio Brousse_x000d__x000a_DDEApps=nsf,nsg,nsh,ntf,ns2,ors,org_x000d__x000a_SmartIcons=Todos_x000d__x000a_ 8" xfId="25738"/>
    <cellStyle name="l]_x000d__x000a_Path=M:\RIOCEN01_x000d__x000a_Name=Carlos Emilio Brousse_x000d__x000a_DDEApps=nsf,nsg,nsh,ntf,ns2,ors,org_x000d__x000a_SmartIcons=Todos_x000d__x000a_ 9" xfId="25739"/>
    <cellStyle name="l]_x000d__x000a_Path=M:\RIOCEN01_x000d__x000a_Name=Carlos Emilio Brousse_x000d__x000a_DDEApps=nsf,nsg,nsh,ntf,ns2,ors,org_x000d__x000a_SmartIcons=Todos_x000d__x000a__Expenses 2009" xfId="25740"/>
    <cellStyle name="Link Currency (0)" xfId="25741"/>
    <cellStyle name="Link Currency (0) 2" xfId="25742"/>
    <cellStyle name="Link Currency (0) 2 2" xfId="25743"/>
    <cellStyle name="Link Currency (0) 3" xfId="25744"/>
    <cellStyle name="Link Currency (2)" xfId="25745"/>
    <cellStyle name="Link Currency (2) 2" xfId="25746"/>
    <cellStyle name="Link Currency (2) 2 2" xfId="25747"/>
    <cellStyle name="Link Currency (2) 3" xfId="25748"/>
    <cellStyle name="Link Units (0)" xfId="25749"/>
    <cellStyle name="Link Units (0) 2" xfId="25750"/>
    <cellStyle name="Link Units (0) 2 2" xfId="25751"/>
    <cellStyle name="Link Units (0) 3" xfId="25752"/>
    <cellStyle name="Link Units (1)" xfId="25753"/>
    <cellStyle name="Link Units (1) 2" xfId="25754"/>
    <cellStyle name="Link Units (1) 2 2" xfId="25755"/>
    <cellStyle name="Link Units (1) 3" xfId="25756"/>
    <cellStyle name="Link Units (2)" xfId="25757"/>
    <cellStyle name="Link Units (2) 2" xfId="25758"/>
    <cellStyle name="Link Units (2) 2 2" xfId="25759"/>
    <cellStyle name="Link Units (2) 3" xfId="25760"/>
    <cellStyle name="Linked Cell 2" xfId="9307"/>
    <cellStyle name="Linked Cell 2 2" xfId="9308"/>
    <cellStyle name="Linked Cell 2 2 2" xfId="9309"/>
    <cellStyle name="Linked Cell 2 2 2 2" xfId="9310"/>
    <cellStyle name="Linked Cell 2 2 3" xfId="9311"/>
    <cellStyle name="Linked Cell 2 3" xfId="9312"/>
    <cellStyle name="Linked Cell 2 3 2" xfId="9313"/>
    <cellStyle name="Linked Cell 2 4" xfId="9314"/>
    <cellStyle name="Linked Cell 2 4 2" xfId="9315"/>
    <cellStyle name="Linked Cell 2 5" xfId="9316"/>
    <cellStyle name="Linked Cell 2 6" xfId="25761"/>
    <cellStyle name="Linked Cell 2 7" xfId="25762"/>
    <cellStyle name="Linked Cell 3" xfId="9317"/>
    <cellStyle name="Linked Cell 3 2" xfId="9318"/>
    <cellStyle name="Linked Cell 4" xfId="25763"/>
    <cellStyle name="Linked Cell 5" xfId="25764"/>
    <cellStyle name="Millares [0]_10 AVERIAS MASIVAS + ANT" xfId="25765"/>
    <cellStyle name="Millares_10 AVERIAS MASIVAS + ANT" xfId="25766"/>
    <cellStyle name="mine" xfId="25767"/>
    <cellStyle name="Moneda [0]_10 AVERIAS MASIVAS + ANT" xfId="25768"/>
    <cellStyle name="Moneda_10 AVERIAS MASIVAS + ANT" xfId="25769"/>
    <cellStyle name="Monetario" xfId="25770"/>
    <cellStyle name="Nagłówek 1" xfId="9319"/>
    <cellStyle name="Nagłówek 1 2" xfId="9320"/>
    <cellStyle name="Nagłówek 2" xfId="9321"/>
    <cellStyle name="Nagłówek 2 2" xfId="9322"/>
    <cellStyle name="Nagłówek 3" xfId="9323"/>
    <cellStyle name="Nagłówek 3 2" xfId="9324"/>
    <cellStyle name="Nagłówek 4" xfId="9325"/>
    <cellStyle name="Nagłówek 4 2" xfId="9326"/>
    <cellStyle name="Neutral 2" xfId="9327"/>
    <cellStyle name="Neutral 2 2" xfId="9328"/>
    <cellStyle name="Neutral 2 2 2" xfId="9329"/>
    <cellStyle name="Neutral 2 2 2 2" xfId="9330"/>
    <cellStyle name="Neutral 2 2 3" xfId="9331"/>
    <cellStyle name="Neutral 2 3" xfId="9332"/>
    <cellStyle name="Neutral 2 3 2" xfId="9333"/>
    <cellStyle name="Neutral 2 4" xfId="9334"/>
    <cellStyle name="Neutral 2 4 2" xfId="9335"/>
    <cellStyle name="Neutral 2 5" xfId="9336"/>
    <cellStyle name="Neutral 2 6" xfId="25771"/>
    <cellStyle name="Neutral 2 7" xfId="25772"/>
    <cellStyle name="Neutral 3" xfId="9337"/>
    <cellStyle name="Neutral 3 2" xfId="9338"/>
    <cellStyle name="Neutral 4" xfId="25773"/>
    <cellStyle name="Neutral 5" xfId="25774"/>
    <cellStyle name="Neutralne" xfId="9339"/>
    <cellStyle name="Neutralne 2" xfId="9340"/>
    <cellStyle name="Nivel2" xfId="25775"/>
    <cellStyle name="Nivel2 2" xfId="25776"/>
    <cellStyle name="Nivel2 2 2" xfId="25777"/>
    <cellStyle name="Nivel2 3" xfId="25778"/>
    <cellStyle name="Nivel3" xfId="25779"/>
    <cellStyle name="Nivel3 2" xfId="25780"/>
    <cellStyle name="Nivel3 2 2" xfId="25781"/>
    <cellStyle name="Nivel3 3" xfId="25782"/>
    <cellStyle name="no dec" xfId="25783"/>
    <cellStyle name="No-definido" xfId="25784"/>
    <cellStyle name="Normal" xfId="0" builtinId="0"/>
    <cellStyle name="Normal - Style1" xfId="9341"/>
    <cellStyle name="Normal - Style1 2" xfId="9342"/>
    <cellStyle name="Normal - Style1 3" xfId="19245"/>
    <cellStyle name="Normal - Style1 4" xfId="25785"/>
    <cellStyle name="Normal - Style2" xfId="9343"/>
    <cellStyle name="Normal - Style2 2" xfId="25786"/>
    <cellStyle name="Normal - Style2 3" xfId="25787"/>
    <cellStyle name="Normal - Style3" xfId="9344"/>
    <cellStyle name="Normal - Style3 2" xfId="25788"/>
    <cellStyle name="Normal - Style3 3" xfId="25789"/>
    <cellStyle name="Normal - Style4" xfId="9345"/>
    <cellStyle name="Normal - Style4 2" xfId="25790"/>
    <cellStyle name="Normal - Style4 3" xfId="25791"/>
    <cellStyle name="Normal - Style5" xfId="9346"/>
    <cellStyle name="Normal - Style5 2" xfId="25792"/>
    <cellStyle name="Normal - Style5 3" xfId="25793"/>
    <cellStyle name="Normal - Style6" xfId="9347"/>
    <cellStyle name="Normal - Style6 2" xfId="25794"/>
    <cellStyle name="Normal - Style6 3" xfId="25795"/>
    <cellStyle name="Normal - Style7" xfId="9348"/>
    <cellStyle name="Normal - Style7 2" xfId="25796"/>
    <cellStyle name="Normal - Style7 3" xfId="25797"/>
    <cellStyle name="Normal - Style8" xfId="9349"/>
    <cellStyle name="Normal - Style8 2" xfId="25798"/>
    <cellStyle name="Normal - Style8 3" xfId="25799"/>
    <cellStyle name="Normal 10" xfId="63"/>
    <cellStyle name="Normal 10 10" xfId="9350"/>
    <cellStyle name="Normal 10 10 2" xfId="9351"/>
    <cellStyle name="Normal 10 11" xfId="9352"/>
    <cellStyle name="Normal 10 11 2" xfId="9353"/>
    <cellStyle name="Normal 10 11 2 2" xfId="25800"/>
    <cellStyle name="Normal 10 11 3" xfId="9354"/>
    <cellStyle name="Normal 10 11 4" xfId="9355"/>
    <cellStyle name="Normal 10 12" xfId="9356"/>
    <cellStyle name="Normal 10 12 2" xfId="9357"/>
    <cellStyle name="Normal 10 12 3" xfId="9358"/>
    <cellStyle name="Normal 10 12 4" xfId="9359"/>
    <cellStyle name="Normal 10 13" xfId="9360"/>
    <cellStyle name="Normal 10 14" xfId="9361"/>
    <cellStyle name="Normal 10 15" xfId="9362"/>
    <cellStyle name="Normal 10 16" xfId="9363"/>
    <cellStyle name="Normal 10 17" xfId="25801"/>
    <cellStyle name="Normal 10 18" xfId="25802"/>
    <cellStyle name="Normal 10 2" xfId="64"/>
    <cellStyle name="Normal 10 2 2" xfId="9364"/>
    <cellStyle name="Normal 10 2 2 2" xfId="17221"/>
    <cellStyle name="Normal 10 2 2 2 2" xfId="17222"/>
    <cellStyle name="Normal 10 2 2 2 2 2" xfId="17223"/>
    <cellStyle name="Normal 10 2 2 2 2 2 2" xfId="25803"/>
    <cellStyle name="Normal 10 2 2 2 2 2 2 2" xfId="25804"/>
    <cellStyle name="Normal 10 2 2 2 2 2 2 2 2" xfId="25805"/>
    <cellStyle name="Normal 10 2 2 2 2 2 2 3" xfId="25806"/>
    <cellStyle name="Normal 10 2 2 2 2 2 3" xfId="25807"/>
    <cellStyle name="Normal 10 2 2 2 2 2 3 2" xfId="25808"/>
    <cellStyle name="Normal 10 2 2 2 2 2 4" xfId="25809"/>
    <cellStyle name="Normal 10 2 2 2 2 3" xfId="25810"/>
    <cellStyle name="Normal 10 2 2 2 2 3 2" xfId="25811"/>
    <cellStyle name="Normal 10 2 2 2 2 3 2 2" xfId="25812"/>
    <cellStyle name="Normal 10 2 2 2 2 3 3" xfId="25813"/>
    <cellStyle name="Normal 10 2 2 2 2 4" xfId="25814"/>
    <cellStyle name="Normal 10 2 2 2 2 4 2" xfId="25815"/>
    <cellStyle name="Normal 10 2 2 2 2 5" xfId="25816"/>
    <cellStyle name="Normal 10 2 2 2 3" xfId="17224"/>
    <cellStyle name="Normal 10 2 2 2 3 2" xfId="25817"/>
    <cellStyle name="Normal 10 2 2 2 3 2 2" xfId="25818"/>
    <cellStyle name="Normal 10 2 2 2 3 2 2 2" xfId="25819"/>
    <cellStyle name="Normal 10 2 2 2 3 2 3" xfId="25820"/>
    <cellStyle name="Normal 10 2 2 2 3 3" xfId="25821"/>
    <cellStyle name="Normal 10 2 2 2 3 3 2" xfId="25822"/>
    <cellStyle name="Normal 10 2 2 2 3 4" xfId="25823"/>
    <cellStyle name="Normal 10 2 2 2 4" xfId="25824"/>
    <cellStyle name="Normal 10 2 2 2 4 2" xfId="25825"/>
    <cellStyle name="Normal 10 2 2 2 4 2 2" xfId="25826"/>
    <cellStyle name="Normal 10 2 2 2 4 3" xfId="25827"/>
    <cellStyle name="Normal 10 2 2 2 5" xfId="25828"/>
    <cellStyle name="Normal 10 2 2 2 5 2" xfId="25829"/>
    <cellStyle name="Normal 10 2 2 2 6" xfId="25830"/>
    <cellStyle name="Normal 10 2 2 3" xfId="17225"/>
    <cellStyle name="Normal 10 2 2 3 2" xfId="17226"/>
    <cellStyle name="Normal 10 2 2 3 2 2" xfId="25831"/>
    <cellStyle name="Normal 10 2 2 3 2 2 2" xfId="25832"/>
    <cellStyle name="Normal 10 2 2 3 2 2 2 2" xfId="25833"/>
    <cellStyle name="Normal 10 2 2 3 2 2 3" xfId="25834"/>
    <cellStyle name="Normal 10 2 2 3 2 3" xfId="25835"/>
    <cellStyle name="Normal 10 2 2 3 2 3 2" xfId="25836"/>
    <cellStyle name="Normal 10 2 2 3 2 4" xfId="25837"/>
    <cellStyle name="Normal 10 2 2 3 3" xfId="25838"/>
    <cellStyle name="Normal 10 2 2 3 3 2" xfId="25839"/>
    <cellStyle name="Normal 10 2 2 3 3 2 2" xfId="25840"/>
    <cellStyle name="Normal 10 2 2 3 3 3" xfId="25841"/>
    <cellStyle name="Normal 10 2 2 3 4" xfId="25842"/>
    <cellStyle name="Normal 10 2 2 3 4 2" xfId="25843"/>
    <cellStyle name="Normal 10 2 2 3 5" xfId="25844"/>
    <cellStyle name="Normal 10 2 2 4" xfId="17227"/>
    <cellStyle name="Normal 10 2 2 4 2" xfId="25845"/>
    <cellStyle name="Normal 10 2 2 4 2 2" xfId="25846"/>
    <cellStyle name="Normal 10 2 2 4 2 2 2" xfId="25847"/>
    <cellStyle name="Normal 10 2 2 4 2 3" xfId="25848"/>
    <cellStyle name="Normal 10 2 2 4 3" xfId="25849"/>
    <cellStyle name="Normal 10 2 2 4 3 2" xfId="25850"/>
    <cellStyle name="Normal 10 2 2 4 4" xfId="25851"/>
    <cellStyle name="Normal 10 2 2 5" xfId="25852"/>
    <cellStyle name="Normal 10 2 2 5 2" xfId="25853"/>
    <cellStyle name="Normal 10 2 2 5 2 2" xfId="25854"/>
    <cellStyle name="Normal 10 2 2 5 3" xfId="25855"/>
    <cellStyle name="Normal 10 2 2 6" xfId="25856"/>
    <cellStyle name="Normal 10 2 2 6 2" xfId="25857"/>
    <cellStyle name="Normal 10 2 2 7" xfId="25858"/>
    <cellStyle name="Normal 10 2 3" xfId="17228"/>
    <cellStyle name="Normal 10 2 3 2" xfId="17229"/>
    <cellStyle name="Normal 10 2 3 2 2" xfId="17230"/>
    <cellStyle name="Normal 10 2 3 2 2 2" xfId="25859"/>
    <cellStyle name="Normal 10 2 3 2 2 2 2" xfId="25860"/>
    <cellStyle name="Normal 10 2 3 2 2 2 2 2" xfId="25861"/>
    <cellStyle name="Normal 10 2 3 2 2 2 3" xfId="25862"/>
    <cellStyle name="Normal 10 2 3 2 2 3" xfId="25863"/>
    <cellStyle name="Normal 10 2 3 2 2 3 2" xfId="25864"/>
    <cellStyle name="Normal 10 2 3 2 2 4" xfId="25865"/>
    <cellStyle name="Normal 10 2 3 2 3" xfId="25866"/>
    <cellStyle name="Normal 10 2 3 2 3 2" xfId="25867"/>
    <cellStyle name="Normal 10 2 3 2 3 2 2" xfId="25868"/>
    <cellStyle name="Normal 10 2 3 2 3 3" xfId="25869"/>
    <cellStyle name="Normal 10 2 3 2 4" xfId="25870"/>
    <cellStyle name="Normal 10 2 3 2 4 2" xfId="25871"/>
    <cellStyle name="Normal 10 2 3 2 5" xfId="25872"/>
    <cellStyle name="Normal 10 2 3 3" xfId="17231"/>
    <cellStyle name="Normal 10 2 3 3 2" xfId="25873"/>
    <cellStyle name="Normal 10 2 3 3 2 2" xfId="25874"/>
    <cellStyle name="Normal 10 2 3 3 2 2 2" xfId="25875"/>
    <cellStyle name="Normal 10 2 3 3 2 3" xfId="25876"/>
    <cellStyle name="Normal 10 2 3 3 3" xfId="25877"/>
    <cellStyle name="Normal 10 2 3 3 3 2" xfId="25878"/>
    <cellStyle name="Normal 10 2 3 3 4" xfId="25879"/>
    <cellStyle name="Normal 10 2 3 4" xfId="25880"/>
    <cellStyle name="Normal 10 2 3 4 2" xfId="25881"/>
    <cellStyle name="Normal 10 2 3 4 2 2" xfId="25882"/>
    <cellStyle name="Normal 10 2 3 4 3" xfId="25883"/>
    <cellStyle name="Normal 10 2 3 5" xfId="25884"/>
    <cellStyle name="Normal 10 2 3 5 2" xfId="25885"/>
    <cellStyle name="Normal 10 2 3 6" xfId="25886"/>
    <cellStyle name="Normal 10 2 3 7" xfId="25887"/>
    <cellStyle name="Normal 10 2 4" xfId="17232"/>
    <cellStyle name="Normal 10 2 4 2" xfId="17233"/>
    <cellStyle name="Normal 10 2 4 2 2" xfId="25888"/>
    <cellStyle name="Normal 10 2 4 2 2 2" xfId="25889"/>
    <cellStyle name="Normal 10 2 4 2 2 2 2" xfId="25890"/>
    <cellStyle name="Normal 10 2 4 2 2 3" xfId="25891"/>
    <cellStyle name="Normal 10 2 4 2 3" xfId="25892"/>
    <cellStyle name="Normal 10 2 4 2 3 2" xfId="25893"/>
    <cellStyle name="Normal 10 2 4 2 4" xfId="25894"/>
    <cellStyle name="Normal 10 2 4 3" xfId="25895"/>
    <cellStyle name="Normal 10 2 4 3 2" xfId="25896"/>
    <cellStyle name="Normal 10 2 4 3 2 2" xfId="25897"/>
    <cellStyle name="Normal 10 2 4 3 3" xfId="25898"/>
    <cellStyle name="Normal 10 2 4 4" xfId="25899"/>
    <cellStyle name="Normal 10 2 4 4 2" xfId="25900"/>
    <cellStyle name="Normal 10 2 4 5" xfId="25901"/>
    <cellStyle name="Normal 10 2 5" xfId="17234"/>
    <cellStyle name="Normal 10 2 5 2" xfId="25902"/>
    <cellStyle name="Normal 10 2 5 2 2" xfId="25903"/>
    <cellStyle name="Normal 10 2 5 2 2 2" xfId="25904"/>
    <cellStyle name="Normal 10 2 5 2 3" xfId="25905"/>
    <cellStyle name="Normal 10 2 5 3" xfId="25906"/>
    <cellStyle name="Normal 10 2 5 3 2" xfId="25907"/>
    <cellStyle name="Normal 10 2 5 4" xfId="25908"/>
    <cellStyle name="Normal 10 2 6" xfId="17235"/>
    <cellStyle name="Normal 10 2 7" xfId="25909"/>
    <cellStyle name="Normal 10 2 7 2" xfId="25910"/>
    <cellStyle name="Normal 10 2 7 2 2" xfId="25911"/>
    <cellStyle name="Normal 10 2 7 3" xfId="25912"/>
    <cellStyle name="Normal 10 2 8" xfId="25913"/>
    <cellStyle name="Normal 10 2 8 2" xfId="25914"/>
    <cellStyle name="Normal 10 2 9" xfId="25915"/>
    <cellStyle name="Normal 10 3" xfId="9365"/>
    <cellStyle name="Normal 10 3 2" xfId="17236"/>
    <cellStyle name="Normal 10 3 2 2" xfId="17237"/>
    <cellStyle name="Normal 10 3 2 2 2" xfId="17238"/>
    <cellStyle name="Normal 10 3 2 2 2 2" xfId="17239"/>
    <cellStyle name="Normal 10 3 2 2 2 2 2" xfId="25916"/>
    <cellStyle name="Normal 10 3 2 2 2 2 2 2" xfId="25917"/>
    <cellStyle name="Normal 10 3 2 2 2 2 2 2 2" xfId="25918"/>
    <cellStyle name="Normal 10 3 2 2 2 2 2 3" xfId="25919"/>
    <cellStyle name="Normal 10 3 2 2 2 2 3" xfId="25920"/>
    <cellStyle name="Normal 10 3 2 2 2 2 3 2" xfId="25921"/>
    <cellStyle name="Normal 10 3 2 2 2 2 4" xfId="25922"/>
    <cellStyle name="Normal 10 3 2 2 2 3" xfId="25923"/>
    <cellStyle name="Normal 10 3 2 2 2 3 2" xfId="25924"/>
    <cellStyle name="Normal 10 3 2 2 2 3 2 2" xfId="25925"/>
    <cellStyle name="Normal 10 3 2 2 2 3 3" xfId="25926"/>
    <cellStyle name="Normal 10 3 2 2 2 4" xfId="25927"/>
    <cellStyle name="Normal 10 3 2 2 2 4 2" xfId="25928"/>
    <cellStyle name="Normal 10 3 2 2 2 5" xfId="25929"/>
    <cellStyle name="Normal 10 3 2 2 3" xfId="17240"/>
    <cellStyle name="Normal 10 3 2 2 3 2" xfId="25930"/>
    <cellStyle name="Normal 10 3 2 2 3 2 2" xfId="25931"/>
    <cellStyle name="Normal 10 3 2 2 3 2 2 2" xfId="25932"/>
    <cellStyle name="Normal 10 3 2 2 3 2 3" xfId="25933"/>
    <cellStyle name="Normal 10 3 2 2 3 3" xfId="25934"/>
    <cellStyle name="Normal 10 3 2 2 3 3 2" xfId="25935"/>
    <cellStyle name="Normal 10 3 2 2 3 4" xfId="25936"/>
    <cellStyle name="Normal 10 3 2 2 4" xfId="25937"/>
    <cellStyle name="Normal 10 3 2 2 4 2" xfId="25938"/>
    <cellStyle name="Normal 10 3 2 2 4 2 2" xfId="25939"/>
    <cellStyle name="Normal 10 3 2 2 4 3" xfId="25940"/>
    <cellStyle name="Normal 10 3 2 2 5" xfId="25941"/>
    <cellStyle name="Normal 10 3 2 2 5 2" xfId="25942"/>
    <cellStyle name="Normal 10 3 2 2 6" xfId="25943"/>
    <cellStyle name="Normal 10 3 2 3" xfId="17241"/>
    <cellStyle name="Normal 10 3 2 3 2" xfId="17242"/>
    <cellStyle name="Normal 10 3 2 3 2 2" xfId="25944"/>
    <cellStyle name="Normal 10 3 2 3 2 2 2" xfId="25945"/>
    <cellStyle name="Normal 10 3 2 3 2 2 2 2" xfId="25946"/>
    <cellStyle name="Normal 10 3 2 3 2 2 3" xfId="25947"/>
    <cellStyle name="Normal 10 3 2 3 2 3" xfId="25948"/>
    <cellStyle name="Normal 10 3 2 3 2 3 2" xfId="25949"/>
    <cellStyle name="Normal 10 3 2 3 2 4" xfId="25950"/>
    <cellStyle name="Normal 10 3 2 3 3" xfId="25951"/>
    <cellStyle name="Normal 10 3 2 3 3 2" xfId="25952"/>
    <cellStyle name="Normal 10 3 2 3 3 2 2" xfId="25953"/>
    <cellStyle name="Normal 10 3 2 3 3 3" xfId="25954"/>
    <cellStyle name="Normal 10 3 2 3 4" xfId="25955"/>
    <cellStyle name="Normal 10 3 2 3 4 2" xfId="25956"/>
    <cellStyle name="Normal 10 3 2 3 5" xfId="25957"/>
    <cellStyle name="Normal 10 3 2 4" xfId="17243"/>
    <cellStyle name="Normal 10 3 2 4 2" xfId="25958"/>
    <cellStyle name="Normal 10 3 2 4 2 2" xfId="25959"/>
    <cellStyle name="Normal 10 3 2 4 2 2 2" xfId="25960"/>
    <cellStyle name="Normal 10 3 2 4 2 3" xfId="25961"/>
    <cellStyle name="Normal 10 3 2 4 3" xfId="25962"/>
    <cellStyle name="Normal 10 3 2 4 3 2" xfId="25963"/>
    <cellStyle name="Normal 10 3 2 4 4" xfId="25964"/>
    <cellStyle name="Normal 10 3 2 5" xfId="25965"/>
    <cellStyle name="Normal 10 3 2 5 2" xfId="25966"/>
    <cellStyle name="Normal 10 3 2 5 2 2" xfId="25967"/>
    <cellStyle name="Normal 10 3 2 5 3" xfId="25968"/>
    <cellStyle name="Normal 10 3 2 6" xfId="25969"/>
    <cellStyle name="Normal 10 3 2 6 2" xfId="25970"/>
    <cellStyle name="Normal 10 3 2 7" xfId="25971"/>
    <cellStyle name="Normal 10 3 3" xfId="17244"/>
    <cellStyle name="Normal 10 3 3 2" xfId="17245"/>
    <cellStyle name="Normal 10 3 3 2 2" xfId="17246"/>
    <cellStyle name="Normal 10 3 3 2 2 2" xfId="25972"/>
    <cellStyle name="Normal 10 3 3 2 2 2 2" xfId="25973"/>
    <cellStyle name="Normal 10 3 3 2 2 2 2 2" xfId="25974"/>
    <cellStyle name="Normal 10 3 3 2 2 2 3" xfId="25975"/>
    <cellStyle name="Normal 10 3 3 2 2 3" xfId="25976"/>
    <cellStyle name="Normal 10 3 3 2 2 3 2" xfId="25977"/>
    <cellStyle name="Normal 10 3 3 2 2 4" xfId="25978"/>
    <cellStyle name="Normal 10 3 3 2 3" xfId="25979"/>
    <cellStyle name="Normal 10 3 3 2 3 2" xfId="25980"/>
    <cellStyle name="Normal 10 3 3 2 3 2 2" xfId="25981"/>
    <cellStyle name="Normal 10 3 3 2 3 3" xfId="25982"/>
    <cellStyle name="Normal 10 3 3 2 4" xfId="25983"/>
    <cellStyle name="Normal 10 3 3 2 4 2" xfId="25984"/>
    <cellStyle name="Normal 10 3 3 2 5" xfId="25985"/>
    <cellStyle name="Normal 10 3 3 3" xfId="17247"/>
    <cellStyle name="Normal 10 3 3 3 2" xfId="25986"/>
    <cellStyle name="Normal 10 3 3 3 2 2" xfId="25987"/>
    <cellStyle name="Normal 10 3 3 3 2 2 2" xfId="25988"/>
    <cellStyle name="Normal 10 3 3 3 2 3" xfId="25989"/>
    <cellStyle name="Normal 10 3 3 3 3" xfId="25990"/>
    <cellStyle name="Normal 10 3 3 3 3 2" xfId="25991"/>
    <cellStyle name="Normal 10 3 3 3 4" xfId="25992"/>
    <cellStyle name="Normal 10 3 3 4" xfId="25993"/>
    <cellStyle name="Normal 10 3 3 4 2" xfId="25994"/>
    <cellStyle name="Normal 10 3 3 4 2 2" xfId="25995"/>
    <cellStyle name="Normal 10 3 3 4 3" xfId="25996"/>
    <cellStyle name="Normal 10 3 3 5" xfId="25997"/>
    <cellStyle name="Normal 10 3 3 5 2" xfId="25998"/>
    <cellStyle name="Normal 10 3 3 6" xfId="25999"/>
    <cellStyle name="Normal 10 3 4" xfId="17248"/>
    <cellStyle name="Normal 10 3 4 2" xfId="17249"/>
    <cellStyle name="Normal 10 3 4 2 2" xfId="26000"/>
    <cellStyle name="Normal 10 3 4 2 2 2" xfId="26001"/>
    <cellStyle name="Normal 10 3 4 2 2 2 2" xfId="26002"/>
    <cellStyle name="Normal 10 3 4 2 2 3" xfId="26003"/>
    <cellStyle name="Normal 10 3 4 2 3" xfId="26004"/>
    <cellStyle name="Normal 10 3 4 2 3 2" xfId="26005"/>
    <cellStyle name="Normal 10 3 4 2 4" xfId="26006"/>
    <cellStyle name="Normal 10 3 4 3" xfId="26007"/>
    <cellStyle name="Normal 10 3 4 3 2" xfId="26008"/>
    <cellStyle name="Normal 10 3 4 3 2 2" xfId="26009"/>
    <cellStyle name="Normal 10 3 4 3 3" xfId="26010"/>
    <cellStyle name="Normal 10 3 4 4" xfId="26011"/>
    <cellStyle name="Normal 10 3 4 4 2" xfId="26012"/>
    <cellStyle name="Normal 10 3 4 5" xfId="26013"/>
    <cellStyle name="Normal 10 3 5" xfId="17250"/>
    <cellStyle name="Normal 10 3 5 2" xfId="26014"/>
    <cellStyle name="Normal 10 3 5 2 2" xfId="26015"/>
    <cellStyle name="Normal 10 3 5 2 2 2" xfId="26016"/>
    <cellStyle name="Normal 10 3 5 2 3" xfId="26017"/>
    <cellStyle name="Normal 10 3 5 3" xfId="26018"/>
    <cellStyle name="Normal 10 3 5 3 2" xfId="26019"/>
    <cellStyle name="Normal 10 3 5 4" xfId="26020"/>
    <cellStyle name="Normal 10 3 6" xfId="26021"/>
    <cellStyle name="Normal 10 3 6 2" xfId="26022"/>
    <cellStyle name="Normal 10 3 6 2 2" xfId="26023"/>
    <cellStyle name="Normal 10 3 6 3" xfId="26024"/>
    <cellStyle name="Normal 10 3 7" xfId="26025"/>
    <cellStyle name="Normal 10 3 7 2" xfId="26026"/>
    <cellStyle name="Normal 10 3 8" xfId="26027"/>
    <cellStyle name="Normal 10 4" xfId="9366"/>
    <cellStyle name="Normal 10 4 2" xfId="9367"/>
    <cellStyle name="Normal 10 4 2 2" xfId="9368"/>
    <cellStyle name="Normal 10 4 2 2 2" xfId="9369"/>
    <cellStyle name="Normal 10 4 2 2 2 2" xfId="9370"/>
    <cellStyle name="Normal 10 4 2 2 2 2 2" xfId="26028"/>
    <cellStyle name="Normal 10 4 2 2 2 2 2 2" xfId="26029"/>
    <cellStyle name="Normal 10 4 2 2 2 2 3" xfId="26030"/>
    <cellStyle name="Normal 10 4 2 2 2 3" xfId="9371"/>
    <cellStyle name="Normal 10 4 2 2 2 3 2" xfId="26031"/>
    <cellStyle name="Normal 10 4 2 2 2 4" xfId="9372"/>
    <cellStyle name="Normal 10 4 2 2 3" xfId="9373"/>
    <cellStyle name="Normal 10 4 2 2 3 2" xfId="9374"/>
    <cellStyle name="Normal 10 4 2 2 3 2 2" xfId="26032"/>
    <cellStyle name="Normal 10 4 2 2 3 3" xfId="9375"/>
    <cellStyle name="Normal 10 4 2 2 3 4" xfId="9376"/>
    <cellStyle name="Normal 10 4 2 2 4" xfId="9377"/>
    <cellStyle name="Normal 10 4 2 2 4 2" xfId="26033"/>
    <cellStyle name="Normal 10 4 2 2 5" xfId="9378"/>
    <cellStyle name="Normal 10 4 2 2 6" xfId="9379"/>
    <cellStyle name="Normal 10 4 2 3" xfId="9380"/>
    <cellStyle name="Normal 10 4 2 3 2" xfId="9381"/>
    <cellStyle name="Normal 10 4 2 3 2 2" xfId="26034"/>
    <cellStyle name="Normal 10 4 2 3 2 2 2" xfId="26035"/>
    <cellStyle name="Normal 10 4 2 3 2 3" xfId="26036"/>
    <cellStyle name="Normal 10 4 2 3 3" xfId="9382"/>
    <cellStyle name="Normal 10 4 2 3 3 2" xfId="26037"/>
    <cellStyle name="Normal 10 4 2 3 4" xfId="9383"/>
    <cellStyle name="Normal 10 4 2 4" xfId="9384"/>
    <cellStyle name="Normal 10 4 2 4 2" xfId="9385"/>
    <cellStyle name="Normal 10 4 2 4 2 2" xfId="26038"/>
    <cellStyle name="Normal 10 4 2 4 3" xfId="9386"/>
    <cellStyle name="Normal 10 4 2 4 4" xfId="9387"/>
    <cellStyle name="Normal 10 4 2 5" xfId="9388"/>
    <cellStyle name="Normal 10 4 2 5 2" xfId="26039"/>
    <cellStyle name="Normal 10 4 2 6" xfId="9389"/>
    <cellStyle name="Normal 10 4 2 7" xfId="9390"/>
    <cellStyle name="Normal 10 4 3" xfId="9391"/>
    <cellStyle name="Normal 10 4 3 2" xfId="9392"/>
    <cellStyle name="Normal 10 4 3 2 2" xfId="9393"/>
    <cellStyle name="Normal 10 4 3 2 2 2" xfId="26040"/>
    <cellStyle name="Normal 10 4 3 2 2 2 2" xfId="26041"/>
    <cellStyle name="Normal 10 4 3 2 2 3" xfId="26042"/>
    <cellStyle name="Normal 10 4 3 2 3" xfId="9394"/>
    <cellStyle name="Normal 10 4 3 2 3 2" xfId="26043"/>
    <cellStyle name="Normal 10 4 3 2 4" xfId="9395"/>
    <cellStyle name="Normal 10 4 3 3" xfId="9396"/>
    <cellStyle name="Normal 10 4 3 3 2" xfId="9397"/>
    <cellStyle name="Normal 10 4 3 3 2 2" xfId="26044"/>
    <cellStyle name="Normal 10 4 3 3 3" xfId="9398"/>
    <cellStyle name="Normal 10 4 3 3 4" xfId="9399"/>
    <cellStyle name="Normal 10 4 3 4" xfId="9400"/>
    <cellStyle name="Normal 10 4 3 4 2" xfId="26045"/>
    <cellStyle name="Normal 10 4 3 5" xfId="9401"/>
    <cellStyle name="Normal 10 4 3 6" xfId="9402"/>
    <cellStyle name="Normal 10 4 4" xfId="9403"/>
    <cellStyle name="Normal 10 4 4 2" xfId="9404"/>
    <cellStyle name="Normal 10 4 4 2 2" xfId="26046"/>
    <cellStyle name="Normal 10 4 4 2 2 2" xfId="26047"/>
    <cellStyle name="Normal 10 4 4 2 3" xfId="26048"/>
    <cellStyle name="Normal 10 4 4 3" xfId="9405"/>
    <cellStyle name="Normal 10 4 4 3 2" xfId="26049"/>
    <cellStyle name="Normal 10 4 4 4" xfId="9406"/>
    <cellStyle name="Normal 10 4 5" xfId="9407"/>
    <cellStyle name="Normal 10 4 5 2" xfId="9408"/>
    <cellStyle name="Normal 10 4 5 2 2" xfId="26050"/>
    <cellStyle name="Normal 10 4 5 3" xfId="9409"/>
    <cellStyle name="Normal 10 4 5 4" xfId="9410"/>
    <cellStyle name="Normal 10 4 6" xfId="9411"/>
    <cellStyle name="Normal 10 4 6 2" xfId="26051"/>
    <cellStyle name="Normal 10 4 7" xfId="9412"/>
    <cellStyle name="Normal 10 4 8" xfId="9413"/>
    <cellStyle name="Normal 10 5" xfId="9414"/>
    <cellStyle name="Normal 10 5 2" xfId="9415"/>
    <cellStyle name="Normal 10 5 2 2" xfId="9416"/>
    <cellStyle name="Normal 10 5 2 2 2" xfId="9417"/>
    <cellStyle name="Normal 10 5 2 2 2 2" xfId="9418"/>
    <cellStyle name="Normal 10 5 2 2 2 2 2" xfId="26052"/>
    <cellStyle name="Normal 10 5 2 2 2 2 2 2" xfId="26053"/>
    <cellStyle name="Normal 10 5 2 2 2 2 3" xfId="26054"/>
    <cellStyle name="Normal 10 5 2 2 2 3" xfId="9419"/>
    <cellStyle name="Normal 10 5 2 2 2 3 2" xfId="26055"/>
    <cellStyle name="Normal 10 5 2 2 2 4" xfId="9420"/>
    <cellStyle name="Normal 10 5 2 2 3" xfId="9421"/>
    <cellStyle name="Normal 10 5 2 2 3 2" xfId="9422"/>
    <cellStyle name="Normal 10 5 2 2 3 2 2" xfId="26056"/>
    <cellStyle name="Normal 10 5 2 2 3 3" xfId="9423"/>
    <cellStyle name="Normal 10 5 2 2 3 4" xfId="9424"/>
    <cellStyle name="Normal 10 5 2 2 4" xfId="9425"/>
    <cellStyle name="Normal 10 5 2 2 4 2" xfId="26057"/>
    <cellStyle name="Normal 10 5 2 2 5" xfId="9426"/>
    <cellStyle name="Normal 10 5 2 2 6" xfId="9427"/>
    <cellStyle name="Normal 10 5 2 3" xfId="9428"/>
    <cellStyle name="Normal 10 5 2 3 2" xfId="9429"/>
    <cellStyle name="Normal 10 5 2 3 2 2" xfId="26058"/>
    <cellStyle name="Normal 10 5 2 3 2 2 2" xfId="26059"/>
    <cellStyle name="Normal 10 5 2 3 2 3" xfId="26060"/>
    <cellStyle name="Normal 10 5 2 3 3" xfId="9430"/>
    <cellStyle name="Normal 10 5 2 3 3 2" xfId="26061"/>
    <cellStyle name="Normal 10 5 2 3 4" xfId="9431"/>
    <cellStyle name="Normal 10 5 2 4" xfId="9432"/>
    <cellStyle name="Normal 10 5 2 4 2" xfId="9433"/>
    <cellStyle name="Normal 10 5 2 4 2 2" xfId="26062"/>
    <cellStyle name="Normal 10 5 2 4 3" xfId="9434"/>
    <cellStyle name="Normal 10 5 2 4 4" xfId="9435"/>
    <cellStyle name="Normal 10 5 2 5" xfId="9436"/>
    <cellStyle name="Normal 10 5 2 5 2" xfId="26063"/>
    <cellStyle name="Normal 10 5 2 6" xfId="9437"/>
    <cellStyle name="Normal 10 5 2 7" xfId="9438"/>
    <cellStyle name="Normal 10 5 3" xfId="9439"/>
    <cellStyle name="Normal 10 5 3 2" xfId="9440"/>
    <cellStyle name="Normal 10 5 3 2 2" xfId="9441"/>
    <cellStyle name="Normal 10 5 3 2 2 2" xfId="26064"/>
    <cellStyle name="Normal 10 5 3 2 2 2 2" xfId="26065"/>
    <cellStyle name="Normal 10 5 3 2 2 3" xfId="26066"/>
    <cellStyle name="Normal 10 5 3 2 3" xfId="9442"/>
    <cellStyle name="Normal 10 5 3 2 3 2" xfId="26067"/>
    <cellStyle name="Normal 10 5 3 2 4" xfId="9443"/>
    <cellStyle name="Normal 10 5 3 3" xfId="9444"/>
    <cellStyle name="Normal 10 5 3 3 2" xfId="9445"/>
    <cellStyle name="Normal 10 5 3 3 2 2" xfId="26068"/>
    <cellStyle name="Normal 10 5 3 3 3" xfId="9446"/>
    <cellStyle name="Normal 10 5 3 3 4" xfId="9447"/>
    <cellStyle name="Normal 10 5 3 4" xfId="9448"/>
    <cellStyle name="Normal 10 5 3 4 2" xfId="26069"/>
    <cellStyle name="Normal 10 5 3 5" xfId="9449"/>
    <cellStyle name="Normal 10 5 3 6" xfId="9450"/>
    <cellStyle name="Normal 10 5 4" xfId="9451"/>
    <cellStyle name="Normal 10 5 4 2" xfId="9452"/>
    <cellStyle name="Normal 10 5 4 2 2" xfId="26070"/>
    <cellStyle name="Normal 10 5 4 2 2 2" xfId="26071"/>
    <cellStyle name="Normal 10 5 4 2 3" xfId="26072"/>
    <cellStyle name="Normal 10 5 4 3" xfId="9453"/>
    <cellStyle name="Normal 10 5 4 3 2" xfId="26073"/>
    <cellStyle name="Normal 10 5 4 4" xfId="9454"/>
    <cellStyle name="Normal 10 5 5" xfId="9455"/>
    <cellStyle name="Normal 10 5 5 2" xfId="9456"/>
    <cellStyle name="Normal 10 5 5 2 2" xfId="26074"/>
    <cellStyle name="Normal 10 5 5 3" xfId="9457"/>
    <cellStyle name="Normal 10 5 5 4" xfId="9458"/>
    <cellStyle name="Normal 10 5 6" xfId="9459"/>
    <cellStyle name="Normal 10 5 6 2" xfId="26075"/>
    <cellStyle name="Normal 10 5 7" xfId="9460"/>
    <cellStyle name="Normal 10 5 8" xfId="9461"/>
    <cellStyle name="Normal 10 6" xfId="9462"/>
    <cellStyle name="Normal 10 6 2" xfId="9463"/>
    <cellStyle name="Normal 10 6 2 2" xfId="9464"/>
    <cellStyle name="Normal 10 6 2 2 2" xfId="9465"/>
    <cellStyle name="Normal 10 6 2 2 2 2" xfId="26076"/>
    <cellStyle name="Normal 10 6 2 2 2 2 2" xfId="26077"/>
    <cellStyle name="Normal 10 6 2 2 2 3" xfId="26078"/>
    <cellStyle name="Normal 10 6 2 2 3" xfId="9466"/>
    <cellStyle name="Normal 10 6 2 2 3 2" xfId="26079"/>
    <cellStyle name="Normal 10 6 2 2 4" xfId="9467"/>
    <cellStyle name="Normal 10 6 2 3" xfId="9468"/>
    <cellStyle name="Normal 10 6 2 3 2" xfId="9469"/>
    <cellStyle name="Normal 10 6 2 3 2 2" xfId="26080"/>
    <cellStyle name="Normal 10 6 2 3 3" xfId="9470"/>
    <cellStyle name="Normal 10 6 2 3 4" xfId="9471"/>
    <cellStyle name="Normal 10 6 2 4" xfId="9472"/>
    <cellStyle name="Normal 10 6 2 4 2" xfId="26081"/>
    <cellStyle name="Normal 10 6 2 5" xfId="9473"/>
    <cellStyle name="Normal 10 6 2 6" xfId="9474"/>
    <cellStyle name="Normal 10 6 3" xfId="9475"/>
    <cellStyle name="Normal 10 6 3 2" xfId="9476"/>
    <cellStyle name="Normal 10 6 3 2 2" xfId="26082"/>
    <cellStyle name="Normal 10 6 3 2 2 2" xfId="26083"/>
    <cellStyle name="Normal 10 6 3 2 3" xfId="26084"/>
    <cellStyle name="Normal 10 6 3 3" xfId="9477"/>
    <cellStyle name="Normal 10 6 3 3 2" xfId="26085"/>
    <cellStyle name="Normal 10 6 3 4" xfId="9478"/>
    <cellStyle name="Normal 10 6 4" xfId="9479"/>
    <cellStyle name="Normal 10 6 4 2" xfId="9480"/>
    <cellStyle name="Normal 10 6 4 2 2" xfId="26086"/>
    <cellStyle name="Normal 10 6 4 3" xfId="9481"/>
    <cellStyle name="Normal 10 6 4 4" xfId="9482"/>
    <cellStyle name="Normal 10 6 5" xfId="9483"/>
    <cellStyle name="Normal 10 6 5 2" xfId="26087"/>
    <cellStyle name="Normal 10 6 6" xfId="9484"/>
    <cellStyle name="Normal 10 6 7" xfId="9485"/>
    <cellStyle name="Normal 10 7" xfId="9486"/>
    <cellStyle name="Normal 10 7 2" xfId="9487"/>
    <cellStyle name="Normal 10 7 2 2" xfId="9488"/>
    <cellStyle name="Normal 10 7 2 2 2" xfId="9489"/>
    <cellStyle name="Normal 10 7 2 2 2 2" xfId="26088"/>
    <cellStyle name="Normal 10 7 2 2 3" xfId="9490"/>
    <cellStyle name="Normal 10 7 2 2 4" xfId="9491"/>
    <cellStyle name="Normal 10 7 2 3" xfId="9492"/>
    <cellStyle name="Normal 10 7 2 3 2" xfId="9493"/>
    <cellStyle name="Normal 10 7 2 3 3" xfId="9494"/>
    <cellStyle name="Normal 10 7 2 3 4" xfId="9495"/>
    <cellStyle name="Normal 10 7 2 4" xfId="9496"/>
    <cellStyle name="Normal 10 7 2 5" xfId="9497"/>
    <cellStyle name="Normal 10 7 2 6" xfId="9498"/>
    <cellStyle name="Normal 10 7 3" xfId="9499"/>
    <cellStyle name="Normal 10 7 3 2" xfId="9500"/>
    <cellStyle name="Normal 10 7 3 2 2" xfId="26089"/>
    <cellStyle name="Normal 10 7 3 3" xfId="9501"/>
    <cellStyle name="Normal 10 7 3 4" xfId="9502"/>
    <cellStyle name="Normal 10 7 4" xfId="9503"/>
    <cellStyle name="Normal 10 7 4 2" xfId="9504"/>
    <cellStyle name="Normal 10 7 4 3" xfId="9505"/>
    <cellStyle name="Normal 10 7 4 4" xfId="9506"/>
    <cellStyle name="Normal 10 7 5" xfId="9507"/>
    <cellStyle name="Normal 10 7 6" xfId="9508"/>
    <cellStyle name="Normal 10 7 7" xfId="9509"/>
    <cellStyle name="Normal 10 8" xfId="9510"/>
    <cellStyle name="Normal 10 8 2" xfId="9511"/>
    <cellStyle name="Normal 10 8 2 2" xfId="9512"/>
    <cellStyle name="Normal 10 8 2 2 2" xfId="9513"/>
    <cellStyle name="Normal 10 8 2 2 3" xfId="9514"/>
    <cellStyle name="Normal 10 8 2 2 4" xfId="9515"/>
    <cellStyle name="Normal 10 8 2 3" xfId="9516"/>
    <cellStyle name="Normal 10 8 2 3 2" xfId="9517"/>
    <cellStyle name="Normal 10 8 2 3 3" xfId="9518"/>
    <cellStyle name="Normal 10 8 2 3 4" xfId="9519"/>
    <cellStyle name="Normal 10 8 2 4" xfId="9520"/>
    <cellStyle name="Normal 10 8 2 5" xfId="9521"/>
    <cellStyle name="Normal 10 8 2 6" xfId="9522"/>
    <cellStyle name="Normal 10 8 3" xfId="9523"/>
    <cellStyle name="Normal 10 8 3 2" xfId="9524"/>
    <cellStyle name="Normal 10 8 3 3" xfId="9525"/>
    <cellStyle name="Normal 10 8 3 4" xfId="9526"/>
    <cellStyle name="Normal 10 8 4" xfId="9527"/>
    <cellStyle name="Normal 10 8 4 2" xfId="9528"/>
    <cellStyle name="Normal 10 8 4 3" xfId="9529"/>
    <cellStyle name="Normal 10 8 4 4" xfId="9530"/>
    <cellStyle name="Normal 10 8 5" xfId="9531"/>
    <cellStyle name="Normal 10 8 6" xfId="9532"/>
    <cellStyle name="Normal 10 8 7" xfId="9533"/>
    <cellStyle name="Normal 10 9" xfId="9534"/>
    <cellStyle name="Normal 10 9 2" xfId="9535"/>
    <cellStyle name="Normal 10 9 2 2" xfId="9536"/>
    <cellStyle name="Normal 10 9 2 3" xfId="9537"/>
    <cellStyle name="Normal 10 9 2 4" xfId="9538"/>
    <cellStyle name="Normal 10 9 3" xfId="9539"/>
    <cellStyle name="Normal 10 9 3 2" xfId="9540"/>
    <cellStyle name="Normal 10 9 3 3" xfId="9541"/>
    <cellStyle name="Normal 10 9 3 4" xfId="9542"/>
    <cellStyle name="Normal 10 9 4" xfId="9543"/>
    <cellStyle name="Normal 10 9 5" xfId="9544"/>
    <cellStyle name="Normal 10 9 6" xfId="9545"/>
    <cellStyle name="Normal 10 9 7" xfId="26090"/>
    <cellStyle name="Normal 100" xfId="17251"/>
    <cellStyle name="Normal 100 2" xfId="17252"/>
    <cellStyle name="Normal 100 2 2" xfId="26091"/>
    <cellStyle name="Normal 100 2 2 2" xfId="26092"/>
    <cellStyle name="Normal 100 2 2 2 2" xfId="26093"/>
    <cellStyle name="Normal 100 2 2 3" xfId="26094"/>
    <cellStyle name="Normal 100 2 3" xfId="26095"/>
    <cellStyle name="Normal 100 2 3 2" xfId="26096"/>
    <cellStyle name="Normal 100 2 4" xfId="26097"/>
    <cellStyle name="Normal 100 3" xfId="26098"/>
    <cellStyle name="Normal 100 3 2" xfId="26099"/>
    <cellStyle name="Normal 100 3 2 2" xfId="26100"/>
    <cellStyle name="Normal 100 3 3" xfId="26101"/>
    <cellStyle name="Normal 100 4" xfId="26102"/>
    <cellStyle name="Normal 100 4 2" xfId="26103"/>
    <cellStyle name="Normal 100 5" xfId="26104"/>
    <cellStyle name="Normal 101" xfId="17253"/>
    <cellStyle name="Normal 101 2" xfId="17254"/>
    <cellStyle name="Normal 101 2 2" xfId="26105"/>
    <cellStyle name="Normal 101 2 2 2" xfId="26106"/>
    <cellStyle name="Normal 101 2 2 2 2" xfId="26107"/>
    <cellStyle name="Normal 101 2 2 3" xfId="26108"/>
    <cellStyle name="Normal 101 2 3" xfId="26109"/>
    <cellStyle name="Normal 101 2 3 2" xfId="26110"/>
    <cellStyle name="Normal 101 2 4" xfId="26111"/>
    <cellStyle name="Normal 101 3" xfId="26112"/>
    <cellStyle name="Normal 101 3 2" xfId="26113"/>
    <cellStyle name="Normal 101 3 2 2" xfId="26114"/>
    <cellStyle name="Normal 101 3 3" xfId="26115"/>
    <cellStyle name="Normal 101 4" xfId="26116"/>
    <cellStyle name="Normal 101 4 2" xfId="26117"/>
    <cellStyle name="Normal 101 5" xfId="26118"/>
    <cellStyle name="Normal 102" xfId="17255"/>
    <cellStyle name="Normal 102 2" xfId="17256"/>
    <cellStyle name="Normal 102 2 2" xfId="26119"/>
    <cellStyle name="Normal 102 2 2 2" xfId="26120"/>
    <cellStyle name="Normal 102 2 2 2 2" xfId="26121"/>
    <cellStyle name="Normal 102 2 2 3" xfId="26122"/>
    <cellStyle name="Normal 102 2 3" xfId="26123"/>
    <cellStyle name="Normal 102 2 3 2" xfId="26124"/>
    <cellStyle name="Normal 102 2 4" xfId="26125"/>
    <cellStyle name="Normal 102 3" xfId="26126"/>
    <cellStyle name="Normal 102 3 2" xfId="26127"/>
    <cellStyle name="Normal 102 3 2 2" xfId="26128"/>
    <cellStyle name="Normal 102 3 3" xfId="26129"/>
    <cellStyle name="Normal 102 4" xfId="26130"/>
    <cellStyle name="Normal 102 4 2" xfId="26131"/>
    <cellStyle name="Normal 102 5" xfId="26132"/>
    <cellStyle name="Normal 103" xfId="17257"/>
    <cellStyle name="Normal 103 2" xfId="17258"/>
    <cellStyle name="Normal 103 2 2" xfId="26133"/>
    <cellStyle name="Normal 103 2 2 2" xfId="26134"/>
    <cellStyle name="Normal 103 2 2 2 2" xfId="26135"/>
    <cellStyle name="Normal 103 2 2 3" xfId="26136"/>
    <cellStyle name="Normal 103 2 3" xfId="26137"/>
    <cellStyle name="Normal 103 2 3 2" xfId="26138"/>
    <cellStyle name="Normal 103 2 4" xfId="26139"/>
    <cellStyle name="Normal 103 3" xfId="26140"/>
    <cellStyle name="Normal 103 3 2" xfId="26141"/>
    <cellStyle name="Normal 103 3 2 2" xfId="26142"/>
    <cellStyle name="Normal 103 3 3" xfId="26143"/>
    <cellStyle name="Normal 103 4" xfId="26144"/>
    <cellStyle name="Normal 103 4 2" xfId="26145"/>
    <cellStyle name="Normal 103 5" xfId="26146"/>
    <cellStyle name="Normal 104" xfId="17259"/>
    <cellStyle name="Normal 104 2" xfId="17260"/>
    <cellStyle name="Normal 104 2 2" xfId="26147"/>
    <cellStyle name="Normal 104 2 2 2" xfId="26148"/>
    <cellStyle name="Normal 104 2 2 2 2" xfId="26149"/>
    <cellStyle name="Normal 104 2 2 3" xfId="26150"/>
    <cellStyle name="Normal 104 2 3" xfId="26151"/>
    <cellStyle name="Normal 104 2 3 2" xfId="26152"/>
    <cellStyle name="Normal 104 2 4" xfId="26153"/>
    <cellStyle name="Normal 104 3" xfId="26154"/>
    <cellStyle name="Normal 104 3 2" xfId="26155"/>
    <cellStyle name="Normal 104 3 2 2" xfId="26156"/>
    <cellStyle name="Normal 104 3 3" xfId="26157"/>
    <cellStyle name="Normal 104 4" xfId="26158"/>
    <cellStyle name="Normal 104 4 2" xfId="26159"/>
    <cellStyle name="Normal 104 5" xfId="26160"/>
    <cellStyle name="Normal 105" xfId="17261"/>
    <cellStyle name="Normal 105 2" xfId="17262"/>
    <cellStyle name="Normal 105 2 2" xfId="26161"/>
    <cellStyle name="Normal 105 2 2 2" xfId="26162"/>
    <cellStyle name="Normal 105 2 2 2 2" xfId="26163"/>
    <cellStyle name="Normal 105 2 2 3" xfId="26164"/>
    <cellStyle name="Normal 105 2 3" xfId="26165"/>
    <cellStyle name="Normal 105 2 3 2" xfId="26166"/>
    <cellStyle name="Normal 105 2 4" xfId="26167"/>
    <cellStyle name="Normal 105 3" xfId="26168"/>
    <cellStyle name="Normal 105 3 2" xfId="26169"/>
    <cellStyle name="Normal 105 3 2 2" xfId="26170"/>
    <cellStyle name="Normal 105 3 3" xfId="26171"/>
    <cellStyle name="Normal 105 4" xfId="26172"/>
    <cellStyle name="Normal 105 4 2" xfId="26173"/>
    <cellStyle name="Normal 105 5" xfId="26174"/>
    <cellStyle name="Normal 106" xfId="17263"/>
    <cellStyle name="Normal 106 2" xfId="17264"/>
    <cellStyle name="Normal 106 2 2" xfId="26175"/>
    <cellStyle name="Normal 106 2 2 2" xfId="26176"/>
    <cellStyle name="Normal 106 2 2 2 2" xfId="26177"/>
    <cellStyle name="Normal 106 2 2 3" xfId="26178"/>
    <cellStyle name="Normal 106 2 3" xfId="26179"/>
    <cellStyle name="Normal 106 2 3 2" xfId="26180"/>
    <cellStyle name="Normal 106 2 4" xfId="26181"/>
    <cellStyle name="Normal 106 3" xfId="26182"/>
    <cellStyle name="Normal 106 3 2" xfId="26183"/>
    <cellStyle name="Normal 106 3 2 2" xfId="26184"/>
    <cellStyle name="Normal 106 3 3" xfId="26185"/>
    <cellStyle name="Normal 106 4" xfId="26186"/>
    <cellStyle name="Normal 106 4 2" xfId="26187"/>
    <cellStyle name="Normal 106 5" xfId="26188"/>
    <cellStyle name="Normal 107" xfId="17265"/>
    <cellStyle name="Normal 107 2" xfId="17266"/>
    <cellStyle name="Normal 107 2 2" xfId="26189"/>
    <cellStyle name="Normal 107 2 2 2" xfId="26190"/>
    <cellStyle name="Normal 107 2 2 2 2" xfId="26191"/>
    <cellStyle name="Normal 107 2 2 3" xfId="26192"/>
    <cellStyle name="Normal 107 2 3" xfId="26193"/>
    <cellStyle name="Normal 107 2 3 2" xfId="26194"/>
    <cellStyle name="Normal 107 2 4" xfId="26195"/>
    <cellStyle name="Normal 107 3" xfId="26196"/>
    <cellStyle name="Normal 107 3 2" xfId="26197"/>
    <cellStyle name="Normal 107 3 2 2" xfId="26198"/>
    <cellStyle name="Normal 107 3 3" xfId="26199"/>
    <cellStyle name="Normal 107 4" xfId="26200"/>
    <cellStyle name="Normal 107 4 2" xfId="26201"/>
    <cellStyle name="Normal 107 5" xfId="26202"/>
    <cellStyle name="Normal 108" xfId="17267"/>
    <cellStyle name="Normal 108 2" xfId="17268"/>
    <cellStyle name="Normal 108 2 2" xfId="26203"/>
    <cellStyle name="Normal 108 2 2 2" xfId="26204"/>
    <cellStyle name="Normal 108 2 2 2 2" xfId="26205"/>
    <cellStyle name="Normal 108 2 2 3" xfId="26206"/>
    <cellStyle name="Normal 108 2 3" xfId="26207"/>
    <cellStyle name="Normal 108 2 3 2" xfId="26208"/>
    <cellStyle name="Normal 108 2 4" xfId="26209"/>
    <cellStyle name="Normal 108 3" xfId="26210"/>
    <cellStyle name="Normal 108 3 2" xfId="26211"/>
    <cellStyle name="Normal 108 3 2 2" xfId="26212"/>
    <cellStyle name="Normal 108 3 3" xfId="26213"/>
    <cellStyle name="Normal 108 4" xfId="26214"/>
    <cellStyle name="Normal 108 4 2" xfId="26215"/>
    <cellStyle name="Normal 108 5" xfId="26216"/>
    <cellStyle name="Normal 109" xfId="16667"/>
    <cellStyle name="Normal 109 2" xfId="17269"/>
    <cellStyle name="Normal 109 2 2" xfId="26217"/>
    <cellStyle name="Normal 109 2 2 2" xfId="26218"/>
    <cellStyle name="Normal 109 2 2 2 2" xfId="26219"/>
    <cellStyle name="Normal 109 2 2 3" xfId="26220"/>
    <cellStyle name="Normal 109 2 3" xfId="26221"/>
    <cellStyle name="Normal 109 2 3 2" xfId="26222"/>
    <cellStyle name="Normal 109 2 4" xfId="26223"/>
    <cellStyle name="Normal 109 3" xfId="26224"/>
    <cellStyle name="Normal 109 3 2" xfId="26225"/>
    <cellStyle name="Normal 109 3 2 2" xfId="26226"/>
    <cellStyle name="Normal 109 3 3" xfId="26227"/>
    <cellStyle name="Normal 109 4" xfId="26228"/>
    <cellStyle name="Normal 109 4 2" xfId="26229"/>
    <cellStyle name="Normal 109 5" xfId="26230"/>
    <cellStyle name="Normal 11" xfId="65"/>
    <cellStyle name="Normal 11 10" xfId="26231"/>
    <cellStyle name="Normal 11 10 2" xfId="26232"/>
    <cellStyle name="Normal 11 11" xfId="26233"/>
    <cellStyle name="Normal 11 2" xfId="9546"/>
    <cellStyle name="Normal 11 2 2" xfId="17270"/>
    <cellStyle name="Normal 11 2 2 2" xfId="17271"/>
    <cellStyle name="Normal 11 2 2 2 2" xfId="17272"/>
    <cellStyle name="Normal 11 2 2 2 2 2" xfId="17273"/>
    <cellStyle name="Normal 11 2 2 2 2 2 2" xfId="26234"/>
    <cellStyle name="Normal 11 2 2 2 2 2 2 2" xfId="26235"/>
    <cellStyle name="Normal 11 2 2 2 2 2 2 2 2" xfId="26236"/>
    <cellStyle name="Normal 11 2 2 2 2 2 2 3" xfId="26237"/>
    <cellStyle name="Normal 11 2 2 2 2 2 3" xfId="26238"/>
    <cellStyle name="Normal 11 2 2 2 2 2 3 2" xfId="26239"/>
    <cellStyle name="Normal 11 2 2 2 2 2 4" xfId="26240"/>
    <cellStyle name="Normal 11 2 2 2 2 3" xfId="26241"/>
    <cellStyle name="Normal 11 2 2 2 2 3 2" xfId="26242"/>
    <cellStyle name="Normal 11 2 2 2 2 3 2 2" xfId="26243"/>
    <cellStyle name="Normal 11 2 2 2 2 3 3" xfId="26244"/>
    <cellStyle name="Normal 11 2 2 2 2 4" xfId="26245"/>
    <cellStyle name="Normal 11 2 2 2 2 4 2" xfId="26246"/>
    <cellStyle name="Normal 11 2 2 2 2 5" xfId="26247"/>
    <cellStyle name="Normal 11 2 2 2 3" xfId="17274"/>
    <cellStyle name="Normal 11 2 2 2 3 2" xfId="26248"/>
    <cellStyle name="Normal 11 2 2 2 3 2 2" xfId="26249"/>
    <cellStyle name="Normal 11 2 2 2 3 2 2 2" xfId="26250"/>
    <cellStyle name="Normal 11 2 2 2 3 2 3" xfId="26251"/>
    <cellStyle name="Normal 11 2 2 2 3 3" xfId="26252"/>
    <cellStyle name="Normal 11 2 2 2 3 3 2" xfId="26253"/>
    <cellStyle name="Normal 11 2 2 2 3 4" xfId="26254"/>
    <cellStyle name="Normal 11 2 2 2 4" xfId="26255"/>
    <cellStyle name="Normal 11 2 2 2 4 2" xfId="26256"/>
    <cellStyle name="Normal 11 2 2 2 4 2 2" xfId="26257"/>
    <cellStyle name="Normal 11 2 2 2 4 3" xfId="26258"/>
    <cellStyle name="Normal 11 2 2 2 5" xfId="26259"/>
    <cellStyle name="Normal 11 2 2 2 5 2" xfId="26260"/>
    <cellStyle name="Normal 11 2 2 2 6" xfId="26261"/>
    <cellStyle name="Normal 11 2 2 3" xfId="17275"/>
    <cellStyle name="Normal 11 2 2 3 2" xfId="17276"/>
    <cellStyle name="Normal 11 2 2 3 2 2" xfId="26262"/>
    <cellStyle name="Normal 11 2 2 3 2 2 2" xfId="26263"/>
    <cellStyle name="Normal 11 2 2 3 2 2 2 2" xfId="26264"/>
    <cellStyle name="Normal 11 2 2 3 2 2 3" xfId="26265"/>
    <cellStyle name="Normal 11 2 2 3 2 3" xfId="26266"/>
    <cellStyle name="Normal 11 2 2 3 2 3 2" xfId="26267"/>
    <cellStyle name="Normal 11 2 2 3 2 4" xfId="26268"/>
    <cellStyle name="Normal 11 2 2 3 3" xfId="26269"/>
    <cellStyle name="Normal 11 2 2 3 3 2" xfId="26270"/>
    <cellStyle name="Normal 11 2 2 3 3 2 2" xfId="26271"/>
    <cellStyle name="Normal 11 2 2 3 3 3" xfId="26272"/>
    <cellStyle name="Normal 11 2 2 3 4" xfId="26273"/>
    <cellStyle name="Normal 11 2 2 3 4 2" xfId="26274"/>
    <cellStyle name="Normal 11 2 2 3 5" xfId="26275"/>
    <cellStyle name="Normal 11 2 2 4" xfId="17277"/>
    <cellStyle name="Normal 11 2 2 4 2" xfId="26276"/>
    <cellStyle name="Normal 11 2 2 4 2 2" xfId="26277"/>
    <cellStyle name="Normal 11 2 2 4 2 2 2" xfId="26278"/>
    <cellStyle name="Normal 11 2 2 4 2 3" xfId="26279"/>
    <cellStyle name="Normal 11 2 2 4 3" xfId="26280"/>
    <cellStyle name="Normal 11 2 2 4 3 2" xfId="26281"/>
    <cellStyle name="Normal 11 2 2 4 4" xfId="26282"/>
    <cellStyle name="Normal 11 2 2 5" xfId="26283"/>
    <cellStyle name="Normal 11 2 2 5 2" xfId="26284"/>
    <cellStyle name="Normal 11 2 2 5 2 2" xfId="26285"/>
    <cellStyle name="Normal 11 2 2 5 3" xfId="26286"/>
    <cellStyle name="Normal 11 2 2 6" xfId="26287"/>
    <cellStyle name="Normal 11 2 2 6 2" xfId="26288"/>
    <cellStyle name="Normal 11 2 2 7" xfId="26289"/>
    <cellStyle name="Normal 11 2 3" xfId="17278"/>
    <cellStyle name="Normal 11 2 3 2" xfId="17279"/>
    <cellStyle name="Normal 11 2 3 2 2" xfId="17280"/>
    <cellStyle name="Normal 11 2 3 2 2 2" xfId="26290"/>
    <cellStyle name="Normal 11 2 3 2 2 2 2" xfId="26291"/>
    <cellStyle name="Normal 11 2 3 2 2 2 2 2" xfId="26292"/>
    <cellStyle name="Normal 11 2 3 2 2 2 3" xfId="26293"/>
    <cellStyle name="Normal 11 2 3 2 2 3" xfId="26294"/>
    <cellStyle name="Normal 11 2 3 2 2 3 2" xfId="26295"/>
    <cellStyle name="Normal 11 2 3 2 2 4" xfId="26296"/>
    <cellStyle name="Normal 11 2 3 2 3" xfId="26297"/>
    <cellStyle name="Normal 11 2 3 2 3 2" xfId="26298"/>
    <cellStyle name="Normal 11 2 3 2 3 2 2" xfId="26299"/>
    <cellStyle name="Normal 11 2 3 2 3 3" xfId="26300"/>
    <cellStyle name="Normal 11 2 3 2 4" xfId="26301"/>
    <cellStyle name="Normal 11 2 3 2 4 2" xfId="26302"/>
    <cellStyle name="Normal 11 2 3 2 5" xfId="26303"/>
    <cellStyle name="Normal 11 2 3 3" xfId="17281"/>
    <cellStyle name="Normal 11 2 3 3 2" xfId="26304"/>
    <cellStyle name="Normal 11 2 3 3 2 2" xfId="26305"/>
    <cellStyle name="Normal 11 2 3 3 2 2 2" xfId="26306"/>
    <cellStyle name="Normal 11 2 3 3 2 3" xfId="26307"/>
    <cellStyle name="Normal 11 2 3 3 3" xfId="26308"/>
    <cellStyle name="Normal 11 2 3 3 3 2" xfId="26309"/>
    <cellStyle name="Normal 11 2 3 3 4" xfId="26310"/>
    <cellStyle name="Normal 11 2 3 4" xfId="26311"/>
    <cellStyle name="Normal 11 2 3 4 2" xfId="26312"/>
    <cellStyle name="Normal 11 2 3 4 2 2" xfId="26313"/>
    <cellStyle name="Normal 11 2 3 4 3" xfId="26314"/>
    <cellStyle name="Normal 11 2 3 5" xfId="26315"/>
    <cellStyle name="Normal 11 2 3 5 2" xfId="26316"/>
    <cellStyle name="Normal 11 2 3 6" xfId="26317"/>
    <cellStyle name="Normal 11 2 4" xfId="17282"/>
    <cellStyle name="Normal 11 2 4 2" xfId="17283"/>
    <cellStyle name="Normal 11 2 4 2 2" xfId="26318"/>
    <cellStyle name="Normal 11 2 4 2 2 2" xfId="26319"/>
    <cellStyle name="Normal 11 2 4 2 2 2 2" xfId="26320"/>
    <cellStyle name="Normal 11 2 4 2 2 3" xfId="26321"/>
    <cellStyle name="Normal 11 2 4 2 3" xfId="26322"/>
    <cellStyle name="Normal 11 2 4 2 3 2" xfId="26323"/>
    <cellStyle name="Normal 11 2 4 2 4" xfId="26324"/>
    <cellStyle name="Normal 11 2 4 3" xfId="26325"/>
    <cellStyle name="Normal 11 2 4 3 2" xfId="26326"/>
    <cellStyle name="Normal 11 2 4 3 2 2" xfId="26327"/>
    <cellStyle name="Normal 11 2 4 3 3" xfId="26328"/>
    <cellStyle name="Normal 11 2 4 4" xfId="26329"/>
    <cellStyle name="Normal 11 2 4 4 2" xfId="26330"/>
    <cellStyle name="Normal 11 2 4 5" xfId="26331"/>
    <cellStyle name="Normal 11 2 5" xfId="17284"/>
    <cellStyle name="Normal 11 2 5 2" xfId="26332"/>
    <cellStyle name="Normal 11 2 5 2 2" xfId="26333"/>
    <cellStyle name="Normal 11 2 5 2 2 2" xfId="26334"/>
    <cellStyle name="Normal 11 2 5 2 3" xfId="26335"/>
    <cellStyle name="Normal 11 2 5 3" xfId="26336"/>
    <cellStyle name="Normal 11 2 5 3 2" xfId="26337"/>
    <cellStyle name="Normal 11 2 5 4" xfId="26338"/>
    <cellStyle name="Normal 11 2 6" xfId="26339"/>
    <cellStyle name="Normal 11 2 6 2" xfId="26340"/>
    <cellStyle name="Normal 11 2 6 2 2" xfId="26341"/>
    <cellStyle name="Normal 11 2 6 3" xfId="26342"/>
    <cellStyle name="Normal 11 2 7" xfId="26343"/>
    <cellStyle name="Normal 11 2 7 2" xfId="26344"/>
    <cellStyle name="Normal 11 2 8" xfId="26345"/>
    <cellStyle name="Normal 11 2 9" xfId="26346"/>
    <cellStyle name="Normal 11 3" xfId="9547"/>
    <cellStyle name="Normal 11 3 2" xfId="17285"/>
    <cellStyle name="Normal 11 3 2 2" xfId="17286"/>
    <cellStyle name="Normal 11 3 2 2 2" xfId="17287"/>
    <cellStyle name="Normal 11 3 2 2 2 2" xfId="17288"/>
    <cellStyle name="Normal 11 3 2 2 2 2 2" xfId="26347"/>
    <cellStyle name="Normal 11 3 2 2 2 2 2 2" xfId="26348"/>
    <cellStyle name="Normal 11 3 2 2 2 2 2 2 2" xfId="26349"/>
    <cellStyle name="Normal 11 3 2 2 2 2 2 3" xfId="26350"/>
    <cellStyle name="Normal 11 3 2 2 2 2 3" xfId="26351"/>
    <cellStyle name="Normal 11 3 2 2 2 2 3 2" xfId="26352"/>
    <cellStyle name="Normal 11 3 2 2 2 2 4" xfId="26353"/>
    <cellStyle name="Normal 11 3 2 2 2 3" xfId="26354"/>
    <cellStyle name="Normal 11 3 2 2 2 3 2" xfId="26355"/>
    <cellStyle name="Normal 11 3 2 2 2 3 2 2" xfId="26356"/>
    <cellStyle name="Normal 11 3 2 2 2 3 3" xfId="26357"/>
    <cellStyle name="Normal 11 3 2 2 2 4" xfId="26358"/>
    <cellStyle name="Normal 11 3 2 2 2 4 2" xfId="26359"/>
    <cellStyle name="Normal 11 3 2 2 2 5" xfId="26360"/>
    <cellStyle name="Normal 11 3 2 2 3" xfId="17289"/>
    <cellStyle name="Normal 11 3 2 2 3 2" xfId="26361"/>
    <cellStyle name="Normal 11 3 2 2 3 2 2" xfId="26362"/>
    <cellStyle name="Normal 11 3 2 2 3 2 2 2" xfId="26363"/>
    <cellStyle name="Normal 11 3 2 2 3 2 3" xfId="26364"/>
    <cellStyle name="Normal 11 3 2 2 3 3" xfId="26365"/>
    <cellStyle name="Normal 11 3 2 2 3 3 2" xfId="26366"/>
    <cellStyle name="Normal 11 3 2 2 3 4" xfId="26367"/>
    <cellStyle name="Normal 11 3 2 2 4" xfId="26368"/>
    <cellStyle name="Normal 11 3 2 2 4 2" xfId="26369"/>
    <cellStyle name="Normal 11 3 2 2 4 2 2" xfId="26370"/>
    <cellStyle name="Normal 11 3 2 2 4 3" xfId="26371"/>
    <cellStyle name="Normal 11 3 2 2 5" xfId="26372"/>
    <cellStyle name="Normal 11 3 2 2 5 2" xfId="26373"/>
    <cellStyle name="Normal 11 3 2 2 6" xfId="26374"/>
    <cellStyle name="Normal 11 3 2 3" xfId="17290"/>
    <cellStyle name="Normal 11 3 2 3 2" xfId="17291"/>
    <cellStyle name="Normal 11 3 2 3 2 2" xfId="26375"/>
    <cellStyle name="Normal 11 3 2 3 2 2 2" xfId="26376"/>
    <cellStyle name="Normal 11 3 2 3 2 2 2 2" xfId="26377"/>
    <cellStyle name="Normal 11 3 2 3 2 2 3" xfId="26378"/>
    <cellStyle name="Normal 11 3 2 3 2 3" xfId="26379"/>
    <cellStyle name="Normal 11 3 2 3 2 3 2" xfId="26380"/>
    <cellStyle name="Normal 11 3 2 3 2 4" xfId="26381"/>
    <cellStyle name="Normal 11 3 2 3 3" xfId="26382"/>
    <cellStyle name="Normal 11 3 2 3 3 2" xfId="26383"/>
    <cellStyle name="Normal 11 3 2 3 3 2 2" xfId="26384"/>
    <cellStyle name="Normal 11 3 2 3 3 3" xfId="26385"/>
    <cellStyle name="Normal 11 3 2 3 4" xfId="26386"/>
    <cellStyle name="Normal 11 3 2 3 4 2" xfId="26387"/>
    <cellStyle name="Normal 11 3 2 3 5" xfId="26388"/>
    <cellStyle name="Normal 11 3 2 4" xfId="17292"/>
    <cellStyle name="Normal 11 3 2 4 2" xfId="26389"/>
    <cellStyle name="Normal 11 3 2 4 2 2" xfId="26390"/>
    <cellStyle name="Normal 11 3 2 4 2 2 2" xfId="26391"/>
    <cellStyle name="Normal 11 3 2 4 2 3" xfId="26392"/>
    <cellStyle name="Normal 11 3 2 4 3" xfId="26393"/>
    <cellStyle name="Normal 11 3 2 4 3 2" xfId="26394"/>
    <cellStyle name="Normal 11 3 2 4 4" xfId="26395"/>
    <cellStyle name="Normal 11 3 2 5" xfId="26396"/>
    <cellStyle name="Normal 11 3 2 5 2" xfId="26397"/>
    <cellStyle name="Normal 11 3 2 5 2 2" xfId="26398"/>
    <cellStyle name="Normal 11 3 2 5 3" xfId="26399"/>
    <cellStyle name="Normal 11 3 2 6" xfId="26400"/>
    <cellStyle name="Normal 11 3 2 6 2" xfId="26401"/>
    <cellStyle name="Normal 11 3 2 7" xfId="26402"/>
    <cellStyle name="Normal 11 3 3" xfId="17293"/>
    <cellStyle name="Normal 11 3 3 2" xfId="17294"/>
    <cellStyle name="Normal 11 3 3 2 2" xfId="17295"/>
    <cellStyle name="Normal 11 3 3 2 2 2" xfId="26403"/>
    <cellStyle name="Normal 11 3 3 2 2 2 2" xfId="26404"/>
    <cellStyle name="Normal 11 3 3 2 2 2 2 2" xfId="26405"/>
    <cellStyle name="Normal 11 3 3 2 2 2 3" xfId="26406"/>
    <cellStyle name="Normal 11 3 3 2 2 3" xfId="26407"/>
    <cellStyle name="Normal 11 3 3 2 2 3 2" xfId="26408"/>
    <cellStyle name="Normal 11 3 3 2 2 4" xfId="26409"/>
    <cellStyle name="Normal 11 3 3 2 3" xfId="26410"/>
    <cellStyle name="Normal 11 3 3 2 3 2" xfId="26411"/>
    <cellStyle name="Normal 11 3 3 2 3 2 2" xfId="26412"/>
    <cellStyle name="Normal 11 3 3 2 3 3" xfId="26413"/>
    <cellStyle name="Normal 11 3 3 2 4" xfId="26414"/>
    <cellStyle name="Normal 11 3 3 2 4 2" xfId="26415"/>
    <cellStyle name="Normal 11 3 3 2 5" xfId="26416"/>
    <cellStyle name="Normal 11 3 3 3" xfId="17296"/>
    <cellStyle name="Normal 11 3 3 3 2" xfId="26417"/>
    <cellStyle name="Normal 11 3 3 3 2 2" xfId="26418"/>
    <cellStyle name="Normal 11 3 3 3 2 2 2" xfId="26419"/>
    <cellStyle name="Normal 11 3 3 3 2 3" xfId="26420"/>
    <cellStyle name="Normal 11 3 3 3 3" xfId="26421"/>
    <cellStyle name="Normal 11 3 3 3 3 2" xfId="26422"/>
    <cellStyle name="Normal 11 3 3 3 4" xfId="26423"/>
    <cellStyle name="Normal 11 3 3 4" xfId="26424"/>
    <cellStyle name="Normal 11 3 3 4 2" xfId="26425"/>
    <cellStyle name="Normal 11 3 3 4 2 2" xfId="26426"/>
    <cellStyle name="Normal 11 3 3 4 3" xfId="26427"/>
    <cellStyle name="Normal 11 3 3 5" xfId="26428"/>
    <cellStyle name="Normal 11 3 3 5 2" xfId="26429"/>
    <cellStyle name="Normal 11 3 3 6" xfId="26430"/>
    <cellStyle name="Normal 11 3 4" xfId="17297"/>
    <cellStyle name="Normal 11 3 4 2" xfId="17298"/>
    <cellStyle name="Normal 11 3 4 2 2" xfId="26431"/>
    <cellStyle name="Normal 11 3 4 2 2 2" xfId="26432"/>
    <cellStyle name="Normal 11 3 4 2 2 2 2" xfId="26433"/>
    <cellStyle name="Normal 11 3 4 2 2 3" xfId="26434"/>
    <cellStyle name="Normal 11 3 4 2 3" xfId="26435"/>
    <cellStyle name="Normal 11 3 4 2 3 2" xfId="26436"/>
    <cellStyle name="Normal 11 3 4 2 4" xfId="26437"/>
    <cellStyle name="Normal 11 3 4 3" xfId="26438"/>
    <cellStyle name="Normal 11 3 4 3 2" xfId="26439"/>
    <cellStyle name="Normal 11 3 4 3 2 2" xfId="26440"/>
    <cellStyle name="Normal 11 3 4 3 3" xfId="26441"/>
    <cellStyle name="Normal 11 3 4 4" xfId="26442"/>
    <cellStyle name="Normal 11 3 4 4 2" xfId="26443"/>
    <cellStyle name="Normal 11 3 4 5" xfId="26444"/>
    <cellStyle name="Normal 11 3 5" xfId="17299"/>
    <cellStyle name="Normal 11 3 5 2" xfId="26445"/>
    <cellStyle name="Normal 11 3 5 2 2" xfId="26446"/>
    <cellStyle name="Normal 11 3 5 2 2 2" xfId="26447"/>
    <cellStyle name="Normal 11 3 5 2 3" xfId="26448"/>
    <cellStyle name="Normal 11 3 5 3" xfId="26449"/>
    <cellStyle name="Normal 11 3 5 3 2" xfId="26450"/>
    <cellStyle name="Normal 11 3 5 4" xfId="26451"/>
    <cellStyle name="Normal 11 3 6" xfId="26452"/>
    <cellStyle name="Normal 11 3 6 2" xfId="26453"/>
    <cellStyle name="Normal 11 3 6 2 2" xfId="26454"/>
    <cellStyle name="Normal 11 3 6 3" xfId="26455"/>
    <cellStyle name="Normal 11 3 7" xfId="26456"/>
    <cellStyle name="Normal 11 3 7 2" xfId="26457"/>
    <cellStyle name="Normal 11 3 8" xfId="26458"/>
    <cellStyle name="Normal 11 4" xfId="9548"/>
    <cellStyle name="Normal 11 4 2" xfId="17300"/>
    <cellStyle name="Normal 11 4 2 2" xfId="17301"/>
    <cellStyle name="Normal 11 4 2 2 2" xfId="17302"/>
    <cellStyle name="Normal 11 4 2 2 2 2" xfId="26459"/>
    <cellStyle name="Normal 11 4 2 2 2 2 2" xfId="26460"/>
    <cellStyle name="Normal 11 4 2 2 2 2 2 2" xfId="26461"/>
    <cellStyle name="Normal 11 4 2 2 2 2 3" xfId="26462"/>
    <cellStyle name="Normal 11 4 2 2 2 3" xfId="26463"/>
    <cellStyle name="Normal 11 4 2 2 2 3 2" xfId="26464"/>
    <cellStyle name="Normal 11 4 2 2 2 4" xfId="26465"/>
    <cellStyle name="Normal 11 4 2 2 3" xfId="26466"/>
    <cellStyle name="Normal 11 4 2 2 3 2" xfId="26467"/>
    <cellStyle name="Normal 11 4 2 2 3 2 2" xfId="26468"/>
    <cellStyle name="Normal 11 4 2 2 3 3" xfId="26469"/>
    <cellStyle name="Normal 11 4 2 2 4" xfId="26470"/>
    <cellStyle name="Normal 11 4 2 2 4 2" xfId="26471"/>
    <cellStyle name="Normal 11 4 2 2 5" xfId="26472"/>
    <cellStyle name="Normal 11 4 2 3" xfId="17303"/>
    <cellStyle name="Normal 11 4 2 3 2" xfId="26473"/>
    <cellStyle name="Normal 11 4 2 3 2 2" xfId="26474"/>
    <cellStyle name="Normal 11 4 2 3 2 2 2" xfId="26475"/>
    <cellStyle name="Normal 11 4 2 3 2 3" xfId="26476"/>
    <cellStyle name="Normal 11 4 2 3 3" xfId="26477"/>
    <cellStyle name="Normal 11 4 2 3 3 2" xfId="26478"/>
    <cellStyle name="Normal 11 4 2 3 4" xfId="26479"/>
    <cellStyle name="Normal 11 4 2 4" xfId="26480"/>
    <cellStyle name="Normal 11 4 2 4 2" xfId="26481"/>
    <cellStyle name="Normal 11 4 2 4 2 2" xfId="26482"/>
    <cellStyle name="Normal 11 4 2 4 3" xfId="26483"/>
    <cellStyle name="Normal 11 4 2 5" xfId="26484"/>
    <cellStyle name="Normal 11 4 2 5 2" xfId="26485"/>
    <cellStyle name="Normal 11 4 2 6" xfId="26486"/>
    <cellStyle name="Normal 11 4 3" xfId="17304"/>
    <cellStyle name="Normal 11 4 3 2" xfId="17305"/>
    <cellStyle name="Normal 11 4 3 2 2" xfId="26487"/>
    <cellStyle name="Normal 11 4 3 2 2 2" xfId="26488"/>
    <cellStyle name="Normal 11 4 3 2 2 2 2" xfId="26489"/>
    <cellStyle name="Normal 11 4 3 2 2 3" xfId="26490"/>
    <cellStyle name="Normal 11 4 3 2 3" xfId="26491"/>
    <cellStyle name="Normal 11 4 3 2 3 2" xfId="26492"/>
    <cellStyle name="Normal 11 4 3 2 4" xfId="26493"/>
    <cellStyle name="Normal 11 4 3 3" xfId="26494"/>
    <cellStyle name="Normal 11 4 3 3 2" xfId="26495"/>
    <cellStyle name="Normal 11 4 3 3 2 2" xfId="26496"/>
    <cellStyle name="Normal 11 4 3 3 3" xfId="26497"/>
    <cellStyle name="Normal 11 4 3 4" xfId="26498"/>
    <cellStyle name="Normal 11 4 3 4 2" xfId="26499"/>
    <cellStyle name="Normal 11 4 3 5" xfId="26500"/>
    <cellStyle name="Normal 11 4 4" xfId="17306"/>
    <cellStyle name="Normal 11 4 4 2" xfId="26501"/>
    <cellStyle name="Normal 11 4 4 2 2" xfId="26502"/>
    <cellStyle name="Normal 11 4 4 2 2 2" xfId="26503"/>
    <cellStyle name="Normal 11 4 4 2 3" xfId="26504"/>
    <cellStyle name="Normal 11 4 4 3" xfId="26505"/>
    <cellStyle name="Normal 11 4 4 3 2" xfId="26506"/>
    <cellStyle name="Normal 11 4 4 4" xfId="26507"/>
    <cellStyle name="Normal 11 4 5" xfId="26508"/>
    <cellStyle name="Normal 11 4 5 2" xfId="26509"/>
    <cellStyle name="Normal 11 4 5 2 2" xfId="26510"/>
    <cellStyle name="Normal 11 4 5 3" xfId="26511"/>
    <cellStyle name="Normal 11 4 6" xfId="26512"/>
    <cellStyle name="Normal 11 4 6 2" xfId="26513"/>
    <cellStyle name="Normal 11 4 7" xfId="26514"/>
    <cellStyle name="Normal 11 5" xfId="17307"/>
    <cellStyle name="Normal 11 5 2" xfId="17308"/>
    <cellStyle name="Normal 11 5 2 2" xfId="17309"/>
    <cellStyle name="Normal 11 5 2 2 2" xfId="26515"/>
    <cellStyle name="Normal 11 5 2 2 2 2" xfId="26516"/>
    <cellStyle name="Normal 11 5 2 2 2 2 2" xfId="26517"/>
    <cellStyle name="Normal 11 5 2 2 2 3" xfId="26518"/>
    <cellStyle name="Normal 11 5 2 2 3" xfId="26519"/>
    <cellStyle name="Normal 11 5 2 2 3 2" xfId="26520"/>
    <cellStyle name="Normal 11 5 2 2 4" xfId="26521"/>
    <cellStyle name="Normal 11 5 2 3" xfId="26522"/>
    <cellStyle name="Normal 11 5 2 3 2" xfId="26523"/>
    <cellStyle name="Normal 11 5 2 3 2 2" xfId="26524"/>
    <cellStyle name="Normal 11 5 2 3 3" xfId="26525"/>
    <cellStyle name="Normal 11 5 2 4" xfId="26526"/>
    <cellStyle name="Normal 11 5 2 4 2" xfId="26527"/>
    <cellStyle name="Normal 11 5 2 5" xfId="26528"/>
    <cellStyle name="Normal 11 5 3" xfId="17310"/>
    <cellStyle name="Normal 11 5 3 2" xfId="26529"/>
    <cellStyle name="Normal 11 5 3 2 2" xfId="26530"/>
    <cellStyle name="Normal 11 5 3 2 2 2" xfId="26531"/>
    <cellStyle name="Normal 11 5 3 2 3" xfId="26532"/>
    <cellStyle name="Normal 11 5 3 3" xfId="26533"/>
    <cellStyle name="Normal 11 5 3 3 2" xfId="26534"/>
    <cellStyle name="Normal 11 5 3 4" xfId="26535"/>
    <cellStyle name="Normal 11 5 4" xfId="26536"/>
    <cellStyle name="Normal 11 5 4 2" xfId="26537"/>
    <cellStyle name="Normal 11 5 4 2 2" xfId="26538"/>
    <cellStyle name="Normal 11 5 4 3" xfId="26539"/>
    <cellStyle name="Normal 11 5 5" xfId="26540"/>
    <cellStyle name="Normal 11 5 5 2" xfId="26541"/>
    <cellStyle name="Normal 11 5 6" xfId="26542"/>
    <cellStyle name="Normal 11 6" xfId="17311"/>
    <cellStyle name="Normal 11 6 2" xfId="17312"/>
    <cellStyle name="Normal 11 6 2 2" xfId="26543"/>
    <cellStyle name="Normal 11 6 2 2 2" xfId="26544"/>
    <cellStyle name="Normal 11 6 2 2 2 2" xfId="26545"/>
    <cellStyle name="Normal 11 6 2 2 3" xfId="26546"/>
    <cellStyle name="Normal 11 6 2 3" xfId="26547"/>
    <cellStyle name="Normal 11 6 2 3 2" xfId="26548"/>
    <cellStyle name="Normal 11 6 2 4" xfId="26549"/>
    <cellStyle name="Normal 11 6 3" xfId="26550"/>
    <cellStyle name="Normal 11 6 3 2" xfId="26551"/>
    <cellStyle name="Normal 11 6 3 2 2" xfId="26552"/>
    <cellStyle name="Normal 11 6 3 3" xfId="26553"/>
    <cellStyle name="Normal 11 6 4" xfId="26554"/>
    <cellStyle name="Normal 11 6 4 2" xfId="26555"/>
    <cellStyle name="Normal 11 6 5" xfId="26556"/>
    <cellStyle name="Normal 11 7" xfId="17313"/>
    <cellStyle name="Normal 11 7 2" xfId="26557"/>
    <cellStyle name="Normal 11 7 2 2" xfId="26558"/>
    <cellStyle name="Normal 11 7 2 2 2" xfId="26559"/>
    <cellStyle name="Normal 11 7 2 3" xfId="26560"/>
    <cellStyle name="Normal 11 7 3" xfId="26561"/>
    <cellStyle name="Normal 11 7 3 2" xfId="26562"/>
    <cellStyle name="Normal 11 7 4" xfId="26563"/>
    <cellStyle name="Normal 11 8" xfId="17314"/>
    <cellStyle name="Normal 11 9" xfId="26564"/>
    <cellStyle name="Normal 11 9 2" xfId="26565"/>
    <cellStyle name="Normal 11 9 2 2" xfId="26566"/>
    <cellStyle name="Normal 11 9 3" xfId="26567"/>
    <cellStyle name="Normal 110" xfId="17315"/>
    <cellStyle name="Normal 110 2" xfId="17316"/>
    <cellStyle name="Normal 110 2 2" xfId="26568"/>
    <cellStyle name="Normal 110 2 2 2" xfId="26569"/>
    <cellStyle name="Normal 110 2 2 2 2" xfId="26570"/>
    <cellStyle name="Normal 110 2 2 3" xfId="26571"/>
    <cellStyle name="Normal 110 2 3" xfId="26572"/>
    <cellStyle name="Normal 110 2 3 2" xfId="26573"/>
    <cellStyle name="Normal 110 2 4" xfId="26574"/>
    <cellStyle name="Normal 110 3" xfId="26575"/>
    <cellStyle name="Normal 110 3 2" xfId="26576"/>
    <cellStyle name="Normal 110 3 2 2" xfId="26577"/>
    <cellStyle name="Normal 110 3 3" xfId="26578"/>
    <cellStyle name="Normal 110 4" xfId="26579"/>
    <cellStyle name="Normal 110 4 2" xfId="26580"/>
    <cellStyle name="Normal 110 5" xfId="26581"/>
    <cellStyle name="Normal 111" xfId="17317"/>
    <cellStyle name="Normal 111 2" xfId="17318"/>
    <cellStyle name="Normal 111 2 2" xfId="26582"/>
    <cellStyle name="Normal 111 2 2 2" xfId="26583"/>
    <cellStyle name="Normal 111 2 2 2 2" xfId="26584"/>
    <cellStyle name="Normal 111 2 2 3" xfId="26585"/>
    <cellStyle name="Normal 111 2 3" xfId="26586"/>
    <cellStyle name="Normal 111 2 3 2" xfId="26587"/>
    <cellStyle name="Normal 111 2 4" xfId="26588"/>
    <cellStyle name="Normal 111 3" xfId="26589"/>
    <cellStyle name="Normal 111 3 2" xfId="26590"/>
    <cellStyle name="Normal 111 3 2 2" xfId="26591"/>
    <cellStyle name="Normal 111 3 3" xfId="26592"/>
    <cellStyle name="Normal 111 4" xfId="26593"/>
    <cellStyle name="Normal 111 4 2" xfId="26594"/>
    <cellStyle name="Normal 111 5" xfId="26595"/>
    <cellStyle name="Normal 112" xfId="17319"/>
    <cellStyle name="Normal 112 2" xfId="17320"/>
    <cellStyle name="Normal 112 2 2" xfId="26596"/>
    <cellStyle name="Normal 112 2 2 2" xfId="26597"/>
    <cellStyle name="Normal 112 2 2 2 2" xfId="26598"/>
    <cellStyle name="Normal 112 2 2 3" xfId="26599"/>
    <cellStyle name="Normal 112 2 3" xfId="26600"/>
    <cellStyle name="Normal 112 2 3 2" xfId="26601"/>
    <cellStyle name="Normal 112 2 4" xfId="26602"/>
    <cellStyle name="Normal 112 3" xfId="26603"/>
    <cellStyle name="Normal 112 3 2" xfId="26604"/>
    <cellStyle name="Normal 112 3 2 2" xfId="26605"/>
    <cellStyle name="Normal 112 3 3" xfId="26606"/>
    <cellStyle name="Normal 112 4" xfId="26607"/>
    <cellStyle name="Normal 112 4 2" xfId="26608"/>
    <cellStyle name="Normal 112 5" xfId="26609"/>
    <cellStyle name="Normal 113" xfId="17321"/>
    <cellStyle name="Normal 113 2" xfId="17322"/>
    <cellStyle name="Normal 113 2 2" xfId="26610"/>
    <cellStyle name="Normal 113 2 2 2" xfId="26611"/>
    <cellStyle name="Normal 113 2 2 2 2" xfId="26612"/>
    <cellStyle name="Normal 113 2 2 3" xfId="26613"/>
    <cellStyle name="Normal 113 2 3" xfId="26614"/>
    <cellStyle name="Normal 113 2 3 2" xfId="26615"/>
    <cellStyle name="Normal 113 2 4" xfId="26616"/>
    <cellStyle name="Normal 113 3" xfId="26617"/>
    <cellStyle name="Normal 113 3 2" xfId="26618"/>
    <cellStyle name="Normal 113 3 2 2" xfId="26619"/>
    <cellStyle name="Normal 113 3 3" xfId="26620"/>
    <cellStyle name="Normal 113 4" xfId="26621"/>
    <cellStyle name="Normal 113 4 2" xfId="26622"/>
    <cellStyle name="Normal 113 5" xfId="26623"/>
    <cellStyle name="Normal 114" xfId="17323"/>
    <cellStyle name="Normal 114 2" xfId="17324"/>
    <cellStyle name="Normal 114 2 2" xfId="26624"/>
    <cellStyle name="Normal 114 2 2 2" xfId="26625"/>
    <cellStyle name="Normal 114 2 2 2 2" xfId="26626"/>
    <cellStyle name="Normal 114 2 2 3" xfId="26627"/>
    <cellStyle name="Normal 114 2 3" xfId="26628"/>
    <cellStyle name="Normal 114 2 3 2" xfId="26629"/>
    <cellStyle name="Normal 114 2 4" xfId="26630"/>
    <cellStyle name="Normal 114 3" xfId="26631"/>
    <cellStyle name="Normal 114 3 2" xfId="26632"/>
    <cellStyle name="Normal 114 3 2 2" xfId="26633"/>
    <cellStyle name="Normal 114 3 3" xfId="26634"/>
    <cellStyle name="Normal 114 4" xfId="26635"/>
    <cellStyle name="Normal 114 4 2" xfId="26636"/>
    <cellStyle name="Normal 114 5" xfId="26637"/>
    <cellStyle name="Normal 115" xfId="17325"/>
    <cellStyle name="Normal 116" xfId="17326"/>
    <cellStyle name="Normal 116 2" xfId="17327"/>
    <cellStyle name="Normal 116 2 2" xfId="26638"/>
    <cellStyle name="Normal 116 2 2 2" xfId="26639"/>
    <cellStyle name="Normal 116 2 2 2 2" xfId="26640"/>
    <cellStyle name="Normal 116 2 2 3" xfId="26641"/>
    <cellStyle name="Normal 116 2 3" xfId="26642"/>
    <cellStyle name="Normal 116 2 3 2" xfId="26643"/>
    <cellStyle name="Normal 116 2 4" xfId="26644"/>
    <cellStyle name="Normal 116 3" xfId="26645"/>
    <cellStyle name="Normal 116 3 2" xfId="26646"/>
    <cellStyle name="Normal 116 3 2 2" xfId="26647"/>
    <cellStyle name="Normal 116 3 3" xfId="26648"/>
    <cellStyle name="Normal 116 4" xfId="26649"/>
    <cellStyle name="Normal 116 4 2" xfId="26650"/>
    <cellStyle name="Normal 116 5" xfId="26651"/>
    <cellStyle name="Normal 117" xfId="17328"/>
    <cellStyle name="Normal 117 2" xfId="17329"/>
    <cellStyle name="Normal 117 2 2" xfId="26652"/>
    <cellStyle name="Normal 117 2 2 2" xfId="26653"/>
    <cellStyle name="Normal 117 2 2 2 2" xfId="26654"/>
    <cellStyle name="Normal 117 2 2 3" xfId="26655"/>
    <cellStyle name="Normal 117 2 3" xfId="26656"/>
    <cellStyle name="Normal 117 2 3 2" xfId="26657"/>
    <cellStyle name="Normal 117 2 4" xfId="26658"/>
    <cellStyle name="Normal 117 3" xfId="26659"/>
    <cellStyle name="Normal 117 3 2" xfId="26660"/>
    <cellStyle name="Normal 117 3 2 2" xfId="26661"/>
    <cellStyle name="Normal 117 3 3" xfId="26662"/>
    <cellStyle name="Normal 117 4" xfId="26663"/>
    <cellStyle name="Normal 117 4 2" xfId="26664"/>
    <cellStyle name="Normal 117 5" xfId="26665"/>
    <cellStyle name="Normal 118" xfId="17330"/>
    <cellStyle name="Normal 118 2" xfId="17331"/>
    <cellStyle name="Normal 118 2 2" xfId="26666"/>
    <cellStyle name="Normal 118 2 2 2" xfId="26667"/>
    <cellStyle name="Normal 118 2 2 2 2" xfId="26668"/>
    <cellStyle name="Normal 118 2 2 3" xfId="26669"/>
    <cellStyle name="Normal 118 2 3" xfId="26670"/>
    <cellStyle name="Normal 118 2 3 2" xfId="26671"/>
    <cellStyle name="Normal 118 2 4" xfId="26672"/>
    <cellStyle name="Normal 118 3" xfId="26673"/>
    <cellStyle name="Normal 118 3 2" xfId="26674"/>
    <cellStyle name="Normal 118 3 2 2" xfId="26675"/>
    <cellStyle name="Normal 118 3 3" xfId="26676"/>
    <cellStyle name="Normal 118 4" xfId="26677"/>
    <cellStyle name="Normal 118 4 2" xfId="26678"/>
    <cellStyle name="Normal 118 5" xfId="26679"/>
    <cellStyle name="Normal 119" xfId="17332"/>
    <cellStyle name="Normal 119 2" xfId="17333"/>
    <cellStyle name="Normal 119 2 2" xfId="26680"/>
    <cellStyle name="Normal 119 2 2 2" xfId="26681"/>
    <cellStyle name="Normal 119 2 2 2 2" xfId="26682"/>
    <cellStyle name="Normal 119 2 2 3" xfId="26683"/>
    <cellStyle name="Normal 119 2 3" xfId="26684"/>
    <cellStyle name="Normal 119 2 3 2" xfId="26685"/>
    <cellStyle name="Normal 119 2 4" xfId="26686"/>
    <cellStyle name="Normal 119 3" xfId="26687"/>
    <cellStyle name="Normal 119 3 2" xfId="26688"/>
    <cellStyle name="Normal 119 3 2 2" xfId="26689"/>
    <cellStyle name="Normal 119 3 3" xfId="26690"/>
    <cellStyle name="Normal 119 4" xfId="26691"/>
    <cellStyle name="Normal 119 4 2" xfId="26692"/>
    <cellStyle name="Normal 119 5" xfId="26693"/>
    <cellStyle name="Normal 12" xfId="66"/>
    <cellStyle name="Normal 12 10" xfId="26694"/>
    <cellStyle name="Normal 12 10 2" xfId="26695"/>
    <cellStyle name="Normal 12 11" xfId="26696"/>
    <cellStyle name="Normal 12 12" xfId="26697"/>
    <cellStyle name="Normal 12 2" xfId="9549"/>
    <cellStyle name="Normal 12 2 2" xfId="9550"/>
    <cellStyle name="Normal 12 2 2 2" xfId="9551"/>
    <cellStyle name="Normal 12 2 2 2 2" xfId="9552"/>
    <cellStyle name="Normal 12 2 2 2 2 2" xfId="17334"/>
    <cellStyle name="Normal 12 2 2 2 2 2 2" xfId="26698"/>
    <cellStyle name="Normal 12 2 2 2 2 2 2 2" xfId="26699"/>
    <cellStyle name="Normal 12 2 2 2 2 2 2 2 2" xfId="26700"/>
    <cellStyle name="Normal 12 2 2 2 2 2 2 3" xfId="26701"/>
    <cellStyle name="Normal 12 2 2 2 2 2 3" xfId="26702"/>
    <cellStyle name="Normal 12 2 2 2 2 2 3 2" xfId="26703"/>
    <cellStyle name="Normal 12 2 2 2 2 2 4" xfId="26704"/>
    <cellStyle name="Normal 12 2 2 2 2 3" xfId="26705"/>
    <cellStyle name="Normal 12 2 2 2 2 3 2" xfId="26706"/>
    <cellStyle name="Normal 12 2 2 2 2 3 2 2" xfId="26707"/>
    <cellStyle name="Normal 12 2 2 2 2 3 3" xfId="26708"/>
    <cellStyle name="Normal 12 2 2 2 2 4" xfId="26709"/>
    <cellStyle name="Normal 12 2 2 2 2 4 2" xfId="26710"/>
    <cellStyle name="Normal 12 2 2 2 2 5" xfId="26711"/>
    <cellStyle name="Normal 12 2 2 2 3" xfId="9553"/>
    <cellStyle name="Normal 12 2 2 2 3 2" xfId="26712"/>
    <cellStyle name="Normal 12 2 2 2 3 2 2" xfId="26713"/>
    <cellStyle name="Normal 12 2 2 2 3 2 2 2" xfId="26714"/>
    <cellStyle name="Normal 12 2 2 2 3 2 3" xfId="26715"/>
    <cellStyle name="Normal 12 2 2 2 3 3" xfId="26716"/>
    <cellStyle name="Normal 12 2 2 2 3 3 2" xfId="26717"/>
    <cellStyle name="Normal 12 2 2 2 3 4" xfId="26718"/>
    <cellStyle name="Normal 12 2 2 2 4" xfId="9554"/>
    <cellStyle name="Normal 12 2 2 2 4 2" xfId="26719"/>
    <cellStyle name="Normal 12 2 2 2 4 2 2" xfId="26720"/>
    <cellStyle name="Normal 12 2 2 2 4 3" xfId="26721"/>
    <cellStyle name="Normal 12 2 2 2 5" xfId="26722"/>
    <cellStyle name="Normal 12 2 2 2 5 2" xfId="26723"/>
    <cellStyle name="Normal 12 2 2 2 6" xfId="26724"/>
    <cellStyle name="Normal 12 2 2 3" xfId="9555"/>
    <cellStyle name="Normal 12 2 2 3 2" xfId="9556"/>
    <cellStyle name="Normal 12 2 2 3 2 2" xfId="26725"/>
    <cellStyle name="Normal 12 2 2 3 2 2 2" xfId="26726"/>
    <cellStyle name="Normal 12 2 2 3 2 2 2 2" xfId="26727"/>
    <cellStyle name="Normal 12 2 2 3 2 2 3" xfId="26728"/>
    <cellStyle name="Normal 12 2 2 3 2 3" xfId="26729"/>
    <cellStyle name="Normal 12 2 2 3 2 3 2" xfId="26730"/>
    <cellStyle name="Normal 12 2 2 3 2 4" xfId="26731"/>
    <cellStyle name="Normal 12 2 2 3 3" xfId="9557"/>
    <cellStyle name="Normal 12 2 2 3 3 2" xfId="26732"/>
    <cellStyle name="Normal 12 2 2 3 3 2 2" xfId="26733"/>
    <cellStyle name="Normal 12 2 2 3 3 3" xfId="26734"/>
    <cellStyle name="Normal 12 2 2 3 4" xfId="9558"/>
    <cellStyle name="Normal 12 2 2 3 4 2" xfId="26735"/>
    <cellStyle name="Normal 12 2 2 3 5" xfId="26736"/>
    <cellStyle name="Normal 12 2 2 4" xfId="9559"/>
    <cellStyle name="Normal 12 2 2 4 2" xfId="26737"/>
    <cellStyle name="Normal 12 2 2 4 2 2" xfId="26738"/>
    <cellStyle name="Normal 12 2 2 4 2 2 2" xfId="26739"/>
    <cellStyle name="Normal 12 2 2 4 2 3" xfId="26740"/>
    <cellStyle name="Normal 12 2 2 4 3" xfId="26741"/>
    <cellStyle name="Normal 12 2 2 4 3 2" xfId="26742"/>
    <cellStyle name="Normal 12 2 2 4 4" xfId="26743"/>
    <cellStyle name="Normal 12 2 2 5" xfId="9560"/>
    <cellStyle name="Normal 12 2 2 5 2" xfId="26744"/>
    <cellStyle name="Normal 12 2 2 5 2 2" xfId="26745"/>
    <cellStyle name="Normal 12 2 2 5 3" xfId="26746"/>
    <cellStyle name="Normal 12 2 2 6" xfId="9561"/>
    <cellStyle name="Normal 12 2 2 6 2" xfId="26747"/>
    <cellStyle name="Normal 12 2 2 7" xfId="26748"/>
    <cellStyle name="Normal 12 2 3" xfId="9562"/>
    <cellStyle name="Normal 12 2 3 2" xfId="9563"/>
    <cellStyle name="Normal 12 2 3 2 2" xfId="17335"/>
    <cellStyle name="Normal 12 2 3 2 2 2" xfId="26749"/>
    <cellStyle name="Normal 12 2 3 2 2 2 2" xfId="26750"/>
    <cellStyle name="Normal 12 2 3 2 2 2 2 2" xfId="26751"/>
    <cellStyle name="Normal 12 2 3 2 2 2 3" xfId="26752"/>
    <cellStyle name="Normal 12 2 3 2 2 3" xfId="26753"/>
    <cellStyle name="Normal 12 2 3 2 2 3 2" xfId="26754"/>
    <cellStyle name="Normal 12 2 3 2 2 4" xfId="26755"/>
    <cellStyle name="Normal 12 2 3 2 3" xfId="26756"/>
    <cellStyle name="Normal 12 2 3 2 3 2" xfId="26757"/>
    <cellStyle name="Normal 12 2 3 2 3 2 2" xfId="26758"/>
    <cellStyle name="Normal 12 2 3 2 3 3" xfId="26759"/>
    <cellStyle name="Normal 12 2 3 2 4" xfId="26760"/>
    <cellStyle name="Normal 12 2 3 2 4 2" xfId="26761"/>
    <cellStyle name="Normal 12 2 3 2 5" xfId="26762"/>
    <cellStyle name="Normal 12 2 3 3" xfId="9564"/>
    <cellStyle name="Normal 12 2 3 3 2" xfId="26763"/>
    <cellStyle name="Normal 12 2 3 3 2 2" xfId="26764"/>
    <cellStyle name="Normal 12 2 3 3 2 2 2" xfId="26765"/>
    <cellStyle name="Normal 12 2 3 3 2 3" xfId="26766"/>
    <cellStyle name="Normal 12 2 3 3 3" xfId="26767"/>
    <cellStyle name="Normal 12 2 3 3 3 2" xfId="26768"/>
    <cellStyle name="Normal 12 2 3 3 4" xfId="26769"/>
    <cellStyle name="Normal 12 2 3 4" xfId="9565"/>
    <cellStyle name="Normal 12 2 3 4 2" xfId="26770"/>
    <cellStyle name="Normal 12 2 3 4 2 2" xfId="26771"/>
    <cellStyle name="Normal 12 2 3 4 3" xfId="26772"/>
    <cellStyle name="Normal 12 2 3 5" xfId="26773"/>
    <cellStyle name="Normal 12 2 3 5 2" xfId="26774"/>
    <cellStyle name="Normal 12 2 3 6" xfId="26775"/>
    <cellStyle name="Normal 12 2 4" xfId="9566"/>
    <cellStyle name="Normal 12 2 4 2" xfId="9567"/>
    <cellStyle name="Normal 12 2 4 2 2" xfId="26776"/>
    <cellStyle name="Normal 12 2 4 2 2 2" xfId="26777"/>
    <cellStyle name="Normal 12 2 4 2 2 2 2" xfId="26778"/>
    <cellStyle name="Normal 12 2 4 2 2 3" xfId="26779"/>
    <cellStyle name="Normal 12 2 4 2 3" xfId="26780"/>
    <cellStyle name="Normal 12 2 4 2 3 2" xfId="26781"/>
    <cellStyle name="Normal 12 2 4 2 4" xfId="26782"/>
    <cellStyle name="Normal 12 2 4 3" xfId="9568"/>
    <cellStyle name="Normal 12 2 4 3 2" xfId="26783"/>
    <cellStyle name="Normal 12 2 4 3 2 2" xfId="26784"/>
    <cellStyle name="Normal 12 2 4 3 3" xfId="26785"/>
    <cellStyle name="Normal 12 2 4 4" xfId="9569"/>
    <cellStyle name="Normal 12 2 4 4 2" xfId="26786"/>
    <cellStyle name="Normal 12 2 4 5" xfId="26787"/>
    <cellStyle name="Normal 12 2 5" xfId="9570"/>
    <cellStyle name="Normal 12 2 5 2" xfId="26788"/>
    <cellStyle name="Normal 12 2 5 2 2" xfId="26789"/>
    <cellStyle name="Normal 12 2 5 2 2 2" xfId="26790"/>
    <cellStyle name="Normal 12 2 5 2 3" xfId="26791"/>
    <cellStyle name="Normal 12 2 5 3" xfId="26792"/>
    <cellStyle name="Normal 12 2 5 3 2" xfId="26793"/>
    <cellStyle name="Normal 12 2 5 4" xfId="26794"/>
    <cellStyle name="Normal 12 2 6" xfId="9571"/>
    <cellStyle name="Normal 12 2 6 2" xfId="26795"/>
    <cellStyle name="Normal 12 2 6 2 2" xfId="26796"/>
    <cellStyle name="Normal 12 2 6 3" xfId="26797"/>
    <cellStyle name="Normal 12 2 7" xfId="9572"/>
    <cellStyle name="Normal 12 2 7 2" xfId="26798"/>
    <cellStyle name="Normal 12 2 8" xfId="26799"/>
    <cellStyle name="Normal 12 2 9" xfId="26800"/>
    <cellStyle name="Normal 12 3" xfId="9573"/>
    <cellStyle name="Normal 12 3 2" xfId="9574"/>
    <cellStyle name="Normal 12 3 2 2" xfId="9575"/>
    <cellStyle name="Normal 12 3 2 2 2" xfId="17336"/>
    <cellStyle name="Normal 12 3 2 2 2 2" xfId="17337"/>
    <cellStyle name="Normal 12 3 2 2 2 2 2" xfId="26801"/>
    <cellStyle name="Normal 12 3 2 2 2 2 2 2" xfId="26802"/>
    <cellStyle name="Normal 12 3 2 2 2 2 2 2 2" xfId="26803"/>
    <cellStyle name="Normal 12 3 2 2 2 2 2 3" xfId="26804"/>
    <cellStyle name="Normal 12 3 2 2 2 2 3" xfId="26805"/>
    <cellStyle name="Normal 12 3 2 2 2 2 3 2" xfId="26806"/>
    <cellStyle name="Normal 12 3 2 2 2 2 4" xfId="26807"/>
    <cellStyle name="Normal 12 3 2 2 2 3" xfId="26808"/>
    <cellStyle name="Normal 12 3 2 2 2 3 2" xfId="26809"/>
    <cellStyle name="Normal 12 3 2 2 2 3 2 2" xfId="26810"/>
    <cellStyle name="Normal 12 3 2 2 2 3 3" xfId="26811"/>
    <cellStyle name="Normal 12 3 2 2 2 4" xfId="26812"/>
    <cellStyle name="Normal 12 3 2 2 2 4 2" xfId="26813"/>
    <cellStyle name="Normal 12 3 2 2 2 5" xfId="26814"/>
    <cellStyle name="Normal 12 3 2 2 3" xfId="17338"/>
    <cellStyle name="Normal 12 3 2 2 3 2" xfId="26815"/>
    <cellStyle name="Normal 12 3 2 2 3 2 2" xfId="26816"/>
    <cellStyle name="Normal 12 3 2 2 3 2 2 2" xfId="26817"/>
    <cellStyle name="Normal 12 3 2 2 3 2 3" xfId="26818"/>
    <cellStyle name="Normal 12 3 2 2 3 3" xfId="26819"/>
    <cellStyle name="Normal 12 3 2 2 3 3 2" xfId="26820"/>
    <cellStyle name="Normal 12 3 2 2 3 4" xfId="26821"/>
    <cellStyle name="Normal 12 3 2 2 4" xfId="26822"/>
    <cellStyle name="Normal 12 3 2 2 4 2" xfId="26823"/>
    <cellStyle name="Normal 12 3 2 2 4 2 2" xfId="26824"/>
    <cellStyle name="Normal 12 3 2 2 4 3" xfId="26825"/>
    <cellStyle name="Normal 12 3 2 2 5" xfId="26826"/>
    <cellStyle name="Normal 12 3 2 2 5 2" xfId="26827"/>
    <cellStyle name="Normal 12 3 2 2 6" xfId="26828"/>
    <cellStyle name="Normal 12 3 2 3" xfId="9576"/>
    <cellStyle name="Normal 12 3 2 3 2" xfId="17339"/>
    <cellStyle name="Normal 12 3 2 3 2 2" xfId="26829"/>
    <cellStyle name="Normal 12 3 2 3 2 2 2" xfId="26830"/>
    <cellStyle name="Normal 12 3 2 3 2 2 2 2" xfId="26831"/>
    <cellStyle name="Normal 12 3 2 3 2 2 3" xfId="26832"/>
    <cellStyle name="Normal 12 3 2 3 2 3" xfId="26833"/>
    <cellStyle name="Normal 12 3 2 3 2 3 2" xfId="26834"/>
    <cellStyle name="Normal 12 3 2 3 2 4" xfId="26835"/>
    <cellStyle name="Normal 12 3 2 3 3" xfId="26836"/>
    <cellStyle name="Normal 12 3 2 3 3 2" xfId="26837"/>
    <cellStyle name="Normal 12 3 2 3 3 2 2" xfId="26838"/>
    <cellStyle name="Normal 12 3 2 3 3 3" xfId="26839"/>
    <cellStyle name="Normal 12 3 2 3 4" xfId="26840"/>
    <cellStyle name="Normal 12 3 2 3 4 2" xfId="26841"/>
    <cellStyle name="Normal 12 3 2 3 5" xfId="26842"/>
    <cellStyle name="Normal 12 3 2 4" xfId="9577"/>
    <cellStyle name="Normal 12 3 2 4 2" xfId="26843"/>
    <cellStyle name="Normal 12 3 2 4 2 2" xfId="26844"/>
    <cellStyle name="Normal 12 3 2 4 2 2 2" xfId="26845"/>
    <cellStyle name="Normal 12 3 2 4 2 3" xfId="26846"/>
    <cellStyle name="Normal 12 3 2 4 3" xfId="26847"/>
    <cellStyle name="Normal 12 3 2 4 3 2" xfId="26848"/>
    <cellStyle name="Normal 12 3 2 4 4" xfId="26849"/>
    <cellStyle name="Normal 12 3 2 5" xfId="26850"/>
    <cellStyle name="Normal 12 3 2 5 2" xfId="26851"/>
    <cellStyle name="Normal 12 3 2 5 2 2" xfId="26852"/>
    <cellStyle name="Normal 12 3 2 5 3" xfId="26853"/>
    <cellStyle name="Normal 12 3 2 6" xfId="26854"/>
    <cellStyle name="Normal 12 3 2 6 2" xfId="26855"/>
    <cellStyle name="Normal 12 3 2 7" xfId="26856"/>
    <cellStyle name="Normal 12 3 3" xfId="9578"/>
    <cellStyle name="Normal 12 3 3 2" xfId="9579"/>
    <cellStyle name="Normal 12 3 3 2 2" xfId="17340"/>
    <cellStyle name="Normal 12 3 3 2 2 2" xfId="26857"/>
    <cellStyle name="Normal 12 3 3 2 2 2 2" xfId="26858"/>
    <cellStyle name="Normal 12 3 3 2 2 2 2 2" xfId="26859"/>
    <cellStyle name="Normal 12 3 3 2 2 2 3" xfId="26860"/>
    <cellStyle name="Normal 12 3 3 2 2 3" xfId="26861"/>
    <cellStyle name="Normal 12 3 3 2 2 3 2" xfId="26862"/>
    <cellStyle name="Normal 12 3 3 2 2 4" xfId="26863"/>
    <cellStyle name="Normal 12 3 3 2 3" xfId="26864"/>
    <cellStyle name="Normal 12 3 3 2 3 2" xfId="26865"/>
    <cellStyle name="Normal 12 3 3 2 3 2 2" xfId="26866"/>
    <cellStyle name="Normal 12 3 3 2 3 3" xfId="26867"/>
    <cellStyle name="Normal 12 3 3 2 4" xfId="26868"/>
    <cellStyle name="Normal 12 3 3 2 4 2" xfId="26869"/>
    <cellStyle name="Normal 12 3 3 2 5" xfId="26870"/>
    <cellStyle name="Normal 12 3 3 3" xfId="9580"/>
    <cellStyle name="Normal 12 3 3 3 2" xfId="26871"/>
    <cellStyle name="Normal 12 3 3 3 2 2" xfId="26872"/>
    <cellStyle name="Normal 12 3 3 3 2 2 2" xfId="26873"/>
    <cellStyle name="Normal 12 3 3 3 2 3" xfId="26874"/>
    <cellStyle name="Normal 12 3 3 3 3" xfId="26875"/>
    <cellStyle name="Normal 12 3 3 3 3 2" xfId="26876"/>
    <cellStyle name="Normal 12 3 3 3 4" xfId="26877"/>
    <cellStyle name="Normal 12 3 3 4" xfId="9581"/>
    <cellStyle name="Normal 12 3 3 4 2" xfId="26878"/>
    <cellStyle name="Normal 12 3 3 4 2 2" xfId="26879"/>
    <cellStyle name="Normal 12 3 3 4 3" xfId="26880"/>
    <cellStyle name="Normal 12 3 3 5" xfId="26881"/>
    <cellStyle name="Normal 12 3 3 5 2" xfId="26882"/>
    <cellStyle name="Normal 12 3 3 6" xfId="26883"/>
    <cellStyle name="Normal 12 3 4" xfId="9582"/>
    <cellStyle name="Normal 12 3 4 2" xfId="17341"/>
    <cellStyle name="Normal 12 3 4 2 2" xfId="26884"/>
    <cellStyle name="Normal 12 3 4 2 2 2" xfId="26885"/>
    <cellStyle name="Normal 12 3 4 2 2 2 2" xfId="26886"/>
    <cellStyle name="Normal 12 3 4 2 2 3" xfId="26887"/>
    <cellStyle name="Normal 12 3 4 2 3" xfId="26888"/>
    <cellStyle name="Normal 12 3 4 2 3 2" xfId="26889"/>
    <cellStyle name="Normal 12 3 4 2 4" xfId="26890"/>
    <cellStyle name="Normal 12 3 4 3" xfId="26891"/>
    <cellStyle name="Normal 12 3 4 3 2" xfId="26892"/>
    <cellStyle name="Normal 12 3 4 3 2 2" xfId="26893"/>
    <cellStyle name="Normal 12 3 4 3 3" xfId="26894"/>
    <cellStyle name="Normal 12 3 4 4" xfId="26895"/>
    <cellStyle name="Normal 12 3 4 4 2" xfId="26896"/>
    <cellStyle name="Normal 12 3 4 5" xfId="26897"/>
    <cellStyle name="Normal 12 3 5" xfId="9583"/>
    <cellStyle name="Normal 12 3 5 2" xfId="26898"/>
    <cellStyle name="Normal 12 3 5 2 2" xfId="26899"/>
    <cellStyle name="Normal 12 3 5 2 2 2" xfId="26900"/>
    <cellStyle name="Normal 12 3 5 2 3" xfId="26901"/>
    <cellStyle name="Normal 12 3 5 3" xfId="26902"/>
    <cellStyle name="Normal 12 3 5 3 2" xfId="26903"/>
    <cellStyle name="Normal 12 3 5 4" xfId="26904"/>
    <cellStyle name="Normal 12 3 6" xfId="9584"/>
    <cellStyle name="Normal 12 3 6 2" xfId="26905"/>
    <cellStyle name="Normal 12 3 6 2 2" xfId="26906"/>
    <cellStyle name="Normal 12 3 6 3" xfId="26907"/>
    <cellStyle name="Normal 12 3 7" xfId="26908"/>
    <cellStyle name="Normal 12 3 7 2" xfId="26909"/>
    <cellStyle name="Normal 12 3 8" xfId="26910"/>
    <cellStyle name="Normal 12 3 9" xfId="26911"/>
    <cellStyle name="Normal 12 4" xfId="9585"/>
    <cellStyle name="Normal 12 4 2" xfId="9586"/>
    <cellStyle name="Normal 12 4 2 2" xfId="17342"/>
    <cellStyle name="Normal 12 4 2 2 2" xfId="17343"/>
    <cellStyle name="Normal 12 4 2 2 2 2" xfId="26912"/>
    <cellStyle name="Normal 12 4 2 2 2 2 2" xfId="26913"/>
    <cellStyle name="Normal 12 4 2 2 2 2 2 2" xfId="26914"/>
    <cellStyle name="Normal 12 4 2 2 2 2 3" xfId="26915"/>
    <cellStyle name="Normal 12 4 2 2 2 3" xfId="26916"/>
    <cellStyle name="Normal 12 4 2 2 2 3 2" xfId="26917"/>
    <cellStyle name="Normal 12 4 2 2 2 4" xfId="26918"/>
    <cellStyle name="Normal 12 4 2 2 3" xfId="26919"/>
    <cellStyle name="Normal 12 4 2 2 3 2" xfId="26920"/>
    <cellStyle name="Normal 12 4 2 2 3 2 2" xfId="26921"/>
    <cellStyle name="Normal 12 4 2 2 3 3" xfId="26922"/>
    <cellStyle name="Normal 12 4 2 2 4" xfId="26923"/>
    <cellStyle name="Normal 12 4 2 2 4 2" xfId="26924"/>
    <cellStyle name="Normal 12 4 2 2 5" xfId="26925"/>
    <cellStyle name="Normal 12 4 2 3" xfId="17344"/>
    <cellStyle name="Normal 12 4 2 3 2" xfId="26926"/>
    <cellStyle name="Normal 12 4 2 3 2 2" xfId="26927"/>
    <cellStyle name="Normal 12 4 2 3 2 2 2" xfId="26928"/>
    <cellStyle name="Normal 12 4 2 3 2 3" xfId="26929"/>
    <cellStyle name="Normal 12 4 2 3 3" xfId="26930"/>
    <cellStyle name="Normal 12 4 2 3 3 2" xfId="26931"/>
    <cellStyle name="Normal 12 4 2 3 4" xfId="26932"/>
    <cellStyle name="Normal 12 4 2 4" xfId="26933"/>
    <cellStyle name="Normal 12 4 2 4 2" xfId="26934"/>
    <cellStyle name="Normal 12 4 2 4 2 2" xfId="26935"/>
    <cellStyle name="Normal 12 4 2 4 3" xfId="26936"/>
    <cellStyle name="Normal 12 4 2 5" xfId="26937"/>
    <cellStyle name="Normal 12 4 2 5 2" xfId="26938"/>
    <cellStyle name="Normal 12 4 2 6" xfId="26939"/>
    <cellStyle name="Normal 12 4 3" xfId="9587"/>
    <cellStyle name="Normal 12 4 3 2" xfId="17345"/>
    <cellStyle name="Normal 12 4 3 2 2" xfId="26940"/>
    <cellStyle name="Normal 12 4 3 2 2 2" xfId="26941"/>
    <cellStyle name="Normal 12 4 3 2 2 2 2" xfId="26942"/>
    <cellStyle name="Normal 12 4 3 2 2 3" xfId="26943"/>
    <cellStyle name="Normal 12 4 3 2 3" xfId="26944"/>
    <cellStyle name="Normal 12 4 3 2 3 2" xfId="26945"/>
    <cellStyle name="Normal 12 4 3 2 4" xfId="26946"/>
    <cellStyle name="Normal 12 4 3 3" xfId="26947"/>
    <cellStyle name="Normal 12 4 3 3 2" xfId="26948"/>
    <cellStyle name="Normal 12 4 3 3 2 2" xfId="26949"/>
    <cellStyle name="Normal 12 4 3 3 3" xfId="26950"/>
    <cellStyle name="Normal 12 4 3 4" xfId="26951"/>
    <cellStyle name="Normal 12 4 3 4 2" xfId="26952"/>
    <cellStyle name="Normal 12 4 3 5" xfId="26953"/>
    <cellStyle name="Normal 12 4 4" xfId="9588"/>
    <cellStyle name="Normal 12 4 4 2" xfId="26954"/>
    <cellStyle name="Normal 12 4 4 2 2" xfId="26955"/>
    <cellStyle name="Normal 12 4 4 2 2 2" xfId="26956"/>
    <cellStyle name="Normal 12 4 4 2 3" xfId="26957"/>
    <cellStyle name="Normal 12 4 4 3" xfId="26958"/>
    <cellStyle name="Normal 12 4 4 3 2" xfId="26959"/>
    <cellStyle name="Normal 12 4 4 4" xfId="26960"/>
    <cellStyle name="Normal 12 4 5" xfId="26961"/>
    <cellStyle name="Normal 12 4 5 2" xfId="26962"/>
    <cellStyle name="Normal 12 4 5 2 2" xfId="26963"/>
    <cellStyle name="Normal 12 4 5 3" xfId="26964"/>
    <cellStyle name="Normal 12 4 6" xfId="26965"/>
    <cellStyle name="Normal 12 4 6 2" xfId="26966"/>
    <cellStyle name="Normal 12 4 7" xfId="26967"/>
    <cellStyle name="Normal 12 5" xfId="9589"/>
    <cellStyle name="Normal 12 5 2" xfId="9590"/>
    <cellStyle name="Normal 12 5 2 2" xfId="17346"/>
    <cellStyle name="Normal 12 5 2 2 2" xfId="26968"/>
    <cellStyle name="Normal 12 5 2 2 2 2" xfId="26969"/>
    <cellStyle name="Normal 12 5 2 2 2 2 2" xfId="26970"/>
    <cellStyle name="Normal 12 5 2 2 2 3" xfId="26971"/>
    <cellStyle name="Normal 12 5 2 2 3" xfId="26972"/>
    <cellStyle name="Normal 12 5 2 2 3 2" xfId="26973"/>
    <cellStyle name="Normal 12 5 2 2 4" xfId="26974"/>
    <cellStyle name="Normal 12 5 2 3" xfId="26975"/>
    <cellStyle name="Normal 12 5 2 3 2" xfId="26976"/>
    <cellStyle name="Normal 12 5 2 3 2 2" xfId="26977"/>
    <cellStyle name="Normal 12 5 2 3 3" xfId="26978"/>
    <cellStyle name="Normal 12 5 2 4" xfId="26979"/>
    <cellStyle name="Normal 12 5 2 4 2" xfId="26980"/>
    <cellStyle name="Normal 12 5 2 5" xfId="26981"/>
    <cellStyle name="Normal 12 5 3" xfId="9591"/>
    <cellStyle name="Normal 12 5 3 2" xfId="26982"/>
    <cellStyle name="Normal 12 5 3 2 2" xfId="26983"/>
    <cellStyle name="Normal 12 5 3 2 2 2" xfId="26984"/>
    <cellStyle name="Normal 12 5 3 2 3" xfId="26985"/>
    <cellStyle name="Normal 12 5 3 3" xfId="26986"/>
    <cellStyle name="Normal 12 5 3 3 2" xfId="26987"/>
    <cellStyle name="Normal 12 5 3 4" xfId="26988"/>
    <cellStyle name="Normal 12 5 4" xfId="9592"/>
    <cellStyle name="Normal 12 5 4 2" xfId="26989"/>
    <cellStyle name="Normal 12 5 4 2 2" xfId="26990"/>
    <cellStyle name="Normal 12 5 4 3" xfId="26991"/>
    <cellStyle name="Normal 12 5 5" xfId="26992"/>
    <cellStyle name="Normal 12 5 5 2" xfId="26993"/>
    <cellStyle name="Normal 12 5 6" xfId="26994"/>
    <cellStyle name="Normal 12 6" xfId="9593"/>
    <cellStyle name="Normal 12 6 2" xfId="17347"/>
    <cellStyle name="Normal 12 6 2 2" xfId="26995"/>
    <cellStyle name="Normal 12 6 2 2 2" xfId="26996"/>
    <cellStyle name="Normal 12 6 2 2 2 2" xfId="26997"/>
    <cellStyle name="Normal 12 6 2 2 3" xfId="26998"/>
    <cellStyle name="Normal 12 6 2 3" xfId="26999"/>
    <cellStyle name="Normal 12 6 2 3 2" xfId="27000"/>
    <cellStyle name="Normal 12 6 2 4" xfId="27001"/>
    <cellStyle name="Normal 12 6 3" xfId="27002"/>
    <cellStyle name="Normal 12 6 3 2" xfId="27003"/>
    <cellStyle name="Normal 12 6 3 2 2" xfId="27004"/>
    <cellStyle name="Normal 12 6 3 3" xfId="27005"/>
    <cellStyle name="Normal 12 6 4" xfId="27006"/>
    <cellStyle name="Normal 12 6 4 2" xfId="27007"/>
    <cellStyle name="Normal 12 6 5" xfId="27008"/>
    <cellStyle name="Normal 12 7" xfId="9594"/>
    <cellStyle name="Normal 12 7 2" xfId="27009"/>
    <cellStyle name="Normal 12 7 2 2" xfId="27010"/>
    <cellStyle name="Normal 12 7 2 2 2" xfId="27011"/>
    <cellStyle name="Normal 12 7 2 3" xfId="27012"/>
    <cellStyle name="Normal 12 7 3" xfId="27013"/>
    <cellStyle name="Normal 12 7 3 2" xfId="27014"/>
    <cellStyle name="Normal 12 7 4" xfId="27015"/>
    <cellStyle name="Normal 12 8" xfId="9595"/>
    <cellStyle name="Normal 12 8 2" xfId="27016"/>
    <cellStyle name="Normal 12 8 3" xfId="27017"/>
    <cellStyle name="Normal 12 9" xfId="9596"/>
    <cellStyle name="Normal 12 9 2" xfId="27018"/>
    <cellStyle name="Normal 12 9 2 2" xfId="27019"/>
    <cellStyle name="Normal 12 9 3" xfId="27020"/>
    <cellStyle name="Normal 120" xfId="17348"/>
    <cellStyle name="Normal 120 2" xfId="17349"/>
    <cellStyle name="Normal 120 2 2" xfId="27021"/>
    <cellStyle name="Normal 120 2 2 2" xfId="27022"/>
    <cellStyle name="Normal 120 2 2 2 2" xfId="27023"/>
    <cellStyle name="Normal 120 2 2 3" xfId="27024"/>
    <cellStyle name="Normal 120 2 3" xfId="27025"/>
    <cellStyle name="Normal 120 2 3 2" xfId="27026"/>
    <cellStyle name="Normal 120 2 4" xfId="27027"/>
    <cellStyle name="Normal 120 3" xfId="27028"/>
    <cellStyle name="Normal 120 3 2" xfId="27029"/>
    <cellStyle name="Normal 120 3 2 2" xfId="27030"/>
    <cellStyle name="Normal 120 3 3" xfId="27031"/>
    <cellStyle name="Normal 120 4" xfId="27032"/>
    <cellStyle name="Normal 120 4 2" xfId="27033"/>
    <cellStyle name="Normal 120 5" xfId="27034"/>
    <cellStyle name="Normal 121" xfId="17350"/>
    <cellStyle name="Normal 121 2" xfId="17351"/>
    <cellStyle name="Normal 121 2 2" xfId="27035"/>
    <cellStyle name="Normal 121 2 2 2" xfId="27036"/>
    <cellStyle name="Normal 121 2 2 2 2" xfId="27037"/>
    <cellStyle name="Normal 121 2 2 3" xfId="27038"/>
    <cellStyle name="Normal 121 2 3" xfId="27039"/>
    <cellStyle name="Normal 121 2 3 2" xfId="27040"/>
    <cellStyle name="Normal 121 2 4" xfId="27041"/>
    <cellStyle name="Normal 121 3" xfId="27042"/>
    <cellStyle name="Normal 121 3 2" xfId="27043"/>
    <cellStyle name="Normal 121 3 2 2" xfId="27044"/>
    <cellStyle name="Normal 121 3 3" xfId="27045"/>
    <cellStyle name="Normal 121 4" xfId="27046"/>
    <cellStyle name="Normal 121 4 2" xfId="27047"/>
    <cellStyle name="Normal 121 5" xfId="27048"/>
    <cellStyle name="Normal 122" xfId="17352"/>
    <cellStyle name="Normal 122 2" xfId="17353"/>
    <cellStyle name="Normal 122 2 2" xfId="27049"/>
    <cellStyle name="Normal 122 2 2 2" xfId="27050"/>
    <cellStyle name="Normal 122 2 2 2 2" xfId="27051"/>
    <cellStyle name="Normal 122 2 2 3" xfId="27052"/>
    <cellStyle name="Normal 122 2 3" xfId="27053"/>
    <cellStyle name="Normal 122 2 3 2" xfId="27054"/>
    <cellStyle name="Normal 122 2 4" xfId="27055"/>
    <cellStyle name="Normal 122 3" xfId="27056"/>
    <cellStyle name="Normal 122 3 2" xfId="27057"/>
    <cellStyle name="Normal 122 3 2 2" xfId="27058"/>
    <cellStyle name="Normal 122 3 3" xfId="27059"/>
    <cellStyle name="Normal 122 4" xfId="27060"/>
    <cellStyle name="Normal 122 4 2" xfId="27061"/>
    <cellStyle name="Normal 122 5" xfId="27062"/>
    <cellStyle name="Normal 123" xfId="17354"/>
    <cellStyle name="Normal 123 2" xfId="17355"/>
    <cellStyle name="Normal 123 2 2" xfId="27063"/>
    <cellStyle name="Normal 123 2 2 2" xfId="27064"/>
    <cellStyle name="Normal 123 2 2 2 2" xfId="27065"/>
    <cellStyle name="Normal 123 2 2 3" xfId="27066"/>
    <cellStyle name="Normal 123 2 3" xfId="27067"/>
    <cellStyle name="Normal 123 2 3 2" xfId="27068"/>
    <cellStyle name="Normal 123 2 4" xfId="27069"/>
    <cellStyle name="Normal 123 3" xfId="27070"/>
    <cellStyle name="Normal 123 3 2" xfId="27071"/>
    <cellStyle name="Normal 123 3 2 2" xfId="27072"/>
    <cellStyle name="Normal 123 3 3" xfId="27073"/>
    <cellStyle name="Normal 123 4" xfId="27074"/>
    <cellStyle name="Normal 123 4 2" xfId="27075"/>
    <cellStyle name="Normal 123 5" xfId="27076"/>
    <cellStyle name="Normal 124" xfId="17356"/>
    <cellStyle name="Normal 124 2" xfId="17357"/>
    <cellStyle name="Normal 124 2 2" xfId="27077"/>
    <cellStyle name="Normal 124 2 2 2" xfId="27078"/>
    <cellStyle name="Normal 124 2 2 2 2" xfId="27079"/>
    <cellStyle name="Normal 124 2 2 3" xfId="27080"/>
    <cellStyle name="Normal 124 2 3" xfId="27081"/>
    <cellStyle name="Normal 124 2 3 2" xfId="27082"/>
    <cellStyle name="Normal 124 2 4" xfId="27083"/>
    <cellStyle name="Normal 124 3" xfId="27084"/>
    <cellStyle name="Normal 124 3 2" xfId="27085"/>
    <cellStyle name="Normal 124 3 2 2" xfId="27086"/>
    <cellStyle name="Normal 124 3 3" xfId="27087"/>
    <cellStyle name="Normal 124 4" xfId="27088"/>
    <cellStyle name="Normal 124 4 2" xfId="27089"/>
    <cellStyle name="Normal 124 5" xfId="27090"/>
    <cellStyle name="Normal 125" xfId="17358"/>
    <cellStyle name="Normal 125 2" xfId="17359"/>
    <cellStyle name="Normal 125 2 2" xfId="27091"/>
    <cellStyle name="Normal 125 2 2 2" xfId="27092"/>
    <cellStyle name="Normal 125 2 2 2 2" xfId="27093"/>
    <cellStyle name="Normal 125 2 2 3" xfId="27094"/>
    <cellStyle name="Normal 125 2 3" xfId="27095"/>
    <cellStyle name="Normal 125 2 3 2" xfId="27096"/>
    <cellStyle name="Normal 125 2 4" xfId="27097"/>
    <cellStyle name="Normal 125 3" xfId="27098"/>
    <cellStyle name="Normal 125 3 2" xfId="27099"/>
    <cellStyle name="Normal 125 3 2 2" xfId="27100"/>
    <cellStyle name="Normal 125 3 3" xfId="27101"/>
    <cellStyle name="Normal 125 4" xfId="27102"/>
    <cellStyle name="Normal 125 4 2" xfId="27103"/>
    <cellStyle name="Normal 125 5" xfId="27104"/>
    <cellStyle name="Normal 126" xfId="17360"/>
    <cellStyle name="Normal 126 2" xfId="17361"/>
    <cellStyle name="Normal 126 2 2" xfId="27105"/>
    <cellStyle name="Normal 126 2 2 2" xfId="27106"/>
    <cellStyle name="Normal 126 2 2 2 2" xfId="27107"/>
    <cellStyle name="Normal 126 2 2 3" xfId="27108"/>
    <cellStyle name="Normal 126 2 3" xfId="27109"/>
    <cellStyle name="Normal 126 2 3 2" xfId="27110"/>
    <cellStyle name="Normal 126 2 4" xfId="27111"/>
    <cellStyle name="Normal 126 3" xfId="27112"/>
    <cellStyle name="Normal 126 3 2" xfId="27113"/>
    <cellStyle name="Normal 126 3 2 2" xfId="27114"/>
    <cellStyle name="Normal 126 3 3" xfId="27115"/>
    <cellStyle name="Normal 126 4" xfId="27116"/>
    <cellStyle name="Normal 126 4 2" xfId="27117"/>
    <cellStyle name="Normal 126 5" xfId="27118"/>
    <cellStyle name="Normal 127" xfId="17362"/>
    <cellStyle name="Normal 127 2" xfId="17363"/>
    <cellStyle name="Normal 127 2 2" xfId="27119"/>
    <cellStyle name="Normal 127 2 2 2" xfId="27120"/>
    <cellStyle name="Normal 127 2 2 2 2" xfId="27121"/>
    <cellStyle name="Normal 127 2 2 3" xfId="27122"/>
    <cellStyle name="Normal 127 2 3" xfId="27123"/>
    <cellStyle name="Normal 127 2 3 2" xfId="27124"/>
    <cellStyle name="Normal 127 2 4" xfId="27125"/>
    <cellStyle name="Normal 127 3" xfId="27126"/>
    <cellStyle name="Normal 127 3 2" xfId="27127"/>
    <cellStyle name="Normal 127 3 2 2" xfId="27128"/>
    <cellStyle name="Normal 127 3 3" xfId="27129"/>
    <cellStyle name="Normal 127 4" xfId="27130"/>
    <cellStyle name="Normal 127 4 2" xfId="27131"/>
    <cellStyle name="Normal 127 5" xfId="27132"/>
    <cellStyle name="Normal 128" xfId="17364"/>
    <cellStyle name="Normal 128 2" xfId="17365"/>
    <cellStyle name="Normal 128 2 2" xfId="27133"/>
    <cellStyle name="Normal 128 2 2 2" xfId="27134"/>
    <cellStyle name="Normal 128 2 2 2 2" xfId="27135"/>
    <cellStyle name="Normal 128 2 2 3" xfId="27136"/>
    <cellStyle name="Normal 128 2 3" xfId="27137"/>
    <cellStyle name="Normal 128 2 3 2" xfId="27138"/>
    <cellStyle name="Normal 128 2 4" xfId="27139"/>
    <cellStyle name="Normal 128 3" xfId="27140"/>
    <cellStyle name="Normal 128 3 2" xfId="27141"/>
    <cellStyle name="Normal 128 3 2 2" xfId="27142"/>
    <cellStyle name="Normal 128 3 3" xfId="27143"/>
    <cellStyle name="Normal 128 4" xfId="27144"/>
    <cellStyle name="Normal 128 4 2" xfId="27145"/>
    <cellStyle name="Normal 128 5" xfId="27146"/>
    <cellStyle name="Normal 129" xfId="17366"/>
    <cellStyle name="Normal 129 2" xfId="17367"/>
    <cellStyle name="Normal 129 2 2" xfId="27147"/>
    <cellStyle name="Normal 129 2 2 2" xfId="27148"/>
    <cellStyle name="Normal 129 2 2 2 2" xfId="27149"/>
    <cellStyle name="Normal 129 2 2 3" xfId="27150"/>
    <cellStyle name="Normal 129 2 3" xfId="27151"/>
    <cellStyle name="Normal 129 2 3 2" xfId="27152"/>
    <cellStyle name="Normal 129 2 4" xfId="27153"/>
    <cellStyle name="Normal 129 3" xfId="27154"/>
    <cellStyle name="Normal 129 3 2" xfId="27155"/>
    <cellStyle name="Normal 129 3 2 2" xfId="27156"/>
    <cellStyle name="Normal 129 3 3" xfId="27157"/>
    <cellStyle name="Normal 129 4" xfId="27158"/>
    <cellStyle name="Normal 129 4 2" xfId="27159"/>
    <cellStyle name="Normal 129 5" xfId="27160"/>
    <cellStyle name="Normal 13" xfId="67"/>
    <cellStyle name="Normal 13 10" xfId="27161"/>
    <cellStyle name="Normal 13 11" xfId="27162"/>
    <cellStyle name="Normal 13 2" xfId="9597"/>
    <cellStyle name="Normal 13 2 2" xfId="9598"/>
    <cellStyle name="Normal 13 2 2 2" xfId="9599"/>
    <cellStyle name="Normal 13 2 2 2 2" xfId="17368"/>
    <cellStyle name="Normal 13 2 2 2 2 2" xfId="17369"/>
    <cellStyle name="Normal 13 2 2 2 2 2 2" xfId="27163"/>
    <cellStyle name="Normal 13 2 2 2 2 2 2 2" xfId="27164"/>
    <cellStyle name="Normal 13 2 2 2 2 2 2 2 2" xfId="27165"/>
    <cellStyle name="Normal 13 2 2 2 2 2 2 3" xfId="27166"/>
    <cellStyle name="Normal 13 2 2 2 2 2 3" xfId="27167"/>
    <cellStyle name="Normal 13 2 2 2 2 2 3 2" xfId="27168"/>
    <cellStyle name="Normal 13 2 2 2 2 2 4" xfId="27169"/>
    <cellStyle name="Normal 13 2 2 2 2 3" xfId="27170"/>
    <cellStyle name="Normal 13 2 2 2 2 3 2" xfId="27171"/>
    <cellStyle name="Normal 13 2 2 2 2 3 2 2" xfId="27172"/>
    <cellStyle name="Normal 13 2 2 2 2 3 3" xfId="27173"/>
    <cellStyle name="Normal 13 2 2 2 2 4" xfId="27174"/>
    <cellStyle name="Normal 13 2 2 2 2 4 2" xfId="27175"/>
    <cellStyle name="Normal 13 2 2 2 2 5" xfId="27176"/>
    <cellStyle name="Normal 13 2 2 2 3" xfId="17370"/>
    <cellStyle name="Normal 13 2 2 2 3 2" xfId="27177"/>
    <cellStyle name="Normal 13 2 2 2 3 2 2" xfId="27178"/>
    <cellStyle name="Normal 13 2 2 2 3 2 2 2" xfId="27179"/>
    <cellStyle name="Normal 13 2 2 2 3 2 3" xfId="27180"/>
    <cellStyle name="Normal 13 2 2 2 3 3" xfId="27181"/>
    <cellStyle name="Normal 13 2 2 2 3 3 2" xfId="27182"/>
    <cellStyle name="Normal 13 2 2 2 3 4" xfId="27183"/>
    <cellStyle name="Normal 13 2 2 2 4" xfId="27184"/>
    <cellStyle name="Normal 13 2 2 2 4 2" xfId="27185"/>
    <cellStyle name="Normal 13 2 2 2 4 2 2" xfId="27186"/>
    <cellStyle name="Normal 13 2 2 2 4 3" xfId="27187"/>
    <cellStyle name="Normal 13 2 2 2 5" xfId="27188"/>
    <cellStyle name="Normal 13 2 2 2 5 2" xfId="27189"/>
    <cellStyle name="Normal 13 2 2 2 6" xfId="27190"/>
    <cellStyle name="Normal 13 2 2 3" xfId="9600"/>
    <cellStyle name="Normal 13 2 2 3 2" xfId="17371"/>
    <cellStyle name="Normal 13 2 2 3 2 2" xfId="27191"/>
    <cellStyle name="Normal 13 2 2 3 2 2 2" xfId="27192"/>
    <cellStyle name="Normal 13 2 2 3 2 2 2 2" xfId="27193"/>
    <cellStyle name="Normal 13 2 2 3 2 2 3" xfId="27194"/>
    <cellStyle name="Normal 13 2 2 3 2 3" xfId="27195"/>
    <cellStyle name="Normal 13 2 2 3 2 3 2" xfId="27196"/>
    <cellStyle name="Normal 13 2 2 3 2 4" xfId="27197"/>
    <cellStyle name="Normal 13 2 2 3 3" xfId="27198"/>
    <cellStyle name="Normal 13 2 2 3 3 2" xfId="27199"/>
    <cellStyle name="Normal 13 2 2 3 3 2 2" xfId="27200"/>
    <cellStyle name="Normal 13 2 2 3 3 3" xfId="27201"/>
    <cellStyle name="Normal 13 2 2 3 4" xfId="27202"/>
    <cellStyle name="Normal 13 2 2 3 4 2" xfId="27203"/>
    <cellStyle name="Normal 13 2 2 3 5" xfId="27204"/>
    <cellStyle name="Normal 13 2 2 4" xfId="9601"/>
    <cellStyle name="Normal 13 2 2 4 2" xfId="27205"/>
    <cellStyle name="Normal 13 2 2 4 2 2" xfId="27206"/>
    <cellStyle name="Normal 13 2 2 4 2 2 2" xfId="27207"/>
    <cellStyle name="Normal 13 2 2 4 2 3" xfId="27208"/>
    <cellStyle name="Normal 13 2 2 4 3" xfId="27209"/>
    <cellStyle name="Normal 13 2 2 4 3 2" xfId="27210"/>
    <cellStyle name="Normal 13 2 2 4 4" xfId="27211"/>
    <cellStyle name="Normal 13 2 2 5" xfId="27212"/>
    <cellStyle name="Normal 13 2 2 5 2" xfId="27213"/>
    <cellStyle name="Normal 13 2 2 5 2 2" xfId="27214"/>
    <cellStyle name="Normal 13 2 2 5 3" xfId="27215"/>
    <cellStyle name="Normal 13 2 2 6" xfId="27216"/>
    <cellStyle name="Normal 13 2 2 6 2" xfId="27217"/>
    <cellStyle name="Normal 13 2 2 7" xfId="27218"/>
    <cellStyle name="Normal 13 2 3" xfId="9602"/>
    <cellStyle name="Normal 13 2 3 2" xfId="9603"/>
    <cellStyle name="Normal 13 2 3 2 2" xfId="17372"/>
    <cellStyle name="Normal 13 2 3 2 2 2" xfId="27219"/>
    <cellStyle name="Normal 13 2 3 2 2 2 2" xfId="27220"/>
    <cellStyle name="Normal 13 2 3 2 2 2 2 2" xfId="27221"/>
    <cellStyle name="Normal 13 2 3 2 2 2 3" xfId="27222"/>
    <cellStyle name="Normal 13 2 3 2 2 3" xfId="27223"/>
    <cellStyle name="Normal 13 2 3 2 2 3 2" xfId="27224"/>
    <cellStyle name="Normal 13 2 3 2 2 4" xfId="27225"/>
    <cellStyle name="Normal 13 2 3 2 3" xfId="27226"/>
    <cellStyle name="Normal 13 2 3 2 3 2" xfId="27227"/>
    <cellStyle name="Normal 13 2 3 2 3 2 2" xfId="27228"/>
    <cellStyle name="Normal 13 2 3 2 3 3" xfId="27229"/>
    <cellStyle name="Normal 13 2 3 2 4" xfId="27230"/>
    <cellStyle name="Normal 13 2 3 2 4 2" xfId="27231"/>
    <cellStyle name="Normal 13 2 3 2 5" xfId="27232"/>
    <cellStyle name="Normal 13 2 3 3" xfId="9604"/>
    <cellStyle name="Normal 13 2 3 3 2" xfId="27233"/>
    <cellStyle name="Normal 13 2 3 3 2 2" xfId="27234"/>
    <cellStyle name="Normal 13 2 3 3 2 2 2" xfId="27235"/>
    <cellStyle name="Normal 13 2 3 3 2 3" xfId="27236"/>
    <cellStyle name="Normal 13 2 3 3 3" xfId="27237"/>
    <cellStyle name="Normal 13 2 3 3 3 2" xfId="27238"/>
    <cellStyle name="Normal 13 2 3 3 4" xfId="27239"/>
    <cellStyle name="Normal 13 2 3 4" xfId="9605"/>
    <cellStyle name="Normal 13 2 3 4 2" xfId="27240"/>
    <cellStyle name="Normal 13 2 3 4 2 2" xfId="27241"/>
    <cellStyle name="Normal 13 2 3 4 3" xfId="27242"/>
    <cellStyle name="Normal 13 2 3 5" xfId="27243"/>
    <cellStyle name="Normal 13 2 3 5 2" xfId="27244"/>
    <cellStyle name="Normal 13 2 3 6" xfId="27245"/>
    <cellStyle name="Normal 13 2 4" xfId="9606"/>
    <cellStyle name="Normal 13 2 4 2" xfId="17373"/>
    <cellStyle name="Normal 13 2 4 2 2" xfId="27246"/>
    <cellStyle name="Normal 13 2 4 2 2 2" xfId="27247"/>
    <cellStyle name="Normal 13 2 4 2 2 2 2" xfId="27248"/>
    <cellStyle name="Normal 13 2 4 2 2 3" xfId="27249"/>
    <cellStyle name="Normal 13 2 4 2 3" xfId="27250"/>
    <cellStyle name="Normal 13 2 4 2 3 2" xfId="27251"/>
    <cellStyle name="Normal 13 2 4 2 4" xfId="27252"/>
    <cellStyle name="Normal 13 2 4 3" xfId="27253"/>
    <cellStyle name="Normal 13 2 4 3 2" xfId="27254"/>
    <cellStyle name="Normal 13 2 4 3 2 2" xfId="27255"/>
    <cellStyle name="Normal 13 2 4 3 3" xfId="27256"/>
    <cellStyle name="Normal 13 2 4 4" xfId="27257"/>
    <cellStyle name="Normal 13 2 4 4 2" xfId="27258"/>
    <cellStyle name="Normal 13 2 4 5" xfId="27259"/>
    <cellStyle name="Normal 13 2 5" xfId="9607"/>
    <cellStyle name="Normal 13 2 5 2" xfId="27260"/>
    <cellStyle name="Normal 13 2 5 2 2" xfId="27261"/>
    <cellStyle name="Normal 13 2 5 2 2 2" xfId="27262"/>
    <cellStyle name="Normal 13 2 5 2 3" xfId="27263"/>
    <cellStyle name="Normal 13 2 5 3" xfId="27264"/>
    <cellStyle name="Normal 13 2 5 3 2" xfId="27265"/>
    <cellStyle name="Normal 13 2 5 4" xfId="27266"/>
    <cellStyle name="Normal 13 2 6" xfId="9608"/>
    <cellStyle name="Normal 13 2 6 2" xfId="27267"/>
    <cellStyle name="Normal 13 2 6 2 2" xfId="27268"/>
    <cellStyle name="Normal 13 2 6 3" xfId="27269"/>
    <cellStyle name="Normal 13 2 7" xfId="9609"/>
    <cellStyle name="Normal 13 2 7 2" xfId="27270"/>
    <cellStyle name="Normal 13 2 8" xfId="27271"/>
    <cellStyle name="Normal 13 2 9" xfId="27272"/>
    <cellStyle name="Normal 13 3" xfId="9610"/>
    <cellStyle name="Normal 13 3 2" xfId="9611"/>
    <cellStyle name="Normal 13 3 2 2" xfId="17374"/>
    <cellStyle name="Normal 13 3 2 2 2" xfId="17375"/>
    <cellStyle name="Normal 13 3 2 2 2 2" xfId="17376"/>
    <cellStyle name="Normal 13 3 2 2 2 2 2" xfId="27273"/>
    <cellStyle name="Normal 13 3 2 2 2 2 2 2" xfId="27274"/>
    <cellStyle name="Normal 13 3 2 2 2 2 2 2 2" xfId="27275"/>
    <cellStyle name="Normal 13 3 2 2 2 2 2 3" xfId="27276"/>
    <cellStyle name="Normal 13 3 2 2 2 2 3" xfId="27277"/>
    <cellStyle name="Normal 13 3 2 2 2 2 3 2" xfId="27278"/>
    <cellStyle name="Normal 13 3 2 2 2 2 4" xfId="27279"/>
    <cellStyle name="Normal 13 3 2 2 2 3" xfId="27280"/>
    <cellStyle name="Normal 13 3 2 2 2 3 2" xfId="27281"/>
    <cellStyle name="Normal 13 3 2 2 2 3 2 2" xfId="27282"/>
    <cellStyle name="Normal 13 3 2 2 2 3 3" xfId="27283"/>
    <cellStyle name="Normal 13 3 2 2 2 4" xfId="27284"/>
    <cellStyle name="Normal 13 3 2 2 2 4 2" xfId="27285"/>
    <cellStyle name="Normal 13 3 2 2 2 5" xfId="27286"/>
    <cellStyle name="Normal 13 3 2 2 3" xfId="17377"/>
    <cellStyle name="Normal 13 3 2 2 3 2" xfId="27287"/>
    <cellStyle name="Normal 13 3 2 2 3 2 2" xfId="27288"/>
    <cellStyle name="Normal 13 3 2 2 3 2 2 2" xfId="27289"/>
    <cellStyle name="Normal 13 3 2 2 3 2 3" xfId="27290"/>
    <cellStyle name="Normal 13 3 2 2 3 3" xfId="27291"/>
    <cellStyle name="Normal 13 3 2 2 3 3 2" xfId="27292"/>
    <cellStyle name="Normal 13 3 2 2 3 4" xfId="27293"/>
    <cellStyle name="Normal 13 3 2 2 4" xfId="27294"/>
    <cellStyle name="Normal 13 3 2 2 4 2" xfId="27295"/>
    <cellStyle name="Normal 13 3 2 2 4 2 2" xfId="27296"/>
    <cellStyle name="Normal 13 3 2 2 4 3" xfId="27297"/>
    <cellStyle name="Normal 13 3 2 2 5" xfId="27298"/>
    <cellStyle name="Normal 13 3 2 2 5 2" xfId="27299"/>
    <cellStyle name="Normal 13 3 2 2 6" xfId="27300"/>
    <cellStyle name="Normal 13 3 2 3" xfId="17378"/>
    <cellStyle name="Normal 13 3 2 3 2" xfId="17379"/>
    <cellStyle name="Normal 13 3 2 3 2 2" xfId="27301"/>
    <cellStyle name="Normal 13 3 2 3 2 2 2" xfId="27302"/>
    <cellStyle name="Normal 13 3 2 3 2 2 2 2" xfId="27303"/>
    <cellStyle name="Normal 13 3 2 3 2 2 3" xfId="27304"/>
    <cellStyle name="Normal 13 3 2 3 2 3" xfId="27305"/>
    <cellStyle name="Normal 13 3 2 3 2 3 2" xfId="27306"/>
    <cellStyle name="Normal 13 3 2 3 2 4" xfId="27307"/>
    <cellStyle name="Normal 13 3 2 3 3" xfId="27308"/>
    <cellStyle name="Normal 13 3 2 3 3 2" xfId="27309"/>
    <cellStyle name="Normal 13 3 2 3 3 2 2" xfId="27310"/>
    <cellStyle name="Normal 13 3 2 3 3 3" xfId="27311"/>
    <cellStyle name="Normal 13 3 2 3 4" xfId="27312"/>
    <cellStyle name="Normal 13 3 2 3 4 2" xfId="27313"/>
    <cellStyle name="Normal 13 3 2 3 5" xfId="27314"/>
    <cellStyle name="Normal 13 3 2 4" xfId="17380"/>
    <cellStyle name="Normal 13 3 2 4 2" xfId="27315"/>
    <cellStyle name="Normal 13 3 2 4 2 2" xfId="27316"/>
    <cellStyle name="Normal 13 3 2 4 2 2 2" xfId="27317"/>
    <cellStyle name="Normal 13 3 2 4 2 3" xfId="27318"/>
    <cellStyle name="Normal 13 3 2 4 3" xfId="27319"/>
    <cellStyle name="Normal 13 3 2 4 3 2" xfId="27320"/>
    <cellStyle name="Normal 13 3 2 4 4" xfId="27321"/>
    <cellStyle name="Normal 13 3 2 5" xfId="27322"/>
    <cellStyle name="Normal 13 3 2 5 2" xfId="27323"/>
    <cellStyle name="Normal 13 3 2 5 2 2" xfId="27324"/>
    <cellStyle name="Normal 13 3 2 5 3" xfId="27325"/>
    <cellStyle name="Normal 13 3 2 6" xfId="27326"/>
    <cellStyle name="Normal 13 3 2 6 2" xfId="27327"/>
    <cellStyle name="Normal 13 3 2 7" xfId="27328"/>
    <cellStyle name="Normal 13 3 3" xfId="9612"/>
    <cellStyle name="Normal 13 3 3 2" xfId="17381"/>
    <cellStyle name="Normal 13 3 3 2 2" xfId="17382"/>
    <cellStyle name="Normal 13 3 3 2 2 2" xfId="27329"/>
    <cellStyle name="Normal 13 3 3 2 2 2 2" xfId="27330"/>
    <cellStyle name="Normal 13 3 3 2 2 2 2 2" xfId="27331"/>
    <cellStyle name="Normal 13 3 3 2 2 2 3" xfId="27332"/>
    <cellStyle name="Normal 13 3 3 2 2 3" xfId="27333"/>
    <cellStyle name="Normal 13 3 3 2 2 3 2" xfId="27334"/>
    <cellStyle name="Normal 13 3 3 2 2 4" xfId="27335"/>
    <cellStyle name="Normal 13 3 3 2 3" xfId="27336"/>
    <cellStyle name="Normal 13 3 3 2 3 2" xfId="27337"/>
    <cellStyle name="Normal 13 3 3 2 3 2 2" xfId="27338"/>
    <cellStyle name="Normal 13 3 3 2 3 3" xfId="27339"/>
    <cellStyle name="Normal 13 3 3 2 4" xfId="27340"/>
    <cellStyle name="Normal 13 3 3 2 4 2" xfId="27341"/>
    <cellStyle name="Normal 13 3 3 2 5" xfId="27342"/>
    <cellStyle name="Normal 13 3 3 3" xfId="17383"/>
    <cellStyle name="Normal 13 3 3 3 2" xfId="27343"/>
    <cellStyle name="Normal 13 3 3 3 2 2" xfId="27344"/>
    <cellStyle name="Normal 13 3 3 3 2 2 2" xfId="27345"/>
    <cellStyle name="Normal 13 3 3 3 2 3" xfId="27346"/>
    <cellStyle name="Normal 13 3 3 3 3" xfId="27347"/>
    <cellStyle name="Normal 13 3 3 3 3 2" xfId="27348"/>
    <cellStyle name="Normal 13 3 3 3 4" xfId="27349"/>
    <cellStyle name="Normal 13 3 3 4" xfId="27350"/>
    <cellStyle name="Normal 13 3 3 4 2" xfId="27351"/>
    <cellStyle name="Normal 13 3 3 4 2 2" xfId="27352"/>
    <cellStyle name="Normal 13 3 3 4 3" xfId="27353"/>
    <cellStyle name="Normal 13 3 3 5" xfId="27354"/>
    <cellStyle name="Normal 13 3 3 5 2" xfId="27355"/>
    <cellStyle name="Normal 13 3 3 6" xfId="27356"/>
    <cellStyle name="Normal 13 3 4" xfId="9613"/>
    <cellStyle name="Normal 13 3 4 2" xfId="17384"/>
    <cellStyle name="Normal 13 3 4 2 2" xfId="27357"/>
    <cellStyle name="Normal 13 3 4 2 2 2" xfId="27358"/>
    <cellStyle name="Normal 13 3 4 2 2 2 2" xfId="27359"/>
    <cellStyle name="Normal 13 3 4 2 2 3" xfId="27360"/>
    <cellStyle name="Normal 13 3 4 2 3" xfId="27361"/>
    <cellStyle name="Normal 13 3 4 2 3 2" xfId="27362"/>
    <cellStyle name="Normal 13 3 4 2 4" xfId="27363"/>
    <cellStyle name="Normal 13 3 4 3" xfId="27364"/>
    <cellStyle name="Normal 13 3 4 3 2" xfId="27365"/>
    <cellStyle name="Normal 13 3 4 3 2 2" xfId="27366"/>
    <cellStyle name="Normal 13 3 4 3 3" xfId="27367"/>
    <cellStyle name="Normal 13 3 4 4" xfId="27368"/>
    <cellStyle name="Normal 13 3 4 4 2" xfId="27369"/>
    <cellStyle name="Normal 13 3 4 5" xfId="27370"/>
    <cellStyle name="Normal 13 3 5" xfId="17385"/>
    <cellStyle name="Normal 13 3 5 2" xfId="27371"/>
    <cellStyle name="Normal 13 3 5 2 2" xfId="27372"/>
    <cellStyle name="Normal 13 3 5 2 2 2" xfId="27373"/>
    <cellStyle name="Normal 13 3 5 2 3" xfId="27374"/>
    <cellStyle name="Normal 13 3 5 3" xfId="27375"/>
    <cellStyle name="Normal 13 3 5 3 2" xfId="27376"/>
    <cellStyle name="Normal 13 3 5 4" xfId="27377"/>
    <cellStyle name="Normal 13 3 6" xfId="27378"/>
    <cellStyle name="Normal 13 3 6 2" xfId="27379"/>
    <cellStyle name="Normal 13 3 6 2 2" xfId="27380"/>
    <cellStyle name="Normal 13 3 6 3" xfId="27381"/>
    <cellStyle name="Normal 13 3 7" xfId="27382"/>
    <cellStyle name="Normal 13 3 7 2" xfId="27383"/>
    <cellStyle name="Normal 13 3 8" xfId="27384"/>
    <cellStyle name="Normal 13 4" xfId="9614"/>
    <cellStyle name="Normal 13 4 2" xfId="9615"/>
    <cellStyle name="Normal 13 4 2 2" xfId="17386"/>
    <cellStyle name="Normal 13 4 2 2 2" xfId="17387"/>
    <cellStyle name="Normal 13 4 2 2 2 2" xfId="27385"/>
    <cellStyle name="Normal 13 4 2 2 2 2 2" xfId="27386"/>
    <cellStyle name="Normal 13 4 2 2 2 2 2 2" xfId="27387"/>
    <cellStyle name="Normal 13 4 2 2 2 2 3" xfId="27388"/>
    <cellStyle name="Normal 13 4 2 2 2 3" xfId="27389"/>
    <cellStyle name="Normal 13 4 2 2 2 3 2" xfId="27390"/>
    <cellStyle name="Normal 13 4 2 2 2 4" xfId="27391"/>
    <cellStyle name="Normal 13 4 2 2 3" xfId="27392"/>
    <cellStyle name="Normal 13 4 2 2 3 2" xfId="27393"/>
    <cellStyle name="Normal 13 4 2 2 3 2 2" xfId="27394"/>
    <cellStyle name="Normal 13 4 2 2 3 3" xfId="27395"/>
    <cellStyle name="Normal 13 4 2 2 4" xfId="27396"/>
    <cellStyle name="Normal 13 4 2 2 4 2" xfId="27397"/>
    <cellStyle name="Normal 13 4 2 2 5" xfId="27398"/>
    <cellStyle name="Normal 13 4 2 3" xfId="17388"/>
    <cellStyle name="Normal 13 4 2 3 2" xfId="27399"/>
    <cellStyle name="Normal 13 4 2 3 2 2" xfId="27400"/>
    <cellStyle name="Normal 13 4 2 3 2 2 2" xfId="27401"/>
    <cellStyle name="Normal 13 4 2 3 2 3" xfId="27402"/>
    <cellStyle name="Normal 13 4 2 3 3" xfId="27403"/>
    <cellStyle name="Normal 13 4 2 3 3 2" xfId="27404"/>
    <cellStyle name="Normal 13 4 2 3 4" xfId="27405"/>
    <cellStyle name="Normal 13 4 2 4" xfId="27406"/>
    <cellStyle name="Normal 13 4 2 4 2" xfId="27407"/>
    <cellStyle name="Normal 13 4 2 4 2 2" xfId="27408"/>
    <cellStyle name="Normal 13 4 2 4 3" xfId="27409"/>
    <cellStyle name="Normal 13 4 2 5" xfId="27410"/>
    <cellStyle name="Normal 13 4 2 5 2" xfId="27411"/>
    <cellStyle name="Normal 13 4 2 6" xfId="27412"/>
    <cellStyle name="Normal 13 4 3" xfId="9616"/>
    <cellStyle name="Normal 13 4 3 2" xfId="17389"/>
    <cellStyle name="Normal 13 4 3 2 2" xfId="27413"/>
    <cellStyle name="Normal 13 4 3 2 2 2" xfId="27414"/>
    <cellStyle name="Normal 13 4 3 2 2 2 2" xfId="27415"/>
    <cellStyle name="Normal 13 4 3 2 2 3" xfId="27416"/>
    <cellStyle name="Normal 13 4 3 2 3" xfId="27417"/>
    <cellStyle name="Normal 13 4 3 2 3 2" xfId="27418"/>
    <cellStyle name="Normal 13 4 3 2 4" xfId="27419"/>
    <cellStyle name="Normal 13 4 3 3" xfId="27420"/>
    <cellStyle name="Normal 13 4 3 3 2" xfId="27421"/>
    <cellStyle name="Normal 13 4 3 3 2 2" xfId="27422"/>
    <cellStyle name="Normal 13 4 3 3 3" xfId="27423"/>
    <cellStyle name="Normal 13 4 3 4" xfId="27424"/>
    <cellStyle name="Normal 13 4 3 4 2" xfId="27425"/>
    <cellStyle name="Normal 13 4 3 5" xfId="27426"/>
    <cellStyle name="Normal 13 4 4" xfId="9617"/>
    <cellStyle name="Normal 13 4 4 2" xfId="27427"/>
    <cellStyle name="Normal 13 4 4 2 2" xfId="27428"/>
    <cellStyle name="Normal 13 4 4 2 2 2" xfId="27429"/>
    <cellStyle name="Normal 13 4 4 2 3" xfId="27430"/>
    <cellStyle name="Normal 13 4 4 3" xfId="27431"/>
    <cellStyle name="Normal 13 4 4 3 2" xfId="27432"/>
    <cellStyle name="Normal 13 4 4 4" xfId="27433"/>
    <cellStyle name="Normal 13 4 5" xfId="27434"/>
    <cellStyle name="Normal 13 4 5 2" xfId="27435"/>
    <cellStyle name="Normal 13 4 5 2 2" xfId="27436"/>
    <cellStyle name="Normal 13 4 5 3" xfId="27437"/>
    <cellStyle name="Normal 13 4 6" xfId="27438"/>
    <cellStyle name="Normal 13 4 6 2" xfId="27439"/>
    <cellStyle name="Normal 13 4 7" xfId="27440"/>
    <cellStyle name="Normal 13 5" xfId="9618"/>
    <cellStyle name="Normal 13 5 2" xfId="17390"/>
    <cellStyle name="Normal 13 5 2 2" xfId="17391"/>
    <cellStyle name="Normal 13 5 2 2 2" xfId="27441"/>
    <cellStyle name="Normal 13 5 2 2 2 2" xfId="27442"/>
    <cellStyle name="Normal 13 5 2 2 2 2 2" xfId="27443"/>
    <cellStyle name="Normal 13 5 2 2 2 3" xfId="27444"/>
    <cellStyle name="Normal 13 5 2 2 3" xfId="27445"/>
    <cellStyle name="Normal 13 5 2 2 3 2" xfId="27446"/>
    <cellStyle name="Normal 13 5 2 2 4" xfId="27447"/>
    <cellStyle name="Normal 13 5 2 3" xfId="27448"/>
    <cellStyle name="Normal 13 5 2 3 2" xfId="27449"/>
    <cellStyle name="Normal 13 5 2 3 2 2" xfId="27450"/>
    <cellStyle name="Normal 13 5 2 3 3" xfId="27451"/>
    <cellStyle name="Normal 13 5 2 4" xfId="27452"/>
    <cellStyle name="Normal 13 5 2 4 2" xfId="27453"/>
    <cellStyle name="Normal 13 5 2 5" xfId="27454"/>
    <cellStyle name="Normal 13 5 3" xfId="17392"/>
    <cellStyle name="Normal 13 5 3 2" xfId="27455"/>
    <cellStyle name="Normal 13 5 3 2 2" xfId="27456"/>
    <cellStyle name="Normal 13 5 3 2 2 2" xfId="27457"/>
    <cellStyle name="Normal 13 5 3 2 3" xfId="27458"/>
    <cellStyle name="Normal 13 5 3 3" xfId="27459"/>
    <cellStyle name="Normal 13 5 3 3 2" xfId="27460"/>
    <cellStyle name="Normal 13 5 3 4" xfId="27461"/>
    <cellStyle name="Normal 13 5 4" xfId="27462"/>
    <cellStyle name="Normal 13 5 4 2" xfId="27463"/>
    <cellStyle name="Normal 13 5 4 2 2" xfId="27464"/>
    <cellStyle name="Normal 13 5 4 3" xfId="27465"/>
    <cellStyle name="Normal 13 5 5" xfId="27466"/>
    <cellStyle name="Normal 13 5 5 2" xfId="27467"/>
    <cellStyle name="Normal 13 5 6" xfId="27468"/>
    <cellStyle name="Normal 13 6" xfId="9619"/>
    <cellStyle name="Normal 13 6 2" xfId="17393"/>
    <cellStyle name="Normal 13 6 2 2" xfId="27469"/>
    <cellStyle name="Normal 13 6 2 2 2" xfId="27470"/>
    <cellStyle name="Normal 13 6 2 2 2 2" xfId="27471"/>
    <cellStyle name="Normal 13 6 2 2 3" xfId="27472"/>
    <cellStyle name="Normal 13 6 2 3" xfId="27473"/>
    <cellStyle name="Normal 13 6 2 3 2" xfId="27474"/>
    <cellStyle name="Normal 13 6 2 4" xfId="27475"/>
    <cellStyle name="Normal 13 6 3" xfId="27476"/>
    <cellStyle name="Normal 13 6 3 2" xfId="27477"/>
    <cellStyle name="Normal 13 6 3 2 2" xfId="27478"/>
    <cellStyle name="Normal 13 6 3 3" xfId="27479"/>
    <cellStyle name="Normal 13 6 4" xfId="27480"/>
    <cellStyle name="Normal 13 6 4 2" xfId="27481"/>
    <cellStyle name="Normal 13 6 5" xfId="27482"/>
    <cellStyle name="Normal 13 7" xfId="9620"/>
    <cellStyle name="Normal 13 7 2" xfId="27483"/>
    <cellStyle name="Normal 13 7 2 2" xfId="27484"/>
    <cellStyle name="Normal 13 7 2 2 2" xfId="27485"/>
    <cellStyle name="Normal 13 7 2 3" xfId="27486"/>
    <cellStyle name="Normal 13 7 3" xfId="27487"/>
    <cellStyle name="Normal 13 7 3 2" xfId="27488"/>
    <cellStyle name="Normal 13 7 4" xfId="27489"/>
    <cellStyle name="Normal 13 8" xfId="27490"/>
    <cellStyle name="Normal 13 8 2" xfId="27491"/>
    <cellStyle name="Normal 13 8 2 2" xfId="27492"/>
    <cellStyle name="Normal 13 8 3" xfId="27493"/>
    <cellStyle name="Normal 13 9" xfId="27494"/>
    <cellStyle name="Normal 13 9 2" xfId="27495"/>
    <cellStyle name="Normal 130" xfId="17394"/>
    <cellStyle name="Normal 130 2" xfId="17395"/>
    <cellStyle name="Normal 130 2 2" xfId="27496"/>
    <cellStyle name="Normal 130 2 2 2" xfId="27497"/>
    <cellStyle name="Normal 130 2 2 2 2" xfId="27498"/>
    <cellStyle name="Normal 130 2 2 3" xfId="27499"/>
    <cellStyle name="Normal 130 2 3" xfId="27500"/>
    <cellStyle name="Normal 130 2 3 2" xfId="27501"/>
    <cellStyle name="Normal 130 2 4" xfId="27502"/>
    <cellStyle name="Normal 130 2 5" xfId="27503"/>
    <cellStyle name="Normal 130 3" xfId="27504"/>
    <cellStyle name="Normal 130 3 2" xfId="27505"/>
    <cellStyle name="Normal 130 3 2 2" xfId="27506"/>
    <cellStyle name="Normal 130 3 3" xfId="27507"/>
    <cellStyle name="Normal 130 4" xfId="27508"/>
    <cellStyle name="Normal 130 4 2" xfId="27509"/>
    <cellStyle name="Normal 130 5" xfId="27510"/>
    <cellStyle name="Normal 130 6" xfId="27511"/>
    <cellStyle name="Normal 131" xfId="17396"/>
    <cellStyle name="Normal 131 2" xfId="17397"/>
    <cellStyle name="Normal 131 2 2" xfId="27512"/>
    <cellStyle name="Normal 131 2 2 2" xfId="27513"/>
    <cellStyle name="Normal 131 2 2 2 2" xfId="27514"/>
    <cellStyle name="Normal 131 2 2 3" xfId="27515"/>
    <cellStyle name="Normal 131 2 3" xfId="27516"/>
    <cellStyle name="Normal 131 2 3 2" xfId="27517"/>
    <cellStyle name="Normal 131 2 4" xfId="27518"/>
    <cellStyle name="Normal 131 3" xfId="27519"/>
    <cellStyle name="Normal 131 3 2" xfId="27520"/>
    <cellStyle name="Normal 131 3 2 2" xfId="27521"/>
    <cellStyle name="Normal 131 3 3" xfId="27522"/>
    <cellStyle name="Normal 131 4" xfId="27523"/>
    <cellStyle name="Normal 131 4 2" xfId="27524"/>
    <cellStyle name="Normal 131 5" xfId="27525"/>
    <cellStyle name="Normal 132" xfId="17398"/>
    <cellStyle name="Normal 132 2" xfId="17399"/>
    <cellStyle name="Normal 132 2 2" xfId="27526"/>
    <cellStyle name="Normal 132 2 2 2" xfId="27527"/>
    <cellStyle name="Normal 132 2 2 2 2" xfId="27528"/>
    <cellStyle name="Normal 132 2 2 3" xfId="27529"/>
    <cellStyle name="Normal 132 2 3" xfId="27530"/>
    <cellStyle name="Normal 132 2 3 2" xfId="27531"/>
    <cellStyle name="Normal 132 2 4" xfId="27532"/>
    <cellStyle name="Normal 132 3" xfId="27533"/>
    <cellStyle name="Normal 132 3 2" xfId="27534"/>
    <cellStyle name="Normal 132 3 2 2" xfId="27535"/>
    <cellStyle name="Normal 132 3 3" xfId="27536"/>
    <cellStyle name="Normal 132 4" xfId="27537"/>
    <cellStyle name="Normal 132 4 2" xfId="27538"/>
    <cellStyle name="Normal 132 5" xfId="27539"/>
    <cellStyle name="Normal 133" xfId="17400"/>
    <cellStyle name="Normal 133 2" xfId="17401"/>
    <cellStyle name="Normal 133 2 2" xfId="27540"/>
    <cellStyle name="Normal 133 2 2 2" xfId="27541"/>
    <cellStyle name="Normal 133 2 2 2 2" xfId="27542"/>
    <cellStyle name="Normal 133 2 2 3" xfId="27543"/>
    <cellStyle name="Normal 133 2 3" xfId="27544"/>
    <cellStyle name="Normal 133 2 3 2" xfId="27545"/>
    <cellStyle name="Normal 133 2 4" xfId="27546"/>
    <cellStyle name="Normal 133 3" xfId="27547"/>
    <cellStyle name="Normal 133 3 2" xfId="27548"/>
    <cellStyle name="Normal 133 3 2 2" xfId="27549"/>
    <cellStyle name="Normal 133 3 3" xfId="27550"/>
    <cellStyle name="Normal 133 4" xfId="27551"/>
    <cellStyle name="Normal 133 4 2" xfId="27552"/>
    <cellStyle name="Normal 133 5" xfId="27553"/>
    <cellStyle name="Normal 134" xfId="17402"/>
    <cellStyle name="Normal 134 2" xfId="17403"/>
    <cellStyle name="Normal 134 2 2" xfId="27554"/>
    <cellStyle name="Normal 134 2 2 2" xfId="27555"/>
    <cellStyle name="Normal 134 2 2 2 2" xfId="27556"/>
    <cellStyle name="Normal 134 2 2 3" xfId="27557"/>
    <cellStyle name="Normal 134 2 3" xfId="27558"/>
    <cellStyle name="Normal 134 2 3 2" xfId="27559"/>
    <cellStyle name="Normal 134 2 4" xfId="27560"/>
    <cellStyle name="Normal 134 3" xfId="27561"/>
    <cellStyle name="Normal 134 3 2" xfId="27562"/>
    <cellStyle name="Normal 134 3 2 2" xfId="27563"/>
    <cellStyle name="Normal 134 3 3" xfId="27564"/>
    <cellStyle name="Normal 134 4" xfId="27565"/>
    <cellStyle name="Normal 134 4 2" xfId="27566"/>
    <cellStyle name="Normal 134 5" xfId="27567"/>
    <cellStyle name="Normal 135" xfId="17404"/>
    <cellStyle name="Normal 135 2" xfId="17405"/>
    <cellStyle name="Normal 135 2 2" xfId="27568"/>
    <cellStyle name="Normal 135 2 2 2" xfId="27569"/>
    <cellStyle name="Normal 135 2 2 2 2" xfId="27570"/>
    <cellStyle name="Normal 135 2 2 3" xfId="27571"/>
    <cellStyle name="Normal 135 2 3" xfId="27572"/>
    <cellStyle name="Normal 135 2 3 2" xfId="27573"/>
    <cellStyle name="Normal 135 2 4" xfId="27574"/>
    <cellStyle name="Normal 135 3" xfId="27575"/>
    <cellStyle name="Normal 135 3 2" xfId="27576"/>
    <cellStyle name="Normal 135 3 2 2" xfId="27577"/>
    <cellStyle name="Normal 135 3 3" xfId="27578"/>
    <cellStyle name="Normal 135 4" xfId="27579"/>
    <cellStyle name="Normal 135 4 2" xfId="27580"/>
    <cellStyle name="Normal 135 5" xfId="27581"/>
    <cellStyle name="Normal 136" xfId="17406"/>
    <cellStyle name="Normal 136 2" xfId="17407"/>
    <cellStyle name="Normal 136 2 2" xfId="27582"/>
    <cellStyle name="Normal 136 2 2 2" xfId="27583"/>
    <cellStyle name="Normal 136 2 2 2 2" xfId="27584"/>
    <cellStyle name="Normal 136 2 2 3" xfId="27585"/>
    <cellStyle name="Normal 136 2 3" xfId="27586"/>
    <cellStyle name="Normal 136 2 3 2" xfId="27587"/>
    <cellStyle name="Normal 136 2 4" xfId="27588"/>
    <cellStyle name="Normal 136 3" xfId="27589"/>
    <cellStyle name="Normal 136 3 2" xfId="27590"/>
    <cellStyle name="Normal 136 3 2 2" xfId="27591"/>
    <cellStyle name="Normal 136 3 3" xfId="27592"/>
    <cellStyle name="Normal 136 4" xfId="27593"/>
    <cellStyle name="Normal 136 4 2" xfId="27594"/>
    <cellStyle name="Normal 136 5" xfId="27595"/>
    <cellStyle name="Normal 137" xfId="17408"/>
    <cellStyle name="Normal 137 2" xfId="17409"/>
    <cellStyle name="Normal 137 2 2" xfId="27596"/>
    <cellStyle name="Normal 137 2 2 2" xfId="27597"/>
    <cellStyle name="Normal 137 2 2 2 2" xfId="27598"/>
    <cellStyle name="Normal 137 2 2 3" xfId="27599"/>
    <cellStyle name="Normal 137 2 3" xfId="27600"/>
    <cellStyle name="Normal 137 2 3 2" xfId="27601"/>
    <cellStyle name="Normal 137 2 4" xfId="27602"/>
    <cellStyle name="Normal 137 3" xfId="27603"/>
    <cellStyle name="Normal 137 3 2" xfId="27604"/>
    <cellStyle name="Normal 137 3 2 2" xfId="27605"/>
    <cellStyle name="Normal 137 3 3" xfId="27606"/>
    <cellStyle name="Normal 137 4" xfId="27607"/>
    <cellStyle name="Normal 137 4 2" xfId="27608"/>
    <cellStyle name="Normal 137 5" xfId="27609"/>
    <cellStyle name="Normal 138" xfId="17410"/>
    <cellStyle name="Normal 138 2" xfId="17411"/>
    <cellStyle name="Normal 138 2 2" xfId="27610"/>
    <cellStyle name="Normal 138 2 2 2" xfId="27611"/>
    <cellStyle name="Normal 138 2 2 2 2" xfId="27612"/>
    <cellStyle name="Normal 138 2 2 3" xfId="27613"/>
    <cellStyle name="Normal 138 2 3" xfId="27614"/>
    <cellStyle name="Normal 138 2 3 2" xfId="27615"/>
    <cellStyle name="Normal 138 2 4" xfId="27616"/>
    <cellStyle name="Normal 138 3" xfId="27617"/>
    <cellStyle name="Normal 138 3 2" xfId="27618"/>
    <cellStyle name="Normal 138 3 2 2" xfId="27619"/>
    <cellStyle name="Normal 138 3 3" xfId="27620"/>
    <cellStyle name="Normal 138 4" xfId="27621"/>
    <cellStyle name="Normal 138 4 2" xfId="27622"/>
    <cellStyle name="Normal 138 5" xfId="27623"/>
    <cellStyle name="Normal 139" xfId="17412"/>
    <cellStyle name="Normal 139 2" xfId="17413"/>
    <cellStyle name="Normal 139 2 2" xfId="27624"/>
    <cellStyle name="Normal 139 2 2 2" xfId="27625"/>
    <cellStyle name="Normal 139 2 2 2 2" xfId="27626"/>
    <cellStyle name="Normal 139 2 2 3" xfId="27627"/>
    <cellStyle name="Normal 139 2 3" xfId="27628"/>
    <cellStyle name="Normal 139 2 3 2" xfId="27629"/>
    <cellStyle name="Normal 139 2 4" xfId="27630"/>
    <cellStyle name="Normal 139 3" xfId="27631"/>
    <cellStyle name="Normal 139 3 2" xfId="27632"/>
    <cellStyle name="Normal 139 3 2 2" xfId="27633"/>
    <cellStyle name="Normal 139 3 3" xfId="27634"/>
    <cellStyle name="Normal 139 4" xfId="27635"/>
    <cellStyle name="Normal 139 4 2" xfId="27636"/>
    <cellStyle name="Normal 139 5" xfId="27637"/>
    <cellStyle name="Normal 14" xfId="9621"/>
    <cellStyle name="Normal 14 10" xfId="27638"/>
    <cellStyle name="Normal 14 10 2" xfId="27639"/>
    <cellStyle name="Normal 14 11" xfId="27640"/>
    <cellStyle name="Normal 14 12" xfId="27641"/>
    <cellStyle name="Normal 14 2" xfId="9622"/>
    <cellStyle name="Normal 14 2 2" xfId="9623"/>
    <cellStyle name="Normal 14 2 2 2" xfId="9624"/>
    <cellStyle name="Normal 14 2 2 2 2" xfId="17414"/>
    <cellStyle name="Normal 14 2 2 2 2 2" xfId="17415"/>
    <cellStyle name="Normal 14 2 2 2 2 2 2" xfId="27642"/>
    <cellStyle name="Normal 14 2 2 2 2 2 2 2" xfId="27643"/>
    <cellStyle name="Normal 14 2 2 2 2 2 2 2 2" xfId="27644"/>
    <cellStyle name="Normal 14 2 2 2 2 2 2 3" xfId="27645"/>
    <cellStyle name="Normal 14 2 2 2 2 2 3" xfId="27646"/>
    <cellStyle name="Normal 14 2 2 2 2 2 3 2" xfId="27647"/>
    <cellStyle name="Normal 14 2 2 2 2 2 4" xfId="27648"/>
    <cellStyle name="Normal 14 2 2 2 2 3" xfId="27649"/>
    <cellStyle name="Normal 14 2 2 2 2 3 2" xfId="27650"/>
    <cellStyle name="Normal 14 2 2 2 2 3 2 2" xfId="27651"/>
    <cellStyle name="Normal 14 2 2 2 2 3 3" xfId="27652"/>
    <cellStyle name="Normal 14 2 2 2 2 4" xfId="27653"/>
    <cellStyle name="Normal 14 2 2 2 2 4 2" xfId="27654"/>
    <cellStyle name="Normal 14 2 2 2 2 5" xfId="27655"/>
    <cellStyle name="Normal 14 2 2 2 3" xfId="17416"/>
    <cellStyle name="Normal 14 2 2 2 3 2" xfId="27656"/>
    <cellStyle name="Normal 14 2 2 2 3 2 2" xfId="27657"/>
    <cellStyle name="Normal 14 2 2 2 3 2 2 2" xfId="27658"/>
    <cellStyle name="Normal 14 2 2 2 3 2 3" xfId="27659"/>
    <cellStyle name="Normal 14 2 2 2 3 3" xfId="27660"/>
    <cellStyle name="Normal 14 2 2 2 3 3 2" xfId="27661"/>
    <cellStyle name="Normal 14 2 2 2 3 4" xfId="27662"/>
    <cellStyle name="Normal 14 2 2 2 4" xfId="27663"/>
    <cellStyle name="Normal 14 2 2 2 4 2" xfId="27664"/>
    <cellStyle name="Normal 14 2 2 2 4 2 2" xfId="27665"/>
    <cellStyle name="Normal 14 2 2 2 4 3" xfId="27666"/>
    <cellStyle name="Normal 14 2 2 2 5" xfId="27667"/>
    <cellStyle name="Normal 14 2 2 2 5 2" xfId="27668"/>
    <cellStyle name="Normal 14 2 2 2 6" xfId="27669"/>
    <cellStyle name="Normal 14 2 2 3" xfId="9625"/>
    <cellStyle name="Normal 14 2 2 3 2" xfId="17417"/>
    <cellStyle name="Normal 14 2 2 3 2 2" xfId="27670"/>
    <cellStyle name="Normal 14 2 2 3 2 2 2" xfId="27671"/>
    <cellStyle name="Normal 14 2 2 3 2 2 2 2" xfId="27672"/>
    <cellStyle name="Normal 14 2 2 3 2 2 3" xfId="27673"/>
    <cellStyle name="Normal 14 2 2 3 2 3" xfId="27674"/>
    <cellStyle name="Normal 14 2 2 3 2 3 2" xfId="27675"/>
    <cellStyle name="Normal 14 2 2 3 2 4" xfId="27676"/>
    <cellStyle name="Normal 14 2 2 3 3" xfId="27677"/>
    <cellStyle name="Normal 14 2 2 3 3 2" xfId="27678"/>
    <cellStyle name="Normal 14 2 2 3 3 2 2" xfId="27679"/>
    <cellStyle name="Normal 14 2 2 3 3 3" xfId="27680"/>
    <cellStyle name="Normal 14 2 2 3 4" xfId="27681"/>
    <cellStyle name="Normal 14 2 2 3 4 2" xfId="27682"/>
    <cellStyle name="Normal 14 2 2 3 5" xfId="27683"/>
    <cellStyle name="Normal 14 2 2 4" xfId="9626"/>
    <cellStyle name="Normal 14 2 2 4 2" xfId="27684"/>
    <cellStyle name="Normal 14 2 2 4 2 2" xfId="27685"/>
    <cellStyle name="Normal 14 2 2 4 2 2 2" xfId="27686"/>
    <cellStyle name="Normal 14 2 2 4 2 3" xfId="27687"/>
    <cellStyle name="Normal 14 2 2 4 3" xfId="27688"/>
    <cellStyle name="Normal 14 2 2 4 3 2" xfId="27689"/>
    <cellStyle name="Normal 14 2 2 4 4" xfId="27690"/>
    <cellStyle name="Normal 14 2 2 5" xfId="27691"/>
    <cellStyle name="Normal 14 2 2 5 2" xfId="27692"/>
    <cellStyle name="Normal 14 2 2 5 2 2" xfId="27693"/>
    <cellStyle name="Normal 14 2 2 5 3" xfId="27694"/>
    <cellStyle name="Normal 14 2 2 6" xfId="27695"/>
    <cellStyle name="Normal 14 2 2 6 2" xfId="27696"/>
    <cellStyle name="Normal 14 2 2 7" xfId="27697"/>
    <cellStyle name="Normal 14 2 3" xfId="9627"/>
    <cellStyle name="Normal 14 2 3 2" xfId="9628"/>
    <cellStyle name="Normal 14 2 3 2 2" xfId="17418"/>
    <cellStyle name="Normal 14 2 3 2 2 2" xfId="27698"/>
    <cellStyle name="Normal 14 2 3 2 2 2 2" xfId="27699"/>
    <cellStyle name="Normal 14 2 3 2 2 2 2 2" xfId="27700"/>
    <cellStyle name="Normal 14 2 3 2 2 2 3" xfId="27701"/>
    <cellStyle name="Normal 14 2 3 2 2 3" xfId="27702"/>
    <cellStyle name="Normal 14 2 3 2 2 3 2" xfId="27703"/>
    <cellStyle name="Normal 14 2 3 2 2 4" xfId="27704"/>
    <cellStyle name="Normal 14 2 3 2 3" xfId="27705"/>
    <cellStyle name="Normal 14 2 3 2 3 2" xfId="27706"/>
    <cellStyle name="Normal 14 2 3 2 3 2 2" xfId="27707"/>
    <cellStyle name="Normal 14 2 3 2 3 3" xfId="27708"/>
    <cellStyle name="Normal 14 2 3 2 4" xfId="27709"/>
    <cellStyle name="Normal 14 2 3 2 4 2" xfId="27710"/>
    <cellStyle name="Normal 14 2 3 2 5" xfId="27711"/>
    <cellStyle name="Normal 14 2 3 3" xfId="9629"/>
    <cellStyle name="Normal 14 2 3 3 2" xfId="27712"/>
    <cellStyle name="Normal 14 2 3 3 2 2" xfId="27713"/>
    <cellStyle name="Normal 14 2 3 3 2 2 2" xfId="27714"/>
    <cellStyle name="Normal 14 2 3 3 2 3" xfId="27715"/>
    <cellStyle name="Normal 14 2 3 3 3" xfId="27716"/>
    <cellStyle name="Normal 14 2 3 3 3 2" xfId="27717"/>
    <cellStyle name="Normal 14 2 3 3 4" xfId="27718"/>
    <cellStyle name="Normal 14 2 3 4" xfId="9630"/>
    <cellStyle name="Normal 14 2 3 4 2" xfId="27719"/>
    <cellStyle name="Normal 14 2 3 4 2 2" xfId="27720"/>
    <cellStyle name="Normal 14 2 3 4 3" xfId="27721"/>
    <cellStyle name="Normal 14 2 3 5" xfId="27722"/>
    <cellStyle name="Normal 14 2 3 5 2" xfId="27723"/>
    <cellStyle name="Normal 14 2 3 6" xfId="27724"/>
    <cellStyle name="Normal 14 2 4" xfId="9631"/>
    <cellStyle name="Normal 14 2 4 2" xfId="17419"/>
    <cellStyle name="Normal 14 2 4 2 2" xfId="27725"/>
    <cellStyle name="Normal 14 2 4 2 2 2" xfId="27726"/>
    <cellStyle name="Normal 14 2 4 2 2 2 2" xfId="27727"/>
    <cellStyle name="Normal 14 2 4 2 2 3" xfId="27728"/>
    <cellStyle name="Normal 14 2 4 2 3" xfId="27729"/>
    <cellStyle name="Normal 14 2 4 2 3 2" xfId="27730"/>
    <cellStyle name="Normal 14 2 4 2 4" xfId="27731"/>
    <cellStyle name="Normal 14 2 4 3" xfId="27732"/>
    <cellStyle name="Normal 14 2 4 3 2" xfId="27733"/>
    <cellStyle name="Normal 14 2 4 3 2 2" xfId="27734"/>
    <cellStyle name="Normal 14 2 4 3 3" xfId="27735"/>
    <cellStyle name="Normal 14 2 4 4" xfId="27736"/>
    <cellStyle name="Normal 14 2 4 4 2" xfId="27737"/>
    <cellStyle name="Normal 14 2 4 5" xfId="27738"/>
    <cellStyle name="Normal 14 2 5" xfId="9632"/>
    <cellStyle name="Normal 14 2 5 2" xfId="27739"/>
    <cellStyle name="Normal 14 2 5 2 2" xfId="27740"/>
    <cellStyle name="Normal 14 2 5 2 2 2" xfId="27741"/>
    <cellStyle name="Normal 14 2 5 2 3" xfId="27742"/>
    <cellStyle name="Normal 14 2 5 3" xfId="27743"/>
    <cellStyle name="Normal 14 2 5 3 2" xfId="27744"/>
    <cellStyle name="Normal 14 2 5 4" xfId="27745"/>
    <cellStyle name="Normal 14 2 6" xfId="9633"/>
    <cellStyle name="Normal 14 2 6 2" xfId="27746"/>
    <cellStyle name="Normal 14 2 6 2 2" xfId="27747"/>
    <cellStyle name="Normal 14 2 6 3" xfId="27748"/>
    <cellStyle name="Normal 14 2 7" xfId="9634"/>
    <cellStyle name="Normal 14 2 7 2" xfId="27749"/>
    <cellStyle name="Normal 14 2 8" xfId="27750"/>
    <cellStyle name="Normal 14 2 9" xfId="27751"/>
    <cellStyle name="Normal 14 3" xfId="9635"/>
    <cellStyle name="Normal 14 3 2" xfId="9636"/>
    <cellStyle name="Normal 14 3 2 2" xfId="17420"/>
    <cellStyle name="Normal 14 3 2 2 2" xfId="17421"/>
    <cellStyle name="Normal 14 3 2 2 2 2" xfId="17422"/>
    <cellStyle name="Normal 14 3 2 2 2 2 2" xfId="27752"/>
    <cellStyle name="Normal 14 3 2 2 2 2 2 2" xfId="27753"/>
    <cellStyle name="Normal 14 3 2 2 2 2 2 2 2" xfId="27754"/>
    <cellStyle name="Normal 14 3 2 2 2 2 2 3" xfId="27755"/>
    <cellStyle name="Normal 14 3 2 2 2 2 3" xfId="27756"/>
    <cellStyle name="Normal 14 3 2 2 2 2 3 2" xfId="27757"/>
    <cellStyle name="Normal 14 3 2 2 2 2 4" xfId="27758"/>
    <cellStyle name="Normal 14 3 2 2 2 3" xfId="27759"/>
    <cellStyle name="Normal 14 3 2 2 2 3 2" xfId="27760"/>
    <cellStyle name="Normal 14 3 2 2 2 3 2 2" xfId="27761"/>
    <cellStyle name="Normal 14 3 2 2 2 3 3" xfId="27762"/>
    <cellStyle name="Normal 14 3 2 2 2 4" xfId="27763"/>
    <cellStyle name="Normal 14 3 2 2 2 4 2" xfId="27764"/>
    <cellStyle name="Normal 14 3 2 2 2 5" xfId="27765"/>
    <cellStyle name="Normal 14 3 2 2 3" xfId="17423"/>
    <cellStyle name="Normal 14 3 2 2 3 2" xfId="27766"/>
    <cellStyle name="Normal 14 3 2 2 3 2 2" xfId="27767"/>
    <cellStyle name="Normal 14 3 2 2 3 2 2 2" xfId="27768"/>
    <cellStyle name="Normal 14 3 2 2 3 2 3" xfId="27769"/>
    <cellStyle name="Normal 14 3 2 2 3 3" xfId="27770"/>
    <cellStyle name="Normal 14 3 2 2 3 3 2" xfId="27771"/>
    <cellStyle name="Normal 14 3 2 2 3 4" xfId="27772"/>
    <cellStyle name="Normal 14 3 2 2 4" xfId="27773"/>
    <cellStyle name="Normal 14 3 2 2 4 2" xfId="27774"/>
    <cellStyle name="Normal 14 3 2 2 4 2 2" xfId="27775"/>
    <cellStyle name="Normal 14 3 2 2 4 3" xfId="27776"/>
    <cellStyle name="Normal 14 3 2 2 5" xfId="27777"/>
    <cellStyle name="Normal 14 3 2 2 5 2" xfId="27778"/>
    <cellStyle name="Normal 14 3 2 2 6" xfId="27779"/>
    <cellStyle name="Normal 14 3 2 3" xfId="17424"/>
    <cellStyle name="Normal 14 3 2 3 2" xfId="17425"/>
    <cellStyle name="Normal 14 3 2 3 2 2" xfId="27780"/>
    <cellStyle name="Normal 14 3 2 3 2 2 2" xfId="27781"/>
    <cellStyle name="Normal 14 3 2 3 2 2 2 2" xfId="27782"/>
    <cellStyle name="Normal 14 3 2 3 2 2 3" xfId="27783"/>
    <cellStyle name="Normal 14 3 2 3 2 3" xfId="27784"/>
    <cellStyle name="Normal 14 3 2 3 2 3 2" xfId="27785"/>
    <cellStyle name="Normal 14 3 2 3 2 4" xfId="27786"/>
    <cellStyle name="Normal 14 3 2 3 3" xfId="27787"/>
    <cellStyle name="Normal 14 3 2 3 3 2" xfId="27788"/>
    <cellStyle name="Normal 14 3 2 3 3 2 2" xfId="27789"/>
    <cellStyle name="Normal 14 3 2 3 3 3" xfId="27790"/>
    <cellStyle name="Normal 14 3 2 3 4" xfId="27791"/>
    <cellStyle name="Normal 14 3 2 3 4 2" xfId="27792"/>
    <cellStyle name="Normal 14 3 2 3 5" xfId="27793"/>
    <cellStyle name="Normal 14 3 2 4" xfId="17426"/>
    <cellStyle name="Normal 14 3 2 4 2" xfId="27794"/>
    <cellStyle name="Normal 14 3 2 4 2 2" xfId="27795"/>
    <cellStyle name="Normal 14 3 2 4 2 2 2" xfId="27796"/>
    <cellStyle name="Normal 14 3 2 4 2 3" xfId="27797"/>
    <cellStyle name="Normal 14 3 2 4 3" xfId="27798"/>
    <cellStyle name="Normal 14 3 2 4 3 2" xfId="27799"/>
    <cellStyle name="Normal 14 3 2 4 4" xfId="27800"/>
    <cellStyle name="Normal 14 3 2 5" xfId="27801"/>
    <cellStyle name="Normal 14 3 2 5 2" xfId="27802"/>
    <cellStyle name="Normal 14 3 2 5 2 2" xfId="27803"/>
    <cellStyle name="Normal 14 3 2 5 3" xfId="27804"/>
    <cellStyle name="Normal 14 3 2 6" xfId="27805"/>
    <cellStyle name="Normal 14 3 2 6 2" xfId="27806"/>
    <cellStyle name="Normal 14 3 2 7" xfId="27807"/>
    <cellStyle name="Normal 14 3 3" xfId="9637"/>
    <cellStyle name="Normal 14 3 3 2" xfId="17427"/>
    <cellStyle name="Normal 14 3 3 2 2" xfId="17428"/>
    <cellStyle name="Normal 14 3 3 2 2 2" xfId="27808"/>
    <cellStyle name="Normal 14 3 3 2 2 2 2" xfId="27809"/>
    <cellStyle name="Normal 14 3 3 2 2 2 2 2" xfId="27810"/>
    <cellStyle name="Normal 14 3 3 2 2 2 3" xfId="27811"/>
    <cellStyle name="Normal 14 3 3 2 2 3" xfId="27812"/>
    <cellStyle name="Normal 14 3 3 2 2 3 2" xfId="27813"/>
    <cellStyle name="Normal 14 3 3 2 2 4" xfId="27814"/>
    <cellStyle name="Normal 14 3 3 2 3" xfId="27815"/>
    <cellStyle name="Normal 14 3 3 2 3 2" xfId="27816"/>
    <cellStyle name="Normal 14 3 3 2 3 2 2" xfId="27817"/>
    <cellStyle name="Normal 14 3 3 2 3 3" xfId="27818"/>
    <cellStyle name="Normal 14 3 3 2 4" xfId="27819"/>
    <cellStyle name="Normal 14 3 3 2 4 2" xfId="27820"/>
    <cellStyle name="Normal 14 3 3 2 5" xfId="27821"/>
    <cellStyle name="Normal 14 3 3 3" xfId="17429"/>
    <cellStyle name="Normal 14 3 3 3 2" xfId="27822"/>
    <cellStyle name="Normal 14 3 3 3 2 2" xfId="27823"/>
    <cellStyle name="Normal 14 3 3 3 2 2 2" xfId="27824"/>
    <cellStyle name="Normal 14 3 3 3 2 3" xfId="27825"/>
    <cellStyle name="Normal 14 3 3 3 3" xfId="27826"/>
    <cellStyle name="Normal 14 3 3 3 3 2" xfId="27827"/>
    <cellStyle name="Normal 14 3 3 3 4" xfId="27828"/>
    <cellStyle name="Normal 14 3 3 4" xfId="27829"/>
    <cellStyle name="Normal 14 3 3 4 2" xfId="27830"/>
    <cellStyle name="Normal 14 3 3 4 2 2" xfId="27831"/>
    <cellStyle name="Normal 14 3 3 4 3" xfId="27832"/>
    <cellStyle name="Normal 14 3 3 5" xfId="27833"/>
    <cellStyle name="Normal 14 3 3 5 2" xfId="27834"/>
    <cellStyle name="Normal 14 3 3 6" xfId="27835"/>
    <cellStyle name="Normal 14 3 4" xfId="9638"/>
    <cellStyle name="Normal 14 3 4 2" xfId="17430"/>
    <cellStyle name="Normal 14 3 4 2 2" xfId="27836"/>
    <cellStyle name="Normal 14 3 4 2 2 2" xfId="27837"/>
    <cellStyle name="Normal 14 3 4 2 2 2 2" xfId="27838"/>
    <cellStyle name="Normal 14 3 4 2 2 3" xfId="27839"/>
    <cellStyle name="Normal 14 3 4 2 3" xfId="27840"/>
    <cellStyle name="Normal 14 3 4 2 3 2" xfId="27841"/>
    <cellStyle name="Normal 14 3 4 2 4" xfId="27842"/>
    <cellStyle name="Normal 14 3 4 3" xfId="27843"/>
    <cellStyle name="Normal 14 3 4 3 2" xfId="27844"/>
    <cellStyle name="Normal 14 3 4 3 2 2" xfId="27845"/>
    <cellStyle name="Normal 14 3 4 3 3" xfId="27846"/>
    <cellStyle name="Normal 14 3 4 4" xfId="27847"/>
    <cellStyle name="Normal 14 3 4 4 2" xfId="27848"/>
    <cellStyle name="Normal 14 3 4 5" xfId="27849"/>
    <cellStyle name="Normal 14 3 5" xfId="17431"/>
    <cellStyle name="Normal 14 3 5 2" xfId="27850"/>
    <cellStyle name="Normal 14 3 5 2 2" xfId="27851"/>
    <cellStyle name="Normal 14 3 5 2 2 2" xfId="27852"/>
    <cellStyle name="Normal 14 3 5 2 3" xfId="27853"/>
    <cellStyle name="Normal 14 3 5 3" xfId="27854"/>
    <cellStyle name="Normal 14 3 5 3 2" xfId="27855"/>
    <cellStyle name="Normal 14 3 5 4" xfId="27856"/>
    <cellStyle name="Normal 14 3 6" xfId="27857"/>
    <cellStyle name="Normal 14 3 6 2" xfId="27858"/>
    <cellStyle name="Normal 14 3 6 2 2" xfId="27859"/>
    <cellStyle name="Normal 14 3 6 3" xfId="27860"/>
    <cellStyle name="Normal 14 3 7" xfId="27861"/>
    <cellStyle name="Normal 14 3 7 2" xfId="27862"/>
    <cellStyle name="Normal 14 3 8" xfId="27863"/>
    <cellStyle name="Normal 14 4" xfId="9639"/>
    <cellStyle name="Normal 14 4 2" xfId="9640"/>
    <cellStyle name="Normal 14 4 2 2" xfId="17432"/>
    <cellStyle name="Normal 14 4 2 2 2" xfId="17433"/>
    <cellStyle name="Normal 14 4 2 2 2 2" xfId="27864"/>
    <cellStyle name="Normal 14 4 2 2 2 2 2" xfId="27865"/>
    <cellStyle name="Normal 14 4 2 2 2 2 2 2" xfId="27866"/>
    <cellStyle name="Normal 14 4 2 2 2 2 3" xfId="27867"/>
    <cellStyle name="Normal 14 4 2 2 2 3" xfId="27868"/>
    <cellStyle name="Normal 14 4 2 2 2 3 2" xfId="27869"/>
    <cellStyle name="Normal 14 4 2 2 2 4" xfId="27870"/>
    <cellStyle name="Normal 14 4 2 2 3" xfId="27871"/>
    <cellStyle name="Normal 14 4 2 2 3 2" xfId="27872"/>
    <cellStyle name="Normal 14 4 2 2 3 2 2" xfId="27873"/>
    <cellStyle name="Normal 14 4 2 2 3 3" xfId="27874"/>
    <cellStyle name="Normal 14 4 2 2 4" xfId="27875"/>
    <cellStyle name="Normal 14 4 2 2 4 2" xfId="27876"/>
    <cellStyle name="Normal 14 4 2 2 5" xfId="27877"/>
    <cellStyle name="Normal 14 4 2 3" xfId="17434"/>
    <cellStyle name="Normal 14 4 2 3 2" xfId="27878"/>
    <cellStyle name="Normal 14 4 2 3 2 2" xfId="27879"/>
    <cellStyle name="Normal 14 4 2 3 2 2 2" xfId="27880"/>
    <cellStyle name="Normal 14 4 2 3 2 3" xfId="27881"/>
    <cellStyle name="Normal 14 4 2 3 3" xfId="27882"/>
    <cellStyle name="Normal 14 4 2 3 3 2" xfId="27883"/>
    <cellStyle name="Normal 14 4 2 3 4" xfId="27884"/>
    <cellStyle name="Normal 14 4 2 4" xfId="27885"/>
    <cellStyle name="Normal 14 4 2 4 2" xfId="27886"/>
    <cellStyle name="Normal 14 4 2 4 2 2" xfId="27887"/>
    <cellStyle name="Normal 14 4 2 4 3" xfId="27888"/>
    <cellStyle name="Normal 14 4 2 5" xfId="27889"/>
    <cellStyle name="Normal 14 4 2 5 2" xfId="27890"/>
    <cellStyle name="Normal 14 4 2 6" xfId="27891"/>
    <cellStyle name="Normal 14 4 3" xfId="9641"/>
    <cellStyle name="Normal 14 4 3 2" xfId="17435"/>
    <cellStyle name="Normal 14 4 3 2 2" xfId="27892"/>
    <cellStyle name="Normal 14 4 3 2 2 2" xfId="27893"/>
    <cellStyle name="Normal 14 4 3 2 2 2 2" xfId="27894"/>
    <cellStyle name="Normal 14 4 3 2 2 3" xfId="27895"/>
    <cellStyle name="Normal 14 4 3 2 3" xfId="27896"/>
    <cellStyle name="Normal 14 4 3 2 3 2" xfId="27897"/>
    <cellStyle name="Normal 14 4 3 2 4" xfId="27898"/>
    <cellStyle name="Normal 14 4 3 3" xfId="27899"/>
    <cellStyle name="Normal 14 4 3 3 2" xfId="27900"/>
    <cellStyle name="Normal 14 4 3 3 2 2" xfId="27901"/>
    <cellStyle name="Normal 14 4 3 3 3" xfId="27902"/>
    <cellStyle name="Normal 14 4 3 4" xfId="27903"/>
    <cellStyle name="Normal 14 4 3 4 2" xfId="27904"/>
    <cellStyle name="Normal 14 4 3 5" xfId="27905"/>
    <cellStyle name="Normal 14 4 4" xfId="9642"/>
    <cellStyle name="Normal 14 4 4 2" xfId="27906"/>
    <cellStyle name="Normal 14 4 4 2 2" xfId="27907"/>
    <cellStyle name="Normal 14 4 4 2 2 2" xfId="27908"/>
    <cellStyle name="Normal 14 4 4 2 3" xfId="27909"/>
    <cellStyle name="Normal 14 4 4 3" xfId="27910"/>
    <cellStyle name="Normal 14 4 4 3 2" xfId="27911"/>
    <cellStyle name="Normal 14 4 4 4" xfId="27912"/>
    <cellStyle name="Normal 14 4 5" xfId="27913"/>
    <cellStyle name="Normal 14 4 5 2" xfId="27914"/>
    <cellStyle name="Normal 14 4 5 2 2" xfId="27915"/>
    <cellStyle name="Normal 14 4 5 3" xfId="27916"/>
    <cellStyle name="Normal 14 4 6" xfId="27917"/>
    <cellStyle name="Normal 14 4 6 2" xfId="27918"/>
    <cellStyle name="Normal 14 4 7" xfId="27919"/>
    <cellStyle name="Normal 14 5" xfId="9643"/>
    <cellStyle name="Normal 14 5 2" xfId="17436"/>
    <cellStyle name="Normal 14 5 2 2" xfId="17437"/>
    <cellStyle name="Normal 14 5 2 2 2" xfId="27920"/>
    <cellStyle name="Normal 14 5 2 2 2 2" xfId="27921"/>
    <cellStyle name="Normal 14 5 2 2 2 2 2" xfId="27922"/>
    <cellStyle name="Normal 14 5 2 2 2 3" xfId="27923"/>
    <cellStyle name="Normal 14 5 2 2 3" xfId="27924"/>
    <cellStyle name="Normal 14 5 2 2 3 2" xfId="27925"/>
    <cellStyle name="Normal 14 5 2 2 4" xfId="27926"/>
    <cellStyle name="Normal 14 5 2 3" xfId="27927"/>
    <cellStyle name="Normal 14 5 2 3 2" xfId="27928"/>
    <cellStyle name="Normal 14 5 2 3 2 2" xfId="27929"/>
    <cellStyle name="Normal 14 5 2 3 3" xfId="27930"/>
    <cellStyle name="Normal 14 5 2 4" xfId="27931"/>
    <cellStyle name="Normal 14 5 2 4 2" xfId="27932"/>
    <cellStyle name="Normal 14 5 2 5" xfId="27933"/>
    <cellStyle name="Normal 14 5 3" xfId="17438"/>
    <cellStyle name="Normal 14 5 3 2" xfId="27934"/>
    <cellStyle name="Normal 14 5 3 2 2" xfId="27935"/>
    <cellStyle name="Normal 14 5 3 2 2 2" xfId="27936"/>
    <cellStyle name="Normal 14 5 3 2 3" xfId="27937"/>
    <cellStyle name="Normal 14 5 3 3" xfId="27938"/>
    <cellStyle name="Normal 14 5 3 3 2" xfId="27939"/>
    <cellStyle name="Normal 14 5 3 4" xfId="27940"/>
    <cellStyle name="Normal 14 5 4" xfId="27941"/>
    <cellStyle name="Normal 14 5 4 2" xfId="27942"/>
    <cellStyle name="Normal 14 5 4 2 2" xfId="27943"/>
    <cellStyle name="Normal 14 5 4 3" xfId="27944"/>
    <cellStyle name="Normal 14 5 5" xfId="27945"/>
    <cellStyle name="Normal 14 5 5 2" xfId="27946"/>
    <cellStyle name="Normal 14 5 6" xfId="27947"/>
    <cellStyle name="Normal 14 6" xfId="9644"/>
    <cellStyle name="Normal 14 6 2" xfId="17439"/>
    <cellStyle name="Normal 14 6 2 2" xfId="27948"/>
    <cellStyle name="Normal 14 6 2 2 2" xfId="27949"/>
    <cellStyle name="Normal 14 6 2 2 2 2" xfId="27950"/>
    <cellStyle name="Normal 14 6 2 2 3" xfId="27951"/>
    <cellStyle name="Normal 14 6 2 3" xfId="27952"/>
    <cellStyle name="Normal 14 6 2 3 2" xfId="27953"/>
    <cellStyle name="Normal 14 6 2 4" xfId="27954"/>
    <cellStyle name="Normal 14 6 3" xfId="27955"/>
    <cellStyle name="Normal 14 6 3 2" xfId="27956"/>
    <cellStyle name="Normal 14 6 3 2 2" xfId="27957"/>
    <cellStyle name="Normal 14 6 3 3" xfId="27958"/>
    <cellStyle name="Normal 14 6 4" xfId="27959"/>
    <cellStyle name="Normal 14 6 4 2" xfId="27960"/>
    <cellStyle name="Normal 14 6 5" xfId="27961"/>
    <cellStyle name="Normal 14 7" xfId="9645"/>
    <cellStyle name="Normal 14 7 2" xfId="27962"/>
    <cellStyle name="Normal 14 7 2 2" xfId="27963"/>
    <cellStyle name="Normal 14 7 2 2 2" xfId="27964"/>
    <cellStyle name="Normal 14 7 2 3" xfId="27965"/>
    <cellStyle name="Normal 14 7 3" xfId="27966"/>
    <cellStyle name="Normal 14 7 3 2" xfId="27967"/>
    <cellStyle name="Normal 14 7 4" xfId="27968"/>
    <cellStyle name="Normal 14 8" xfId="17440"/>
    <cellStyle name="Normal 14 8 2" xfId="27969"/>
    <cellStyle name="Normal 14 8 3" xfId="27970"/>
    <cellStyle name="Normal 14 9" xfId="27971"/>
    <cellStyle name="Normal 14 9 2" xfId="27972"/>
    <cellStyle name="Normal 14 9 2 2" xfId="27973"/>
    <cellStyle name="Normal 14 9 3" xfId="27974"/>
    <cellStyle name="Normal 140" xfId="17441"/>
    <cellStyle name="Normal 140 2" xfId="17442"/>
    <cellStyle name="Normal 140 2 2" xfId="27975"/>
    <cellStyle name="Normal 140 2 2 2" xfId="27976"/>
    <cellStyle name="Normal 140 2 2 2 2" xfId="27977"/>
    <cellStyle name="Normal 140 2 2 3" xfId="27978"/>
    <cellStyle name="Normal 140 2 3" xfId="27979"/>
    <cellStyle name="Normal 140 2 3 2" xfId="27980"/>
    <cellStyle name="Normal 140 2 4" xfId="27981"/>
    <cellStyle name="Normal 140 3" xfId="27982"/>
    <cellStyle name="Normal 140 3 2" xfId="27983"/>
    <cellStyle name="Normal 140 3 2 2" xfId="27984"/>
    <cellStyle name="Normal 140 3 3" xfId="27985"/>
    <cellStyle name="Normal 140 4" xfId="27986"/>
    <cellStyle name="Normal 140 4 2" xfId="27987"/>
    <cellStyle name="Normal 140 5" xfId="27988"/>
    <cellStyle name="Normal 141" xfId="17443"/>
    <cellStyle name="Normal 141 2" xfId="17444"/>
    <cellStyle name="Normal 141 2 2" xfId="27989"/>
    <cellStyle name="Normal 141 2 2 2" xfId="27990"/>
    <cellStyle name="Normal 141 2 2 2 2" xfId="27991"/>
    <cellStyle name="Normal 141 2 2 3" xfId="27992"/>
    <cellStyle name="Normal 141 2 3" xfId="27993"/>
    <cellStyle name="Normal 141 2 3 2" xfId="27994"/>
    <cellStyle name="Normal 141 2 4" xfId="27995"/>
    <cellStyle name="Normal 141 3" xfId="27996"/>
    <cellStyle name="Normal 141 3 2" xfId="27997"/>
    <cellStyle name="Normal 141 3 2 2" xfId="27998"/>
    <cellStyle name="Normal 141 3 3" xfId="27999"/>
    <cellStyle name="Normal 141 4" xfId="28000"/>
    <cellStyle name="Normal 141 4 2" xfId="28001"/>
    <cellStyle name="Normal 141 5" xfId="28002"/>
    <cellStyle name="Normal 142" xfId="17445"/>
    <cellStyle name="Normal 142 2" xfId="17446"/>
    <cellStyle name="Normal 142 2 2" xfId="28003"/>
    <cellStyle name="Normal 142 2 2 2" xfId="28004"/>
    <cellStyle name="Normal 142 2 2 2 2" xfId="28005"/>
    <cellStyle name="Normal 142 2 2 3" xfId="28006"/>
    <cellStyle name="Normal 142 2 3" xfId="28007"/>
    <cellStyle name="Normal 142 2 3 2" xfId="28008"/>
    <cellStyle name="Normal 142 2 4" xfId="28009"/>
    <cellStyle name="Normal 142 3" xfId="28010"/>
    <cellStyle name="Normal 142 3 2" xfId="28011"/>
    <cellStyle name="Normal 142 3 2 2" xfId="28012"/>
    <cellStyle name="Normal 142 3 3" xfId="28013"/>
    <cellStyle name="Normal 142 4" xfId="28014"/>
    <cellStyle name="Normal 142 4 2" xfId="28015"/>
    <cellStyle name="Normal 142 5" xfId="28016"/>
    <cellStyle name="Normal 143" xfId="17447"/>
    <cellStyle name="Normal 143 2" xfId="17448"/>
    <cellStyle name="Normal 143 2 2" xfId="28017"/>
    <cellStyle name="Normal 143 2 2 2" xfId="28018"/>
    <cellStyle name="Normal 143 2 2 2 2" xfId="28019"/>
    <cellStyle name="Normal 143 2 2 3" xfId="28020"/>
    <cellStyle name="Normal 143 2 3" xfId="28021"/>
    <cellStyle name="Normal 143 2 3 2" xfId="28022"/>
    <cellStyle name="Normal 143 2 4" xfId="28023"/>
    <cellStyle name="Normal 143 3" xfId="28024"/>
    <cellStyle name="Normal 143 3 2" xfId="28025"/>
    <cellStyle name="Normal 143 3 2 2" xfId="28026"/>
    <cellStyle name="Normal 143 3 3" xfId="28027"/>
    <cellStyle name="Normal 143 4" xfId="28028"/>
    <cellStyle name="Normal 143 4 2" xfId="28029"/>
    <cellStyle name="Normal 143 5" xfId="28030"/>
    <cellStyle name="Normal 144" xfId="17449"/>
    <cellStyle name="Normal 144 2" xfId="17450"/>
    <cellStyle name="Normal 144 2 2" xfId="28031"/>
    <cellStyle name="Normal 144 2 2 2" xfId="28032"/>
    <cellStyle name="Normal 144 2 2 2 2" xfId="28033"/>
    <cellStyle name="Normal 144 2 2 3" xfId="28034"/>
    <cellStyle name="Normal 144 2 3" xfId="28035"/>
    <cellStyle name="Normal 144 2 3 2" xfId="28036"/>
    <cellStyle name="Normal 144 2 4" xfId="28037"/>
    <cellStyle name="Normal 144 3" xfId="28038"/>
    <cellStyle name="Normal 144 3 2" xfId="28039"/>
    <cellStyle name="Normal 144 3 2 2" xfId="28040"/>
    <cellStyle name="Normal 144 3 3" xfId="28041"/>
    <cellStyle name="Normal 144 4" xfId="28042"/>
    <cellStyle name="Normal 144 4 2" xfId="28043"/>
    <cellStyle name="Normal 144 5" xfId="28044"/>
    <cellStyle name="Normal 145" xfId="17451"/>
    <cellStyle name="Normal 145 2" xfId="17452"/>
    <cellStyle name="Normal 145 2 2" xfId="28045"/>
    <cellStyle name="Normal 145 2 2 2" xfId="28046"/>
    <cellStyle name="Normal 145 2 2 2 2" xfId="28047"/>
    <cellStyle name="Normal 145 2 2 3" xfId="28048"/>
    <cellStyle name="Normal 145 2 3" xfId="28049"/>
    <cellStyle name="Normal 145 2 3 2" xfId="28050"/>
    <cellStyle name="Normal 145 2 4" xfId="28051"/>
    <cellStyle name="Normal 145 3" xfId="28052"/>
    <cellStyle name="Normal 145 3 2" xfId="28053"/>
    <cellStyle name="Normal 145 3 2 2" xfId="28054"/>
    <cellStyle name="Normal 145 3 3" xfId="28055"/>
    <cellStyle name="Normal 145 4" xfId="28056"/>
    <cellStyle name="Normal 145 4 2" xfId="28057"/>
    <cellStyle name="Normal 145 5" xfId="28058"/>
    <cellStyle name="Normal 146" xfId="17453"/>
    <cellStyle name="Normal 146 2" xfId="17454"/>
    <cellStyle name="Normal 146 2 2" xfId="28059"/>
    <cellStyle name="Normal 146 2 2 2" xfId="28060"/>
    <cellStyle name="Normal 146 2 2 2 2" xfId="28061"/>
    <cellStyle name="Normal 146 2 2 3" xfId="28062"/>
    <cellStyle name="Normal 146 2 3" xfId="28063"/>
    <cellStyle name="Normal 146 2 3 2" xfId="28064"/>
    <cellStyle name="Normal 146 2 4" xfId="28065"/>
    <cellStyle name="Normal 146 3" xfId="28066"/>
    <cellStyle name="Normal 146 3 2" xfId="28067"/>
    <cellStyle name="Normal 146 3 2 2" xfId="28068"/>
    <cellStyle name="Normal 146 3 3" xfId="28069"/>
    <cellStyle name="Normal 146 4" xfId="28070"/>
    <cellStyle name="Normal 146 4 2" xfId="28071"/>
    <cellStyle name="Normal 146 5" xfId="28072"/>
    <cellStyle name="Normal 147" xfId="17455"/>
    <cellStyle name="Normal 147 2" xfId="17456"/>
    <cellStyle name="Normal 147 2 2" xfId="28073"/>
    <cellStyle name="Normal 147 2 2 2" xfId="28074"/>
    <cellStyle name="Normal 147 2 2 2 2" xfId="28075"/>
    <cellStyle name="Normal 147 2 2 3" xfId="28076"/>
    <cellStyle name="Normal 147 2 3" xfId="28077"/>
    <cellStyle name="Normal 147 2 3 2" xfId="28078"/>
    <cellStyle name="Normal 147 2 4" xfId="28079"/>
    <cellStyle name="Normal 147 3" xfId="28080"/>
    <cellStyle name="Normal 147 3 2" xfId="28081"/>
    <cellStyle name="Normal 147 3 2 2" xfId="28082"/>
    <cellStyle name="Normal 147 3 3" xfId="28083"/>
    <cellStyle name="Normal 147 4" xfId="28084"/>
    <cellStyle name="Normal 147 4 2" xfId="28085"/>
    <cellStyle name="Normal 147 5" xfId="28086"/>
    <cellStyle name="Normal 148" xfId="17457"/>
    <cellStyle name="Normal 148 2" xfId="17458"/>
    <cellStyle name="Normal 148 2 2" xfId="28087"/>
    <cellStyle name="Normal 148 2 2 2" xfId="28088"/>
    <cellStyle name="Normal 148 2 2 2 2" xfId="28089"/>
    <cellStyle name="Normal 148 2 2 3" xfId="28090"/>
    <cellStyle name="Normal 148 2 3" xfId="28091"/>
    <cellStyle name="Normal 148 2 3 2" xfId="28092"/>
    <cellStyle name="Normal 148 2 4" xfId="28093"/>
    <cellStyle name="Normal 148 3" xfId="28094"/>
    <cellStyle name="Normal 148 3 2" xfId="28095"/>
    <cellStyle name="Normal 148 3 2 2" xfId="28096"/>
    <cellStyle name="Normal 148 3 3" xfId="28097"/>
    <cellStyle name="Normal 148 4" xfId="28098"/>
    <cellStyle name="Normal 148 4 2" xfId="28099"/>
    <cellStyle name="Normal 148 5" xfId="28100"/>
    <cellStyle name="Normal 149" xfId="17459"/>
    <cellStyle name="Normal 149 2" xfId="17460"/>
    <cellStyle name="Normal 149 2 2" xfId="28101"/>
    <cellStyle name="Normal 149 2 2 2" xfId="28102"/>
    <cellStyle name="Normal 149 2 2 2 2" xfId="28103"/>
    <cellStyle name="Normal 149 2 2 3" xfId="28104"/>
    <cellStyle name="Normal 149 2 3" xfId="28105"/>
    <cellStyle name="Normal 149 2 3 2" xfId="28106"/>
    <cellStyle name="Normal 149 2 4" xfId="28107"/>
    <cellStyle name="Normal 149 3" xfId="28108"/>
    <cellStyle name="Normal 149 3 2" xfId="28109"/>
    <cellStyle name="Normal 149 3 2 2" xfId="28110"/>
    <cellStyle name="Normal 149 3 3" xfId="28111"/>
    <cellStyle name="Normal 149 4" xfId="28112"/>
    <cellStyle name="Normal 149 4 2" xfId="28113"/>
    <cellStyle name="Normal 149 5" xfId="28114"/>
    <cellStyle name="Normal 15" xfId="9646"/>
    <cellStyle name="Normal 15 10" xfId="28115"/>
    <cellStyle name="Normal 15 11" xfId="28116"/>
    <cellStyle name="Normal 15 2" xfId="9647"/>
    <cellStyle name="Normal 15 2 2" xfId="9648"/>
    <cellStyle name="Normal 15 2 2 2" xfId="9649"/>
    <cellStyle name="Normal 15 2 2 2 2" xfId="17461"/>
    <cellStyle name="Normal 15 2 2 2 2 2" xfId="17462"/>
    <cellStyle name="Normal 15 2 2 2 2 2 2" xfId="28117"/>
    <cellStyle name="Normal 15 2 2 2 2 2 2 2" xfId="28118"/>
    <cellStyle name="Normal 15 2 2 2 2 2 2 2 2" xfId="28119"/>
    <cellStyle name="Normal 15 2 2 2 2 2 2 3" xfId="28120"/>
    <cellStyle name="Normal 15 2 2 2 2 2 3" xfId="28121"/>
    <cellStyle name="Normal 15 2 2 2 2 2 3 2" xfId="28122"/>
    <cellStyle name="Normal 15 2 2 2 2 2 4" xfId="28123"/>
    <cellStyle name="Normal 15 2 2 2 2 3" xfId="28124"/>
    <cellStyle name="Normal 15 2 2 2 2 3 2" xfId="28125"/>
    <cellStyle name="Normal 15 2 2 2 2 3 2 2" xfId="28126"/>
    <cellStyle name="Normal 15 2 2 2 2 3 3" xfId="28127"/>
    <cellStyle name="Normal 15 2 2 2 2 4" xfId="28128"/>
    <cellStyle name="Normal 15 2 2 2 2 4 2" xfId="28129"/>
    <cellStyle name="Normal 15 2 2 2 2 5" xfId="28130"/>
    <cellStyle name="Normal 15 2 2 2 3" xfId="17463"/>
    <cellStyle name="Normal 15 2 2 2 3 2" xfId="28131"/>
    <cellStyle name="Normal 15 2 2 2 3 2 2" xfId="28132"/>
    <cellStyle name="Normal 15 2 2 2 3 2 2 2" xfId="28133"/>
    <cellStyle name="Normal 15 2 2 2 3 2 3" xfId="28134"/>
    <cellStyle name="Normal 15 2 2 2 3 3" xfId="28135"/>
    <cellStyle name="Normal 15 2 2 2 3 3 2" xfId="28136"/>
    <cellStyle name="Normal 15 2 2 2 3 4" xfId="28137"/>
    <cellStyle name="Normal 15 2 2 2 4" xfId="28138"/>
    <cellStyle name="Normal 15 2 2 2 4 2" xfId="28139"/>
    <cellStyle name="Normal 15 2 2 2 4 2 2" xfId="28140"/>
    <cellStyle name="Normal 15 2 2 2 4 3" xfId="28141"/>
    <cellStyle name="Normal 15 2 2 2 5" xfId="28142"/>
    <cellStyle name="Normal 15 2 2 2 5 2" xfId="28143"/>
    <cellStyle name="Normal 15 2 2 2 6" xfId="28144"/>
    <cellStyle name="Normal 15 2 2 3" xfId="9650"/>
    <cellStyle name="Normal 15 2 2 3 2" xfId="17464"/>
    <cellStyle name="Normal 15 2 2 3 2 2" xfId="28145"/>
    <cellStyle name="Normal 15 2 2 3 2 2 2" xfId="28146"/>
    <cellStyle name="Normal 15 2 2 3 2 2 2 2" xfId="28147"/>
    <cellStyle name="Normal 15 2 2 3 2 2 3" xfId="28148"/>
    <cellStyle name="Normal 15 2 2 3 2 3" xfId="28149"/>
    <cellStyle name="Normal 15 2 2 3 2 3 2" xfId="28150"/>
    <cellStyle name="Normal 15 2 2 3 2 4" xfId="28151"/>
    <cellStyle name="Normal 15 2 2 3 3" xfId="28152"/>
    <cellStyle name="Normal 15 2 2 3 3 2" xfId="28153"/>
    <cellStyle name="Normal 15 2 2 3 3 2 2" xfId="28154"/>
    <cellStyle name="Normal 15 2 2 3 3 3" xfId="28155"/>
    <cellStyle name="Normal 15 2 2 3 4" xfId="28156"/>
    <cellStyle name="Normal 15 2 2 3 4 2" xfId="28157"/>
    <cellStyle name="Normal 15 2 2 3 5" xfId="28158"/>
    <cellStyle name="Normal 15 2 2 4" xfId="9651"/>
    <cellStyle name="Normal 15 2 2 4 2" xfId="28159"/>
    <cellStyle name="Normal 15 2 2 4 2 2" xfId="28160"/>
    <cellStyle name="Normal 15 2 2 4 2 2 2" xfId="28161"/>
    <cellStyle name="Normal 15 2 2 4 2 3" xfId="28162"/>
    <cellStyle name="Normal 15 2 2 4 3" xfId="28163"/>
    <cellStyle name="Normal 15 2 2 4 3 2" xfId="28164"/>
    <cellStyle name="Normal 15 2 2 4 4" xfId="28165"/>
    <cellStyle name="Normal 15 2 2 5" xfId="28166"/>
    <cellStyle name="Normal 15 2 2 5 2" xfId="28167"/>
    <cellStyle name="Normal 15 2 2 5 2 2" xfId="28168"/>
    <cellStyle name="Normal 15 2 2 5 3" xfId="28169"/>
    <cellStyle name="Normal 15 2 2 6" xfId="28170"/>
    <cellStyle name="Normal 15 2 2 6 2" xfId="28171"/>
    <cellStyle name="Normal 15 2 2 7" xfId="28172"/>
    <cellStyle name="Normal 15 2 3" xfId="9652"/>
    <cellStyle name="Normal 15 2 3 2" xfId="9653"/>
    <cellStyle name="Normal 15 2 3 2 2" xfId="17465"/>
    <cellStyle name="Normal 15 2 3 2 2 2" xfId="28173"/>
    <cellStyle name="Normal 15 2 3 2 2 2 2" xfId="28174"/>
    <cellStyle name="Normal 15 2 3 2 2 2 2 2" xfId="28175"/>
    <cellStyle name="Normal 15 2 3 2 2 2 3" xfId="28176"/>
    <cellStyle name="Normal 15 2 3 2 2 3" xfId="28177"/>
    <cellStyle name="Normal 15 2 3 2 2 3 2" xfId="28178"/>
    <cellStyle name="Normal 15 2 3 2 2 4" xfId="28179"/>
    <cellStyle name="Normal 15 2 3 2 3" xfId="28180"/>
    <cellStyle name="Normal 15 2 3 2 3 2" xfId="28181"/>
    <cellStyle name="Normal 15 2 3 2 3 2 2" xfId="28182"/>
    <cellStyle name="Normal 15 2 3 2 3 3" xfId="28183"/>
    <cellStyle name="Normal 15 2 3 2 4" xfId="28184"/>
    <cellStyle name="Normal 15 2 3 2 4 2" xfId="28185"/>
    <cellStyle name="Normal 15 2 3 2 5" xfId="28186"/>
    <cellStyle name="Normal 15 2 3 3" xfId="9654"/>
    <cellStyle name="Normal 15 2 3 3 2" xfId="28187"/>
    <cellStyle name="Normal 15 2 3 3 2 2" xfId="28188"/>
    <cellStyle name="Normal 15 2 3 3 2 2 2" xfId="28189"/>
    <cellStyle name="Normal 15 2 3 3 2 3" xfId="28190"/>
    <cellStyle name="Normal 15 2 3 3 3" xfId="28191"/>
    <cellStyle name="Normal 15 2 3 3 3 2" xfId="28192"/>
    <cellStyle name="Normal 15 2 3 3 4" xfId="28193"/>
    <cellStyle name="Normal 15 2 3 4" xfId="9655"/>
    <cellStyle name="Normal 15 2 3 4 2" xfId="28194"/>
    <cellStyle name="Normal 15 2 3 4 2 2" xfId="28195"/>
    <cellStyle name="Normal 15 2 3 4 3" xfId="28196"/>
    <cellStyle name="Normal 15 2 3 5" xfId="28197"/>
    <cellStyle name="Normal 15 2 3 5 2" xfId="28198"/>
    <cellStyle name="Normal 15 2 3 6" xfId="28199"/>
    <cellStyle name="Normal 15 2 4" xfId="9656"/>
    <cellStyle name="Normal 15 2 4 2" xfId="17466"/>
    <cellStyle name="Normal 15 2 4 2 2" xfId="28200"/>
    <cellStyle name="Normal 15 2 4 2 2 2" xfId="28201"/>
    <cellStyle name="Normal 15 2 4 2 2 2 2" xfId="28202"/>
    <cellStyle name="Normal 15 2 4 2 2 3" xfId="28203"/>
    <cellStyle name="Normal 15 2 4 2 3" xfId="28204"/>
    <cellStyle name="Normal 15 2 4 2 3 2" xfId="28205"/>
    <cellStyle name="Normal 15 2 4 2 4" xfId="28206"/>
    <cellStyle name="Normal 15 2 4 3" xfId="28207"/>
    <cellStyle name="Normal 15 2 4 3 2" xfId="28208"/>
    <cellStyle name="Normal 15 2 4 3 2 2" xfId="28209"/>
    <cellStyle name="Normal 15 2 4 3 3" xfId="28210"/>
    <cellStyle name="Normal 15 2 4 4" xfId="28211"/>
    <cellStyle name="Normal 15 2 4 4 2" xfId="28212"/>
    <cellStyle name="Normal 15 2 4 5" xfId="28213"/>
    <cellStyle name="Normal 15 2 5" xfId="9657"/>
    <cellStyle name="Normal 15 2 5 2" xfId="28214"/>
    <cellStyle name="Normal 15 2 5 2 2" xfId="28215"/>
    <cellStyle name="Normal 15 2 5 2 2 2" xfId="28216"/>
    <cellStyle name="Normal 15 2 5 2 3" xfId="28217"/>
    <cellStyle name="Normal 15 2 5 3" xfId="28218"/>
    <cellStyle name="Normal 15 2 5 3 2" xfId="28219"/>
    <cellStyle name="Normal 15 2 5 4" xfId="28220"/>
    <cellStyle name="Normal 15 2 6" xfId="9658"/>
    <cellStyle name="Normal 15 2 6 2" xfId="28221"/>
    <cellStyle name="Normal 15 2 6 2 2" xfId="28222"/>
    <cellStyle name="Normal 15 2 6 3" xfId="28223"/>
    <cellStyle name="Normal 15 2 7" xfId="28224"/>
    <cellStyle name="Normal 15 2 7 2" xfId="28225"/>
    <cellStyle name="Normal 15 2 8" xfId="28226"/>
    <cellStyle name="Normal 15 3" xfId="9659"/>
    <cellStyle name="Normal 15 3 2" xfId="9660"/>
    <cellStyle name="Normal 15 3 2 2" xfId="17467"/>
    <cellStyle name="Normal 15 3 2 2 2" xfId="17468"/>
    <cellStyle name="Normal 15 3 2 2 2 2" xfId="17469"/>
    <cellStyle name="Normal 15 3 2 2 2 2 2" xfId="28227"/>
    <cellStyle name="Normal 15 3 2 2 2 2 2 2" xfId="28228"/>
    <cellStyle name="Normal 15 3 2 2 2 2 2 2 2" xfId="28229"/>
    <cellStyle name="Normal 15 3 2 2 2 2 2 3" xfId="28230"/>
    <cellStyle name="Normal 15 3 2 2 2 2 3" xfId="28231"/>
    <cellStyle name="Normal 15 3 2 2 2 2 3 2" xfId="28232"/>
    <cellStyle name="Normal 15 3 2 2 2 2 4" xfId="28233"/>
    <cellStyle name="Normal 15 3 2 2 2 3" xfId="28234"/>
    <cellStyle name="Normal 15 3 2 2 2 3 2" xfId="28235"/>
    <cellStyle name="Normal 15 3 2 2 2 3 2 2" xfId="28236"/>
    <cellStyle name="Normal 15 3 2 2 2 3 3" xfId="28237"/>
    <cellStyle name="Normal 15 3 2 2 2 4" xfId="28238"/>
    <cellStyle name="Normal 15 3 2 2 2 4 2" xfId="28239"/>
    <cellStyle name="Normal 15 3 2 2 2 5" xfId="28240"/>
    <cellStyle name="Normal 15 3 2 2 3" xfId="17470"/>
    <cellStyle name="Normal 15 3 2 2 3 2" xfId="28241"/>
    <cellStyle name="Normal 15 3 2 2 3 2 2" xfId="28242"/>
    <cellStyle name="Normal 15 3 2 2 3 2 2 2" xfId="28243"/>
    <cellStyle name="Normal 15 3 2 2 3 2 3" xfId="28244"/>
    <cellStyle name="Normal 15 3 2 2 3 3" xfId="28245"/>
    <cellStyle name="Normal 15 3 2 2 3 3 2" xfId="28246"/>
    <cellStyle name="Normal 15 3 2 2 3 4" xfId="28247"/>
    <cellStyle name="Normal 15 3 2 2 4" xfId="28248"/>
    <cellStyle name="Normal 15 3 2 2 4 2" xfId="28249"/>
    <cellStyle name="Normal 15 3 2 2 4 2 2" xfId="28250"/>
    <cellStyle name="Normal 15 3 2 2 4 3" xfId="28251"/>
    <cellStyle name="Normal 15 3 2 2 5" xfId="28252"/>
    <cellStyle name="Normal 15 3 2 2 5 2" xfId="28253"/>
    <cellStyle name="Normal 15 3 2 2 6" xfId="28254"/>
    <cellStyle name="Normal 15 3 2 3" xfId="17471"/>
    <cellStyle name="Normal 15 3 2 3 2" xfId="17472"/>
    <cellStyle name="Normal 15 3 2 3 2 2" xfId="28255"/>
    <cellStyle name="Normal 15 3 2 3 2 2 2" xfId="28256"/>
    <cellStyle name="Normal 15 3 2 3 2 2 2 2" xfId="28257"/>
    <cellStyle name="Normal 15 3 2 3 2 2 3" xfId="28258"/>
    <cellStyle name="Normal 15 3 2 3 2 3" xfId="28259"/>
    <cellStyle name="Normal 15 3 2 3 2 3 2" xfId="28260"/>
    <cellStyle name="Normal 15 3 2 3 2 4" xfId="28261"/>
    <cellStyle name="Normal 15 3 2 3 3" xfId="28262"/>
    <cellStyle name="Normal 15 3 2 3 3 2" xfId="28263"/>
    <cellStyle name="Normal 15 3 2 3 3 2 2" xfId="28264"/>
    <cellStyle name="Normal 15 3 2 3 3 3" xfId="28265"/>
    <cellStyle name="Normal 15 3 2 3 4" xfId="28266"/>
    <cellStyle name="Normal 15 3 2 3 4 2" xfId="28267"/>
    <cellStyle name="Normal 15 3 2 3 5" xfId="28268"/>
    <cellStyle name="Normal 15 3 2 4" xfId="17473"/>
    <cellStyle name="Normal 15 3 2 4 2" xfId="28269"/>
    <cellStyle name="Normal 15 3 2 4 2 2" xfId="28270"/>
    <cellStyle name="Normal 15 3 2 4 2 2 2" xfId="28271"/>
    <cellStyle name="Normal 15 3 2 4 2 3" xfId="28272"/>
    <cellStyle name="Normal 15 3 2 4 3" xfId="28273"/>
    <cellStyle name="Normal 15 3 2 4 3 2" xfId="28274"/>
    <cellStyle name="Normal 15 3 2 4 4" xfId="28275"/>
    <cellStyle name="Normal 15 3 2 5" xfId="28276"/>
    <cellStyle name="Normal 15 3 2 5 2" xfId="28277"/>
    <cellStyle name="Normal 15 3 2 5 2 2" xfId="28278"/>
    <cellStyle name="Normal 15 3 2 5 3" xfId="28279"/>
    <cellStyle name="Normal 15 3 2 6" xfId="28280"/>
    <cellStyle name="Normal 15 3 2 6 2" xfId="28281"/>
    <cellStyle name="Normal 15 3 2 7" xfId="28282"/>
    <cellStyle name="Normal 15 3 3" xfId="9661"/>
    <cellStyle name="Normal 15 3 3 2" xfId="17474"/>
    <cellStyle name="Normal 15 3 3 2 2" xfId="17475"/>
    <cellStyle name="Normal 15 3 3 2 2 2" xfId="28283"/>
    <cellStyle name="Normal 15 3 3 2 2 2 2" xfId="28284"/>
    <cellStyle name="Normal 15 3 3 2 2 2 2 2" xfId="28285"/>
    <cellStyle name="Normal 15 3 3 2 2 2 3" xfId="28286"/>
    <cellStyle name="Normal 15 3 3 2 2 3" xfId="28287"/>
    <cellStyle name="Normal 15 3 3 2 2 3 2" xfId="28288"/>
    <cellStyle name="Normal 15 3 3 2 2 4" xfId="28289"/>
    <cellStyle name="Normal 15 3 3 2 3" xfId="28290"/>
    <cellStyle name="Normal 15 3 3 2 3 2" xfId="28291"/>
    <cellStyle name="Normal 15 3 3 2 3 2 2" xfId="28292"/>
    <cellStyle name="Normal 15 3 3 2 3 3" xfId="28293"/>
    <cellStyle name="Normal 15 3 3 2 4" xfId="28294"/>
    <cellStyle name="Normal 15 3 3 2 4 2" xfId="28295"/>
    <cellStyle name="Normal 15 3 3 2 5" xfId="28296"/>
    <cellStyle name="Normal 15 3 3 3" xfId="17476"/>
    <cellStyle name="Normal 15 3 3 3 2" xfId="28297"/>
    <cellStyle name="Normal 15 3 3 3 2 2" xfId="28298"/>
    <cellStyle name="Normal 15 3 3 3 2 2 2" xfId="28299"/>
    <cellStyle name="Normal 15 3 3 3 2 3" xfId="28300"/>
    <cellStyle name="Normal 15 3 3 3 3" xfId="28301"/>
    <cellStyle name="Normal 15 3 3 3 3 2" xfId="28302"/>
    <cellStyle name="Normal 15 3 3 3 4" xfId="28303"/>
    <cellStyle name="Normal 15 3 3 4" xfId="28304"/>
    <cellStyle name="Normal 15 3 3 4 2" xfId="28305"/>
    <cellStyle name="Normal 15 3 3 4 2 2" xfId="28306"/>
    <cellStyle name="Normal 15 3 3 4 3" xfId="28307"/>
    <cellStyle name="Normal 15 3 3 5" xfId="28308"/>
    <cellStyle name="Normal 15 3 3 5 2" xfId="28309"/>
    <cellStyle name="Normal 15 3 3 6" xfId="28310"/>
    <cellStyle name="Normal 15 3 4" xfId="9662"/>
    <cellStyle name="Normal 15 3 4 2" xfId="17477"/>
    <cellStyle name="Normal 15 3 4 2 2" xfId="28311"/>
    <cellStyle name="Normal 15 3 4 2 2 2" xfId="28312"/>
    <cellStyle name="Normal 15 3 4 2 2 2 2" xfId="28313"/>
    <cellStyle name="Normal 15 3 4 2 2 3" xfId="28314"/>
    <cellStyle name="Normal 15 3 4 2 3" xfId="28315"/>
    <cellStyle name="Normal 15 3 4 2 3 2" xfId="28316"/>
    <cellStyle name="Normal 15 3 4 2 4" xfId="28317"/>
    <cellStyle name="Normal 15 3 4 3" xfId="28318"/>
    <cellStyle name="Normal 15 3 4 3 2" xfId="28319"/>
    <cellStyle name="Normal 15 3 4 3 2 2" xfId="28320"/>
    <cellStyle name="Normal 15 3 4 3 3" xfId="28321"/>
    <cellStyle name="Normal 15 3 4 4" xfId="28322"/>
    <cellStyle name="Normal 15 3 4 4 2" xfId="28323"/>
    <cellStyle name="Normal 15 3 4 5" xfId="28324"/>
    <cellStyle name="Normal 15 3 5" xfId="17478"/>
    <cellStyle name="Normal 15 3 5 2" xfId="28325"/>
    <cellStyle name="Normal 15 3 5 2 2" xfId="28326"/>
    <cellStyle name="Normal 15 3 5 2 2 2" xfId="28327"/>
    <cellStyle name="Normal 15 3 5 2 3" xfId="28328"/>
    <cellStyle name="Normal 15 3 5 3" xfId="28329"/>
    <cellStyle name="Normal 15 3 5 3 2" xfId="28330"/>
    <cellStyle name="Normal 15 3 5 4" xfId="28331"/>
    <cellStyle name="Normal 15 3 6" xfId="28332"/>
    <cellStyle name="Normal 15 3 6 2" xfId="28333"/>
    <cellStyle name="Normal 15 3 6 2 2" xfId="28334"/>
    <cellStyle name="Normal 15 3 6 3" xfId="28335"/>
    <cellStyle name="Normal 15 3 7" xfId="28336"/>
    <cellStyle name="Normal 15 3 7 2" xfId="28337"/>
    <cellStyle name="Normal 15 3 8" xfId="28338"/>
    <cellStyle name="Normal 15 4" xfId="9663"/>
    <cellStyle name="Normal 15 4 2" xfId="9664"/>
    <cellStyle name="Normal 15 4 2 2" xfId="17479"/>
    <cellStyle name="Normal 15 4 2 2 2" xfId="17480"/>
    <cellStyle name="Normal 15 4 2 2 2 2" xfId="28339"/>
    <cellStyle name="Normal 15 4 2 2 2 2 2" xfId="28340"/>
    <cellStyle name="Normal 15 4 2 2 2 2 2 2" xfId="28341"/>
    <cellStyle name="Normal 15 4 2 2 2 2 3" xfId="28342"/>
    <cellStyle name="Normal 15 4 2 2 2 3" xfId="28343"/>
    <cellStyle name="Normal 15 4 2 2 2 3 2" xfId="28344"/>
    <cellStyle name="Normal 15 4 2 2 2 4" xfId="28345"/>
    <cellStyle name="Normal 15 4 2 2 3" xfId="28346"/>
    <cellStyle name="Normal 15 4 2 2 3 2" xfId="28347"/>
    <cellStyle name="Normal 15 4 2 2 3 2 2" xfId="28348"/>
    <cellStyle name="Normal 15 4 2 2 3 3" xfId="28349"/>
    <cellStyle name="Normal 15 4 2 2 4" xfId="28350"/>
    <cellStyle name="Normal 15 4 2 2 4 2" xfId="28351"/>
    <cellStyle name="Normal 15 4 2 2 5" xfId="28352"/>
    <cellStyle name="Normal 15 4 2 3" xfId="17481"/>
    <cellStyle name="Normal 15 4 2 3 2" xfId="28353"/>
    <cellStyle name="Normal 15 4 2 3 2 2" xfId="28354"/>
    <cellStyle name="Normal 15 4 2 3 2 2 2" xfId="28355"/>
    <cellStyle name="Normal 15 4 2 3 2 3" xfId="28356"/>
    <cellStyle name="Normal 15 4 2 3 3" xfId="28357"/>
    <cellStyle name="Normal 15 4 2 3 3 2" xfId="28358"/>
    <cellStyle name="Normal 15 4 2 3 4" xfId="28359"/>
    <cellStyle name="Normal 15 4 2 4" xfId="28360"/>
    <cellStyle name="Normal 15 4 2 4 2" xfId="28361"/>
    <cellStyle name="Normal 15 4 2 4 2 2" xfId="28362"/>
    <cellStyle name="Normal 15 4 2 4 3" xfId="28363"/>
    <cellStyle name="Normal 15 4 2 5" xfId="28364"/>
    <cellStyle name="Normal 15 4 2 5 2" xfId="28365"/>
    <cellStyle name="Normal 15 4 2 6" xfId="28366"/>
    <cellStyle name="Normal 15 4 3" xfId="9665"/>
    <cellStyle name="Normal 15 4 3 2" xfId="17482"/>
    <cellStyle name="Normal 15 4 3 2 2" xfId="28367"/>
    <cellStyle name="Normal 15 4 3 2 2 2" xfId="28368"/>
    <cellStyle name="Normal 15 4 3 2 2 2 2" xfId="28369"/>
    <cellStyle name="Normal 15 4 3 2 2 3" xfId="28370"/>
    <cellStyle name="Normal 15 4 3 2 3" xfId="28371"/>
    <cellStyle name="Normal 15 4 3 2 3 2" xfId="28372"/>
    <cellStyle name="Normal 15 4 3 2 4" xfId="28373"/>
    <cellStyle name="Normal 15 4 3 3" xfId="28374"/>
    <cellStyle name="Normal 15 4 3 3 2" xfId="28375"/>
    <cellStyle name="Normal 15 4 3 3 2 2" xfId="28376"/>
    <cellStyle name="Normal 15 4 3 3 3" xfId="28377"/>
    <cellStyle name="Normal 15 4 3 4" xfId="28378"/>
    <cellStyle name="Normal 15 4 3 4 2" xfId="28379"/>
    <cellStyle name="Normal 15 4 3 5" xfId="28380"/>
    <cellStyle name="Normal 15 4 4" xfId="9666"/>
    <cellStyle name="Normal 15 4 4 2" xfId="28381"/>
    <cellStyle name="Normal 15 4 4 2 2" xfId="28382"/>
    <cellStyle name="Normal 15 4 4 2 2 2" xfId="28383"/>
    <cellStyle name="Normal 15 4 4 2 3" xfId="28384"/>
    <cellStyle name="Normal 15 4 4 3" xfId="28385"/>
    <cellStyle name="Normal 15 4 4 3 2" xfId="28386"/>
    <cellStyle name="Normal 15 4 4 4" xfId="28387"/>
    <cellStyle name="Normal 15 4 5" xfId="28388"/>
    <cellStyle name="Normal 15 4 5 2" xfId="28389"/>
    <cellStyle name="Normal 15 4 5 2 2" xfId="28390"/>
    <cellStyle name="Normal 15 4 5 3" xfId="28391"/>
    <cellStyle name="Normal 15 4 6" xfId="28392"/>
    <cellStyle name="Normal 15 4 6 2" xfId="28393"/>
    <cellStyle name="Normal 15 4 7" xfId="28394"/>
    <cellStyle name="Normal 15 5" xfId="9667"/>
    <cellStyle name="Normal 15 5 2" xfId="17483"/>
    <cellStyle name="Normal 15 5 2 2" xfId="17484"/>
    <cellStyle name="Normal 15 5 2 2 2" xfId="28395"/>
    <cellStyle name="Normal 15 5 2 2 2 2" xfId="28396"/>
    <cellStyle name="Normal 15 5 2 2 2 2 2" xfId="28397"/>
    <cellStyle name="Normal 15 5 2 2 2 3" xfId="28398"/>
    <cellStyle name="Normal 15 5 2 2 3" xfId="28399"/>
    <cellStyle name="Normal 15 5 2 2 3 2" xfId="28400"/>
    <cellStyle name="Normal 15 5 2 2 4" xfId="28401"/>
    <cellStyle name="Normal 15 5 2 3" xfId="28402"/>
    <cellStyle name="Normal 15 5 2 3 2" xfId="28403"/>
    <cellStyle name="Normal 15 5 2 3 2 2" xfId="28404"/>
    <cellStyle name="Normal 15 5 2 3 3" xfId="28405"/>
    <cellStyle name="Normal 15 5 2 4" xfId="28406"/>
    <cellStyle name="Normal 15 5 2 4 2" xfId="28407"/>
    <cellStyle name="Normal 15 5 2 5" xfId="28408"/>
    <cellStyle name="Normal 15 5 3" xfId="17485"/>
    <cellStyle name="Normal 15 5 3 2" xfId="28409"/>
    <cellStyle name="Normal 15 5 3 2 2" xfId="28410"/>
    <cellStyle name="Normal 15 5 3 2 2 2" xfId="28411"/>
    <cellStyle name="Normal 15 5 3 2 3" xfId="28412"/>
    <cellStyle name="Normal 15 5 3 3" xfId="28413"/>
    <cellStyle name="Normal 15 5 3 3 2" xfId="28414"/>
    <cellStyle name="Normal 15 5 3 4" xfId="28415"/>
    <cellStyle name="Normal 15 5 4" xfId="28416"/>
    <cellStyle name="Normal 15 5 4 2" xfId="28417"/>
    <cellStyle name="Normal 15 5 4 2 2" xfId="28418"/>
    <cellStyle name="Normal 15 5 4 3" xfId="28419"/>
    <cellStyle name="Normal 15 5 5" xfId="28420"/>
    <cellStyle name="Normal 15 5 5 2" xfId="28421"/>
    <cellStyle name="Normal 15 5 6" xfId="28422"/>
    <cellStyle name="Normal 15 6" xfId="9668"/>
    <cellStyle name="Normal 15 6 2" xfId="17486"/>
    <cellStyle name="Normal 15 6 2 2" xfId="28423"/>
    <cellStyle name="Normal 15 6 2 2 2" xfId="28424"/>
    <cellStyle name="Normal 15 6 2 2 2 2" xfId="28425"/>
    <cellStyle name="Normal 15 6 2 2 3" xfId="28426"/>
    <cellStyle name="Normal 15 6 2 3" xfId="28427"/>
    <cellStyle name="Normal 15 6 2 3 2" xfId="28428"/>
    <cellStyle name="Normal 15 6 2 4" xfId="28429"/>
    <cellStyle name="Normal 15 6 3" xfId="28430"/>
    <cellStyle name="Normal 15 6 3 2" xfId="28431"/>
    <cellStyle name="Normal 15 6 3 2 2" xfId="28432"/>
    <cellStyle name="Normal 15 6 3 3" xfId="28433"/>
    <cellStyle name="Normal 15 6 4" xfId="28434"/>
    <cellStyle name="Normal 15 6 4 2" xfId="28435"/>
    <cellStyle name="Normal 15 6 5" xfId="28436"/>
    <cellStyle name="Normal 15 7" xfId="9669"/>
    <cellStyle name="Normal 15 7 2" xfId="28437"/>
    <cellStyle name="Normal 15 7 2 2" xfId="28438"/>
    <cellStyle name="Normal 15 7 2 2 2" xfId="28439"/>
    <cellStyle name="Normal 15 7 2 3" xfId="28440"/>
    <cellStyle name="Normal 15 7 3" xfId="28441"/>
    <cellStyle name="Normal 15 7 3 2" xfId="28442"/>
    <cellStyle name="Normal 15 7 4" xfId="28443"/>
    <cellStyle name="Normal 15 8" xfId="28444"/>
    <cellStyle name="Normal 15 8 2" xfId="28445"/>
    <cellStyle name="Normal 15 8 2 2" xfId="28446"/>
    <cellStyle name="Normal 15 8 3" xfId="28447"/>
    <cellStyle name="Normal 15 9" xfId="28448"/>
    <cellStyle name="Normal 15 9 2" xfId="28449"/>
    <cellStyle name="Normal 150" xfId="17487"/>
    <cellStyle name="Normal 150 2" xfId="17488"/>
    <cellStyle name="Normal 150 2 2" xfId="28450"/>
    <cellStyle name="Normal 150 2 2 2" xfId="28451"/>
    <cellStyle name="Normal 150 2 2 2 2" xfId="28452"/>
    <cellStyle name="Normal 150 2 2 3" xfId="28453"/>
    <cellStyle name="Normal 150 2 3" xfId="28454"/>
    <cellStyle name="Normal 150 2 3 2" xfId="28455"/>
    <cellStyle name="Normal 150 2 4" xfId="28456"/>
    <cellStyle name="Normal 150 3" xfId="28457"/>
    <cellStyle name="Normal 150 3 2" xfId="28458"/>
    <cellStyle name="Normal 150 3 2 2" xfId="28459"/>
    <cellStyle name="Normal 150 3 3" xfId="28460"/>
    <cellStyle name="Normal 150 4" xfId="28461"/>
    <cellStyle name="Normal 150 4 2" xfId="28462"/>
    <cellStyle name="Normal 150 5" xfId="28463"/>
    <cellStyle name="Normal 151" xfId="17489"/>
    <cellStyle name="Normal 151 2" xfId="17490"/>
    <cellStyle name="Normal 151 2 2" xfId="28464"/>
    <cellStyle name="Normal 151 2 2 2" xfId="28465"/>
    <cellStyle name="Normal 151 2 2 2 2" xfId="28466"/>
    <cellStyle name="Normal 151 2 2 3" xfId="28467"/>
    <cellStyle name="Normal 151 2 3" xfId="28468"/>
    <cellStyle name="Normal 151 2 3 2" xfId="28469"/>
    <cellStyle name="Normal 151 2 4" xfId="28470"/>
    <cellStyle name="Normal 151 3" xfId="28471"/>
    <cellStyle name="Normal 151 3 2" xfId="28472"/>
    <cellStyle name="Normal 151 3 2 2" xfId="28473"/>
    <cellStyle name="Normal 151 3 3" xfId="28474"/>
    <cellStyle name="Normal 151 4" xfId="28475"/>
    <cellStyle name="Normal 151 4 2" xfId="28476"/>
    <cellStyle name="Normal 151 5" xfId="28477"/>
    <cellStyle name="Normal 152" xfId="17491"/>
    <cellStyle name="Normal 152 2" xfId="28478"/>
    <cellStyle name="Normal 152 2 2" xfId="28479"/>
    <cellStyle name="Normal 152 2 2 2" xfId="28480"/>
    <cellStyle name="Normal 152 2 3" xfId="28481"/>
    <cellStyle name="Normal 152 3" xfId="28482"/>
    <cellStyle name="Normal 152 3 2" xfId="28483"/>
    <cellStyle name="Normal 152 4" xfId="28484"/>
    <cellStyle name="Normal 153" xfId="17492"/>
    <cellStyle name="Normal 153 2" xfId="28485"/>
    <cellStyle name="Normal 153 2 2" xfId="28486"/>
    <cellStyle name="Normal 153 2 2 2" xfId="28487"/>
    <cellStyle name="Normal 153 2 3" xfId="28488"/>
    <cellStyle name="Normal 153 3" xfId="28489"/>
    <cellStyle name="Normal 153 3 2" xfId="28490"/>
    <cellStyle name="Normal 153 4" xfId="28491"/>
    <cellStyle name="Normal 154" xfId="17493"/>
    <cellStyle name="Normal 154 2" xfId="28492"/>
    <cellStyle name="Normal 154 2 2" xfId="28493"/>
    <cellStyle name="Normal 154 2 2 2" xfId="28494"/>
    <cellStyle name="Normal 154 2 3" xfId="28495"/>
    <cellStyle name="Normal 154 3" xfId="28496"/>
    <cellStyle name="Normal 154 3 2" xfId="28497"/>
    <cellStyle name="Normal 154 4" xfId="28498"/>
    <cellStyle name="Normal 155" xfId="17494"/>
    <cellStyle name="Normal 155 2" xfId="28499"/>
    <cellStyle name="Normal 155 2 2" xfId="28500"/>
    <cellStyle name="Normal 155 2 2 2" xfId="28501"/>
    <cellStyle name="Normal 155 2 3" xfId="28502"/>
    <cellStyle name="Normal 155 3" xfId="28503"/>
    <cellStyle name="Normal 155 3 2" xfId="28504"/>
    <cellStyle name="Normal 155 4" xfId="28505"/>
    <cellStyle name="Normal 156" xfId="17495"/>
    <cellStyle name="Normal 156 2" xfId="28506"/>
    <cellStyle name="Normal 156 2 2" xfId="28507"/>
    <cellStyle name="Normal 156 2 2 2" xfId="28508"/>
    <cellStyle name="Normal 156 2 3" xfId="28509"/>
    <cellStyle name="Normal 156 3" xfId="28510"/>
    <cellStyle name="Normal 156 3 2" xfId="28511"/>
    <cellStyle name="Normal 156 4" xfId="28512"/>
    <cellStyle name="Normal 157" xfId="17496"/>
    <cellStyle name="Normal 157 2" xfId="28513"/>
    <cellStyle name="Normal 157 2 2" xfId="28514"/>
    <cellStyle name="Normal 157 2 2 2" xfId="28515"/>
    <cellStyle name="Normal 157 2 3" xfId="28516"/>
    <cellStyle name="Normal 157 3" xfId="28517"/>
    <cellStyle name="Normal 157 3 2" xfId="28518"/>
    <cellStyle name="Normal 157 4" xfId="28519"/>
    <cellStyle name="Normal 158" xfId="17497"/>
    <cellStyle name="Normal 158 2" xfId="28520"/>
    <cellStyle name="Normal 158 2 2" xfId="28521"/>
    <cellStyle name="Normal 158 2 2 2" xfId="28522"/>
    <cellStyle name="Normal 158 2 3" xfId="28523"/>
    <cellStyle name="Normal 158 3" xfId="28524"/>
    <cellStyle name="Normal 158 3 2" xfId="28525"/>
    <cellStyle name="Normal 158 4" xfId="28526"/>
    <cellStyle name="Normal 159" xfId="17498"/>
    <cellStyle name="Normal 159 2" xfId="28527"/>
    <cellStyle name="Normal 159 2 2" xfId="28528"/>
    <cellStyle name="Normal 159 2 2 2" xfId="28529"/>
    <cellStyle name="Normal 159 2 3" xfId="28530"/>
    <cellStyle name="Normal 159 3" xfId="28531"/>
    <cellStyle name="Normal 159 3 2" xfId="28532"/>
    <cellStyle name="Normal 159 4" xfId="28533"/>
    <cellStyle name="Normal 16" xfId="9670"/>
    <cellStyle name="Normal 16 10" xfId="28534"/>
    <cellStyle name="Normal 16 11" xfId="28535"/>
    <cellStyle name="Normal 16 2" xfId="9671"/>
    <cellStyle name="Normal 16 2 2" xfId="9672"/>
    <cellStyle name="Normal 16 2 2 2" xfId="9673"/>
    <cellStyle name="Normal 16 2 2 2 2" xfId="17499"/>
    <cellStyle name="Normal 16 2 2 2 2 2" xfId="17500"/>
    <cellStyle name="Normal 16 2 2 2 2 2 2" xfId="28536"/>
    <cellStyle name="Normal 16 2 2 2 2 2 2 2" xfId="28537"/>
    <cellStyle name="Normal 16 2 2 2 2 2 2 2 2" xfId="28538"/>
    <cellStyle name="Normal 16 2 2 2 2 2 2 3" xfId="28539"/>
    <cellStyle name="Normal 16 2 2 2 2 2 3" xfId="28540"/>
    <cellStyle name="Normal 16 2 2 2 2 2 3 2" xfId="28541"/>
    <cellStyle name="Normal 16 2 2 2 2 2 4" xfId="28542"/>
    <cellStyle name="Normal 16 2 2 2 2 3" xfId="28543"/>
    <cellStyle name="Normal 16 2 2 2 2 3 2" xfId="28544"/>
    <cellStyle name="Normal 16 2 2 2 2 3 2 2" xfId="28545"/>
    <cellStyle name="Normal 16 2 2 2 2 3 3" xfId="28546"/>
    <cellStyle name="Normal 16 2 2 2 2 4" xfId="28547"/>
    <cellStyle name="Normal 16 2 2 2 2 4 2" xfId="28548"/>
    <cellStyle name="Normal 16 2 2 2 2 5" xfId="28549"/>
    <cellStyle name="Normal 16 2 2 2 3" xfId="17501"/>
    <cellStyle name="Normal 16 2 2 2 3 2" xfId="28550"/>
    <cellStyle name="Normal 16 2 2 2 3 2 2" xfId="28551"/>
    <cellStyle name="Normal 16 2 2 2 3 2 2 2" xfId="28552"/>
    <cellStyle name="Normal 16 2 2 2 3 2 3" xfId="28553"/>
    <cellStyle name="Normal 16 2 2 2 3 3" xfId="28554"/>
    <cellStyle name="Normal 16 2 2 2 3 3 2" xfId="28555"/>
    <cellStyle name="Normal 16 2 2 2 3 4" xfId="28556"/>
    <cellStyle name="Normal 16 2 2 2 4" xfId="28557"/>
    <cellStyle name="Normal 16 2 2 2 4 2" xfId="28558"/>
    <cellStyle name="Normal 16 2 2 2 4 2 2" xfId="28559"/>
    <cellStyle name="Normal 16 2 2 2 4 3" xfId="28560"/>
    <cellStyle name="Normal 16 2 2 2 5" xfId="28561"/>
    <cellStyle name="Normal 16 2 2 2 5 2" xfId="28562"/>
    <cellStyle name="Normal 16 2 2 2 6" xfId="28563"/>
    <cellStyle name="Normal 16 2 2 3" xfId="9674"/>
    <cellStyle name="Normal 16 2 2 3 2" xfId="17502"/>
    <cellStyle name="Normal 16 2 2 3 2 2" xfId="28564"/>
    <cellStyle name="Normal 16 2 2 3 2 2 2" xfId="28565"/>
    <cellStyle name="Normal 16 2 2 3 2 2 2 2" xfId="28566"/>
    <cellStyle name="Normal 16 2 2 3 2 2 3" xfId="28567"/>
    <cellStyle name="Normal 16 2 2 3 2 3" xfId="28568"/>
    <cellStyle name="Normal 16 2 2 3 2 3 2" xfId="28569"/>
    <cellStyle name="Normal 16 2 2 3 2 4" xfId="28570"/>
    <cellStyle name="Normal 16 2 2 3 3" xfId="28571"/>
    <cellStyle name="Normal 16 2 2 3 3 2" xfId="28572"/>
    <cellStyle name="Normal 16 2 2 3 3 2 2" xfId="28573"/>
    <cellStyle name="Normal 16 2 2 3 3 3" xfId="28574"/>
    <cellStyle name="Normal 16 2 2 3 4" xfId="28575"/>
    <cellStyle name="Normal 16 2 2 3 4 2" xfId="28576"/>
    <cellStyle name="Normal 16 2 2 3 5" xfId="28577"/>
    <cellStyle name="Normal 16 2 2 4" xfId="9675"/>
    <cellStyle name="Normal 16 2 2 4 2" xfId="28578"/>
    <cellStyle name="Normal 16 2 2 4 2 2" xfId="28579"/>
    <cellStyle name="Normal 16 2 2 4 2 2 2" xfId="28580"/>
    <cellStyle name="Normal 16 2 2 4 2 3" xfId="28581"/>
    <cellStyle name="Normal 16 2 2 4 3" xfId="28582"/>
    <cellStyle name="Normal 16 2 2 4 3 2" xfId="28583"/>
    <cellStyle name="Normal 16 2 2 4 4" xfId="28584"/>
    <cellStyle name="Normal 16 2 2 5" xfId="28585"/>
    <cellStyle name="Normal 16 2 2 5 2" xfId="28586"/>
    <cellStyle name="Normal 16 2 2 5 2 2" xfId="28587"/>
    <cellStyle name="Normal 16 2 2 5 3" xfId="28588"/>
    <cellStyle name="Normal 16 2 2 6" xfId="28589"/>
    <cellStyle name="Normal 16 2 2 6 2" xfId="28590"/>
    <cellStyle name="Normal 16 2 2 7" xfId="28591"/>
    <cellStyle name="Normal 16 2 3" xfId="9676"/>
    <cellStyle name="Normal 16 2 3 2" xfId="17503"/>
    <cellStyle name="Normal 16 2 3 2 2" xfId="17504"/>
    <cellStyle name="Normal 16 2 3 2 2 2" xfId="28592"/>
    <cellStyle name="Normal 16 2 3 2 2 2 2" xfId="28593"/>
    <cellStyle name="Normal 16 2 3 2 2 2 2 2" xfId="28594"/>
    <cellStyle name="Normal 16 2 3 2 2 2 3" xfId="28595"/>
    <cellStyle name="Normal 16 2 3 2 2 3" xfId="28596"/>
    <cellStyle name="Normal 16 2 3 2 2 3 2" xfId="28597"/>
    <cellStyle name="Normal 16 2 3 2 2 4" xfId="28598"/>
    <cellStyle name="Normal 16 2 3 2 3" xfId="28599"/>
    <cellStyle name="Normal 16 2 3 2 3 2" xfId="28600"/>
    <cellStyle name="Normal 16 2 3 2 3 2 2" xfId="28601"/>
    <cellStyle name="Normal 16 2 3 2 3 3" xfId="28602"/>
    <cellStyle name="Normal 16 2 3 2 4" xfId="28603"/>
    <cellStyle name="Normal 16 2 3 2 4 2" xfId="28604"/>
    <cellStyle name="Normal 16 2 3 2 5" xfId="28605"/>
    <cellStyle name="Normal 16 2 3 3" xfId="17505"/>
    <cellStyle name="Normal 16 2 3 3 2" xfId="28606"/>
    <cellStyle name="Normal 16 2 3 3 2 2" xfId="28607"/>
    <cellStyle name="Normal 16 2 3 3 2 2 2" xfId="28608"/>
    <cellStyle name="Normal 16 2 3 3 2 3" xfId="28609"/>
    <cellStyle name="Normal 16 2 3 3 3" xfId="28610"/>
    <cellStyle name="Normal 16 2 3 3 3 2" xfId="28611"/>
    <cellStyle name="Normal 16 2 3 3 4" xfId="28612"/>
    <cellStyle name="Normal 16 2 3 4" xfId="28613"/>
    <cellStyle name="Normal 16 2 3 4 2" xfId="28614"/>
    <cellStyle name="Normal 16 2 3 4 2 2" xfId="28615"/>
    <cellStyle name="Normal 16 2 3 4 3" xfId="28616"/>
    <cellStyle name="Normal 16 2 3 5" xfId="28617"/>
    <cellStyle name="Normal 16 2 3 5 2" xfId="28618"/>
    <cellStyle name="Normal 16 2 3 6" xfId="28619"/>
    <cellStyle name="Normal 16 2 4" xfId="9677"/>
    <cellStyle name="Normal 16 2 4 2" xfId="17506"/>
    <cellStyle name="Normal 16 2 4 2 2" xfId="28620"/>
    <cellStyle name="Normal 16 2 4 2 2 2" xfId="28621"/>
    <cellStyle name="Normal 16 2 4 2 2 2 2" xfId="28622"/>
    <cellStyle name="Normal 16 2 4 2 2 3" xfId="28623"/>
    <cellStyle name="Normal 16 2 4 2 3" xfId="28624"/>
    <cellStyle name="Normal 16 2 4 2 3 2" xfId="28625"/>
    <cellStyle name="Normal 16 2 4 2 4" xfId="28626"/>
    <cellStyle name="Normal 16 2 4 3" xfId="28627"/>
    <cellStyle name="Normal 16 2 4 3 2" xfId="28628"/>
    <cellStyle name="Normal 16 2 4 3 2 2" xfId="28629"/>
    <cellStyle name="Normal 16 2 4 3 3" xfId="28630"/>
    <cellStyle name="Normal 16 2 4 4" xfId="28631"/>
    <cellStyle name="Normal 16 2 4 4 2" xfId="28632"/>
    <cellStyle name="Normal 16 2 4 5" xfId="28633"/>
    <cellStyle name="Normal 16 2 5" xfId="9678"/>
    <cellStyle name="Normal 16 2 5 2" xfId="28634"/>
    <cellStyle name="Normal 16 2 5 2 2" xfId="28635"/>
    <cellStyle name="Normal 16 2 5 2 2 2" xfId="28636"/>
    <cellStyle name="Normal 16 2 5 2 3" xfId="28637"/>
    <cellStyle name="Normal 16 2 5 3" xfId="28638"/>
    <cellStyle name="Normal 16 2 5 3 2" xfId="28639"/>
    <cellStyle name="Normal 16 2 5 4" xfId="28640"/>
    <cellStyle name="Normal 16 2 6" xfId="28641"/>
    <cellStyle name="Normal 16 2 6 2" xfId="28642"/>
    <cellStyle name="Normal 16 2 6 2 2" xfId="28643"/>
    <cellStyle name="Normal 16 2 6 3" xfId="28644"/>
    <cellStyle name="Normal 16 2 7" xfId="28645"/>
    <cellStyle name="Normal 16 2 7 2" xfId="28646"/>
    <cellStyle name="Normal 16 2 8" xfId="28647"/>
    <cellStyle name="Normal 16 2 9" xfId="28648"/>
    <cellStyle name="Normal 16 3" xfId="9679"/>
    <cellStyle name="Normal 16 3 2" xfId="9680"/>
    <cellStyle name="Normal 16 3 2 2" xfId="17507"/>
    <cellStyle name="Normal 16 3 2 2 2" xfId="17508"/>
    <cellStyle name="Normal 16 3 2 2 2 2" xfId="17509"/>
    <cellStyle name="Normal 16 3 2 2 2 2 2" xfId="28649"/>
    <cellStyle name="Normal 16 3 2 2 2 2 2 2" xfId="28650"/>
    <cellStyle name="Normal 16 3 2 2 2 2 2 2 2" xfId="28651"/>
    <cellStyle name="Normal 16 3 2 2 2 2 2 3" xfId="28652"/>
    <cellStyle name="Normal 16 3 2 2 2 2 3" xfId="28653"/>
    <cellStyle name="Normal 16 3 2 2 2 2 3 2" xfId="28654"/>
    <cellStyle name="Normal 16 3 2 2 2 2 4" xfId="28655"/>
    <cellStyle name="Normal 16 3 2 2 2 3" xfId="28656"/>
    <cellStyle name="Normal 16 3 2 2 2 3 2" xfId="28657"/>
    <cellStyle name="Normal 16 3 2 2 2 3 2 2" xfId="28658"/>
    <cellStyle name="Normal 16 3 2 2 2 3 3" xfId="28659"/>
    <cellStyle name="Normal 16 3 2 2 2 4" xfId="28660"/>
    <cellStyle name="Normal 16 3 2 2 2 4 2" xfId="28661"/>
    <cellStyle name="Normal 16 3 2 2 2 5" xfId="28662"/>
    <cellStyle name="Normal 16 3 2 2 3" xfId="17510"/>
    <cellStyle name="Normal 16 3 2 2 3 2" xfId="28663"/>
    <cellStyle name="Normal 16 3 2 2 3 2 2" xfId="28664"/>
    <cellStyle name="Normal 16 3 2 2 3 2 2 2" xfId="28665"/>
    <cellStyle name="Normal 16 3 2 2 3 2 3" xfId="28666"/>
    <cellStyle name="Normal 16 3 2 2 3 3" xfId="28667"/>
    <cellStyle name="Normal 16 3 2 2 3 3 2" xfId="28668"/>
    <cellStyle name="Normal 16 3 2 2 3 4" xfId="28669"/>
    <cellStyle name="Normal 16 3 2 2 4" xfId="28670"/>
    <cellStyle name="Normal 16 3 2 2 4 2" xfId="28671"/>
    <cellStyle name="Normal 16 3 2 2 4 2 2" xfId="28672"/>
    <cellStyle name="Normal 16 3 2 2 4 3" xfId="28673"/>
    <cellStyle name="Normal 16 3 2 2 5" xfId="28674"/>
    <cellStyle name="Normal 16 3 2 2 5 2" xfId="28675"/>
    <cellStyle name="Normal 16 3 2 2 6" xfId="28676"/>
    <cellStyle name="Normal 16 3 2 3" xfId="17511"/>
    <cellStyle name="Normal 16 3 2 3 2" xfId="17512"/>
    <cellStyle name="Normal 16 3 2 3 2 2" xfId="28677"/>
    <cellStyle name="Normal 16 3 2 3 2 2 2" xfId="28678"/>
    <cellStyle name="Normal 16 3 2 3 2 2 2 2" xfId="28679"/>
    <cellStyle name="Normal 16 3 2 3 2 2 3" xfId="28680"/>
    <cellStyle name="Normal 16 3 2 3 2 3" xfId="28681"/>
    <cellStyle name="Normal 16 3 2 3 2 3 2" xfId="28682"/>
    <cellStyle name="Normal 16 3 2 3 2 4" xfId="28683"/>
    <cellStyle name="Normal 16 3 2 3 3" xfId="28684"/>
    <cellStyle name="Normal 16 3 2 3 3 2" xfId="28685"/>
    <cellStyle name="Normal 16 3 2 3 3 2 2" xfId="28686"/>
    <cellStyle name="Normal 16 3 2 3 3 3" xfId="28687"/>
    <cellStyle name="Normal 16 3 2 3 4" xfId="28688"/>
    <cellStyle name="Normal 16 3 2 3 4 2" xfId="28689"/>
    <cellStyle name="Normal 16 3 2 3 5" xfId="28690"/>
    <cellStyle name="Normal 16 3 2 4" xfId="17513"/>
    <cellStyle name="Normal 16 3 2 4 2" xfId="28691"/>
    <cellStyle name="Normal 16 3 2 4 2 2" xfId="28692"/>
    <cellStyle name="Normal 16 3 2 4 2 2 2" xfId="28693"/>
    <cellStyle name="Normal 16 3 2 4 2 3" xfId="28694"/>
    <cellStyle name="Normal 16 3 2 4 3" xfId="28695"/>
    <cellStyle name="Normal 16 3 2 4 3 2" xfId="28696"/>
    <cellStyle name="Normal 16 3 2 4 4" xfId="28697"/>
    <cellStyle name="Normal 16 3 2 5" xfId="28698"/>
    <cellStyle name="Normal 16 3 2 5 2" xfId="28699"/>
    <cellStyle name="Normal 16 3 2 5 2 2" xfId="28700"/>
    <cellStyle name="Normal 16 3 2 5 3" xfId="28701"/>
    <cellStyle name="Normal 16 3 2 6" xfId="28702"/>
    <cellStyle name="Normal 16 3 2 6 2" xfId="28703"/>
    <cellStyle name="Normal 16 3 2 7" xfId="28704"/>
    <cellStyle name="Normal 16 3 3" xfId="17514"/>
    <cellStyle name="Normal 16 3 3 2" xfId="17515"/>
    <cellStyle name="Normal 16 3 3 2 2" xfId="17516"/>
    <cellStyle name="Normal 16 3 3 2 2 2" xfId="28705"/>
    <cellStyle name="Normal 16 3 3 2 2 2 2" xfId="28706"/>
    <cellStyle name="Normal 16 3 3 2 2 2 2 2" xfId="28707"/>
    <cellStyle name="Normal 16 3 3 2 2 2 3" xfId="28708"/>
    <cellStyle name="Normal 16 3 3 2 2 3" xfId="28709"/>
    <cellStyle name="Normal 16 3 3 2 2 3 2" xfId="28710"/>
    <cellStyle name="Normal 16 3 3 2 2 4" xfId="28711"/>
    <cellStyle name="Normal 16 3 3 2 3" xfId="28712"/>
    <cellStyle name="Normal 16 3 3 2 3 2" xfId="28713"/>
    <cellStyle name="Normal 16 3 3 2 3 2 2" xfId="28714"/>
    <cellStyle name="Normal 16 3 3 2 3 3" xfId="28715"/>
    <cellStyle name="Normal 16 3 3 2 4" xfId="28716"/>
    <cellStyle name="Normal 16 3 3 2 4 2" xfId="28717"/>
    <cellStyle name="Normal 16 3 3 2 5" xfId="28718"/>
    <cellStyle name="Normal 16 3 3 3" xfId="17517"/>
    <cellStyle name="Normal 16 3 3 3 2" xfId="28719"/>
    <cellStyle name="Normal 16 3 3 3 2 2" xfId="28720"/>
    <cellStyle name="Normal 16 3 3 3 2 2 2" xfId="28721"/>
    <cellStyle name="Normal 16 3 3 3 2 3" xfId="28722"/>
    <cellStyle name="Normal 16 3 3 3 3" xfId="28723"/>
    <cellStyle name="Normal 16 3 3 3 3 2" xfId="28724"/>
    <cellStyle name="Normal 16 3 3 3 4" xfId="28725"/>
    <cellStyle name="Normal 16 3 3 4" xfId="28726"/>
    <cellStyle name="Normal 16 3 3 4 2" xfId="28727"/>
    <cellStyle name="Normal 16 3 3 4 2 2" xfId="28728"/>
    <cellStyle name="Normal 16 3 3 4 3" xfId="28729"/>
    <cellStyle name="Normal 16 3 3 5" xfId="28730"/>
    <cellStyle name="Normal 16 3 3 5 2" xfId="28731"/>
    <cellStyle name="Normal 16 3 3 6" xfId="28732"/>
    <cellStyle name="Normal 16 3 4" xfId="17518"/>
    <cellStyle name="Normal 16 3 4 2" xfId="17519"/>
    <cellStyle name="Normal 16 3 4 2 2" xfId="28733"/>
    <cellStyle name="Normal 16 3 4 2 2 2" xfId="28734"/>
    <cellStyle name="Normal 16 3 4 2 2 2 2" xfId="28735"/>
    <cellStyle name="Normal 16 3 4 2 2 3" xfId="28736"/>
    <cellStyle name="Normal 16 3 4 2 3" xfId="28737"/>
    <cellStyle name="Normal 16 3 4 2 3 2" xfId="28738"/>
    <cellStyle name="Normal 16 3 4 2 4" xfId="28739"/>
    <cellStyle name="Normal 16 3 4 3" xfId="28740"/>
    <cellStyle name="Normal 16 3 4 3 2" xfId="28741"/>
    <cellStyle name="Normal 16 3 4 3 2 2" xfId="28742"/>
    <cellStyle name="Normal 16 3 4 3 3" xfId="28743"/>
    <cellStyle name="Normal 16 3 4 4" xfId="28744"/>
    <cellStyle name="Normal 16 3 4 4 2" xfId="28745"/>
    <cellStyle name="Normal 16 3 4 5" xfId="28746"/>
    <cellStyle name="Normal 16 3 5" xfId="17520"/>
    <cellStyle name="Normal 16 3 5 2" xfId="28747"/>
    <cellStyle name="Normal 16 3 5 2 2" xfId="28748"/>
    <cellStyle name="Normal 16 3 5 2 2 2" xfId="28749"/>
    <cellStyle name="Normal 16 3 5 2 3" xfId="28750"/>
    <cellStyle name="Normal 16 3 5 3" xfId="28751"/>
    <cellStyle name="Normal 16 3 5 3 2" xfId="28752"/>
    <cellStyle name="Normal 16 3 5 4" xfId="28753"/>
    <cellStyle name="Normal 16 3 6" xfId="28754"/>
    <cellStyle name="Normal 16 3 6 2" xfId="28755"/>
    <cellStyle name="Normal 16 3 6 2 2" xfId="28756"/>
    <cellStyle name="Normal 16 3 6 3" xfId="28757"/>
    <cellStyle name="Normal 16 3 7" xfId="28758"/>
    <cellStyle name="Normal 16 3 7 2" xfId="28759"/>
    <cellStyle name="Normal 16 3 8" xfId="28760"/>
    <cellStyle name="Normal 16 4" xfId="9681"/>
    <cellStyle name="Normal 16 4 2" xfId="17521"/>
    <cellStyle name="Normal 16 4 2 2" xfId="17522"/>
    <cellStyle name="Normal 16 4 2 2 2" xfId="17523"/>
    <cellStyle name="Normal 16 4 2 2 2 2" xfId="28761"/>
    <cellStyle name="Normal 16 4 2 2 2 2 2" xfId="28762"/>
    <cellStyle name="Normal 16 4 2 2 2 2 2 2" xfId="28763"/>
    <cellStyle name="Normal 16 4 2 2 2 2 3" xfId="28764"/>
    <cellStyle name="Normal 16 4 2 2 2 3" xfId="28765"/>
    <cellStyle name="Normal 16 4 2 2 2 3 2" xfId="28766"/>
    <cellStyle name="Normal 16 4 2 2 2 4" xfId="28767"/>
    <cellStyle name="Normal 16 4 2 2 3" xfId="28768"/>
    <cellStyle name="Normal 16 4 2 2 3 2" xfId="28769"/>
    <cellStyle name="Normal 16 4 2 2 3 2 2" xfId="28770"/>
    <cellStyle name="Normal 16 4 2 2 3 3" xfId="28771"/>
    <cellStyle name="Normal 16 4 2 2 4" xfId="28772"/>
    <cellStyle name="Normal 16 4 2 2 4 2" xfId="28773"/>
    <cellStyle name="Normal 16 4 2 2 5" xfId="28774"/>
    <cellStyle name="Normal 16 4 2 3" xfId="17524"/>
    <cellStyle name="Normal 16 4 2 3 2" xfId="28775"/>
    <cellStyle name="Normal 16 4 2 3 2 2" xfId="28776"/>
    <cellStyle name="Normal 16 4 2 3 2 2 2" xfId="28777"/>
    <cellStyle name="Normal 16 4 2 3 2 3" xfId="28778"/>
    <cellStyle name="Normal 16 4 2 3 3" xfId="28779"/>
    <cellStyle name="Normal 16 4 2 3 3 2" xfId="28780"/>
    <cellStyle name="Normal 16 4 2 3 4" xfId="28781"/>
    <cellStyle name="Normal 16 4 2 4" xfId="28782"/>
    <cellStyle name="Normal 16 4 2 4 2" xfId="28783"/>
    <cellStyle name="Normal 16 4 2 4 2 2" xfId="28784"/>
    <cellStyle name="Normal 16 4 2 4 3" xfId="28785"/>
    <cellStyle name="Normal 16 4 2 5" xfId="28786"/>
    <cellStyle name="Normal 16 4 2 5 2" xfId="28787"/>
    <cellStyle name="Normal 16 4 2 6" xfId="28788"/>
    <cellStyle name="Normal 16 4 3" xfId="17525"/>
    <cellStyle name="Normal 16 4 3 2" xfId="17526"/>
    <cellStyle name="Normal 16 4 3 2 2" xfId="28789"/>
    <cellStyle name="Normal 16 4 3 2 2 2" xfId="28790"/>
    <cellStyle name="Normal 16 4 3 2 2 2 2" xfId="28791"/>
    <cellStyle name="Normal 16 4 3 2 2 3" xfId="28792"/>
    <cellStyle name="Normal 16 4 3 2 3" xfId="28793"/>
    <cellStyle name="Normal 16 4 3 2 3 2" xfId="28794"/>
    <cellStyle name="Normal 16 4 3 2 4" xfId="28795"/>
    <cellStyle name="Normal 16 4 3 3" xfId="28796"/>
    <cellStyle name="Normal 16 4 3 3 2" xfId="28797"/>
    <cellStyle name="Normal 16 4 3 3 2 2" xfId="28798"/>
    <cellStyle name="Normal 16 4 3 3 3" xfId="28799"/>
    <cellStyle name="Normal 16 4 3 4" xfId="28800"/>
    <cellStyle name="Normal 16 4 3 4 2" xfId="28801"/>
    <cellStyle name="Normal 16 4 3 5" xfId="28802"/>
    <cellStyle name="Normal 16 4 4" xfId="17527"/>
    <cellStyle name="Normal 16 4 4 2" xfId="28803"/>
    <cellStyle name="Normal 16 4 4 2 2" xfId="28804"/>
    <cellStyle name="Normal 16 4 4 2 2 2" xfId="28805"/>
    <cellStyle name="Normal 16 4 4 2 3" xfId="28806"/>
    <cellStyle name="Normal 16 4 4 3" xfId="28807"/>
    <cellStyle name="Normal 16 4 4 3 2" xfId="28808"/>
    <cellStyle name="Normal 16 4 4 4" xfId="28809"/>
    <cellStyle name="Normal 16 4 5" xfId="28810"/>
    <cellStyle name="Normal 16 4 5 2" xfId="28811"/>
    <cellStyle name="Normal 16 4 5 2 2" xfId="28812"/>
    <cellStyle name="Normal 16 4 5 3" xfId="28813"/>
    <cellStyle name="Normal 16 4 6" xfId="28814"/>
    <cellStyle name="Normal 16 4 6 2" xfId="28815"/>
    <cellStyle name="Normal 16 4 7" xfId="28816"/>
    <cellStyle name="Normal 16 5" xfId="9682"/>
    <cellStyle name="Normal 16 5 2" xfId="17528"/>
    <cellStyle name="Normal 16 5 2 2" xfId="17529"/>
    <cellStyle name="Normal 16 5 2 2 2" xfId="28817"/>
    <cellStyle name="Normal 16 5 2 2 2 2" xfId="28818"/>
    <cellStyle name="Normal 16 5 2 2 2 2 2" xfId="28819"/>
    <cellStyle name="Normal 16 5 2 2 2 3" xfId="28820"/>
    <cellStyle name="Normal 16 5 2 2 3" xfId="28821"/>
    <cellStyle name="Normal 16 5 2 2 3 2" xfId="28822"/>
    <cellStyle name="Normal 16 5 2 2 4" xfId="28823"/>
    <cellStyle name="Normal 16 5 2 3" xfId="28824"/>
    <cellStyle name="Normal 16 5 2 3 2" xfId="28825"/>
    <cellStyle name="Normal 16 5 2 3 2 2" xfId="28826"/>
    <cellStyle name="Normal 16 5 2 3 3" xfId="28827"/>
    <cellStyle name="Normal 16 5 2 4" xfId="28828"/>
    <cellStyle name="Normal 16 5 2 4 2" xfId="28829"/>
    <cellStyle name="Normal 16 5 2 5" xfId="28830"/>
    <cellStyle name="Normal 16 5 3" xfId="17530"/>
    <cellStyle name="Normal 16 5 3 2" xfId="28831"/>
    <cellStyle name="Normal 16 5 3 2 2" xfId="28832"/>
    <cellStyle name="Normal 16 5 3 2 2 2" xfId="28833"/>
    <cellStyle name="Normal 16 5 3 2 3" xfId="28834"/>
    <cellStyle name="Normal 16 5 3 3" xfId="28835"/>
    <cellStyle name="Normal 16 5 3 3 2" xfId="28836"/>
    <cellStyle name="Normal 16 5 3 4" xfId="28837"/>
    <cellStyle name="Normal 16 5 4" xfId="28838"/>
    <cellStyle name="Normal 16 5 4 2" xfId="28839"/>
    <cellStyle name="Normal 16 5 4 2 2" xfId="28840"/>
    <cellStyle name="Normal 16 5 4 3" xfId="28841"/>
    <cellStyle name="Normal 16 5 5" xfId="28842"/>
    <cellStyle name="Normal 16 5 5 2" xfId="28843"/>
    <cellStyle name="Normal 16 5 6" xfId="28844"/>
    <cellStyle name="Normal 16 6" xfId="17531"/>
    <cellStyle name="Normal 16 6 2" xfId="17532"/>
    <cellStyle name="Normal 16 6 2 2" xfId="28845"/>
    <cellStyle name="Normal 16 6 2 2 2" xfId="28846"/>
    <cellStyle name="Normal 16 6 2 2 2 2" xfId="28847"/>
    <cellStyle name="Normal 16 6 2 2 3" xfId="28848"/>
    <cellStyle name="Normal 16 6 2 3" xfId="28849"/>
    <cellStyle name="Normal 16 6 2 3 2" xfId="28850"/>
    <cellStyle name="Normal 16 6 2 4" xfId="28851"/>
    <cellStyle name="Normal 16 6 3" xfId="28852"/>
    <cellStyle name="Normal 16 6 3 2" xfId="28853"/>
    <cellStyle name="Normal 16 6 3 2 2" xfId="28854"/>
    <cellStyle name="Normal 16 6 3 3" xfId="28855"/>
    <cellStyle name="Normal 16 6 4" xfId="28856"/>
    <cellStyle name="Normal 16 6 4 2" xfId="28857"/>
    <cellStyle name="Normal 16 6 5" xfId="28858"/>
    <cellStyle name="Normal 16 7" xfId="17533"/>
    <cellStyle name="Normal 16 7 2" xfId="28859"/>
    <cellStyle name="Normal 16 7 2 2" xfId="28860"/>
    <cellStyle name="Normal 16 7 2 2 2" xfId="28861"/>
    <cellStyle name="Normal 16 7 2 3" xfId="28862"/>
    <cellStyle name="Normal 16 7 3" xfId="28863"/>
    <cellStyle name="Normal 16 7 3 2" xfId="28864"/>
    <cellStyle name="Normal 16 7 4" xfId="28865"/>
    <cellStyle name="Normal 16 8" xfId="28866"/>
    <cellStyle name="Normal 16 8 2" xfId="28867"/>
    <cellStyle name="Normal 16 8 2 2" xfId="28868"/>
    <cellStyle name="Normal 16 8 3" xfId="28869"/>
    <cellStyle name="Normal 16 9" xfId="28870"/>
    <cellStyle name="Normal 16 9 2" xfId="28871"/>
    <cellStyle name="Normal 160" xfId="17534"/>
    <cellStyle name="Normal 161" xfId="17535"/>
    <cellStyle name="Normal 162" xfId="17536"/>
    <cellStyle name="Normal 163" xfId="17537"/>
    <cellStyle name="Normal 164" xfId="17538"/>
    <cellStyle name="Normal 165" xfId="17539"/>
    <cellStyle name="Normal 166" xfId="17540"/>
    <cellStyle name="Normal 167" xfId="17541"/>
    <cellStyle name="Normal 167 2" xfId="28872"/>
    <cellStyle name="Normal 167 2 2" xfId="28873"/>
    <cellStyle name="Normal 167 2 2 2" xfId="28874"/>
    <cellStyle name="Normal 167 2 3" xfId="28875"/>
    <cellStyle name="Normal 167 3" xfId="28876"/>
    <cellStyle name="Normal 167 3 2" xfId="28877"/>
    <cellStyle name="Normal 167 4" xfId="28878"/>
    <cellStyle name="Normal 168" xfId="17542"/>
    <cellStyle name="Normal 168 2" xfId="28879"/>
    <cellStyle name="Normal 168 2 2" xfId="28880"/>
    <cellStyle name="Normal 168 2 2 2" xfId="28881"/>
    <cellStyle name="Normal 168 2 3" xfId="28882"/>
    <cellStyle name="Normal 168 3" xfId="28883"/>
    <cellStyle name="Normal 168 3 2" xfId="28884"/>
    <cellStyle name="Normal 168 4" xfId="28885"/>
    <cellStyle name="Normal 169" xfId="17543"/>
    <cellStyle name="Normal 169 2" xfId="28886"/>
    <cellStyle name="Normal 169 2 2" xfId="28887"/>
    <cellStyle name="Normal 169 2 2 2" xfId="28888"/>
    <cellStyle name="Normal 169 2 3" xfId="28889"/>
    <cellStyle name="Normal 169 3" xfId="28890"/>
    <cellStyle name="Normal 169 3 2" xfId="28891"/>
    <cellStyle name="Normal 169 4" xfId="28892"/>
    <cellStyle name="Normal 17" xfId="9683"/>
    <cellStyle name="Normal 17 10" xfId="28893"/>
    <cellStyle name="Normal 17 11" xfId="28894"/>
    <cellStyle name="Normal 17 2" xfId="9684"/>
    <cellStyle name="Normal 17 2 2" xfId="9685"/>
    <cellStyle name="Normal 17 2 2 2" xfId="9686"/>
    <cellStyle name="Normal 17 2 2 2 2" xfId="17544"/>
    <cellStyle name="Normal 17 2 2 2 2 2" xfId="17545"/>
    <cellStyle name="Normal 17 2 2 2 2 2 2" xfId="28895"/>
    <cellStyle name="Normal 17 2 2 2 2 2 2 2" xfId="28896"/>
    <cellStyle name="Normal 17 2 2 2 2 2 2 2 2" xfId="28897"/>
    <cellStyle name="Normal 17 2 2 2 2 2 2 3" xfId="28898"/>
    <cellStyle name="Normal 17 2 2 2 2 2 3" xfId="28899"/>
    <cellStyle name="Normal 17 2 2 2 2 2 3 2" xfId="28900"/>
    <cellStyle name="Normal 17 2 2 2 2 2 4" xfId="28901"/>
    <cellStyle name="Normal 17 2 2 2 2 3" xfId="28902"/>
    <cellStyle name="Normal 17 2 2 2 2 3 2" xfId="28903"/>
    <cellStyle name="Normal 17 2 2 2 2 3 2 2" xfId="28904"/>
    <cellStyle name="Normal 17 2 2 2 2 3 3" xfId="28905"/>
    <cellStyle name="Normal 17 2 2 2 2 4" xfId="28906"/>
    <cellStyle name="Normal 17 2 2 2 2 4 2" xfId="28907"/>
    <cellStyle name="Normal 17 2 2 2 2 5" xfId="28908"/>
    <cellStyle name="Normal 17 2 2 2 3" xfId="17546"/>
    <cellStyle name="Normal 17 2 2 2 3 2" xfId="28909"/>
    <cellStyle name="Normal 17 2 2 2 3 2 2" xfId="28910"/>
    <cellStyle name="Normal 17 2 2 2 3 2 2 2" xfId="28911"/>
    <cellStyle name="Normal 17 2 2 2 3 2 3" xfId="28912"/>
    <cellStyle name="Normal 17 2 2 2 3 3" xfId="28913"/>
    <cellStyle name="Normal 17 2 2 2 3 3 2" xfId="28914"/>
    <cellStyle name="Normal 17 2 2 2 3 4" xfId="28915"/>
    <cellStyle name="Normal 17 2 2 2 4" xfId="28916"/>
    <cellStyle name="Normal 17 2 2 2 4 2" xfId="28917"/>
    <cellStyle name="Normal 17 2 2 2 4 2 2" xfId="28918"/>
    <cellStyle name="Normal 17 2 2 2 4 3" xfId="28919"/>
    <cellStyle name="Normal 17 2 2 2 5" xfId="28920"/>
    <cellStyle name="Normal 17 2 2 2 5 2" xfId="28921"/>
    <cellStyle name="Normal 17 2 2 2 6" xfId="28922"/>
    <cellStyle name="Normal 17 2 2 3" xfId="9687"/>
    <cellStyle name="Normal 17 2 2 3 2" xfId="17547"/>
    <cellStyle name="Normal 17 2 2 3 2 2" xfId="28923"/>
    <cellStyle name="Normal 17 2 2 3 2 2 2" xfId="28924"/>
    <cellStyle name="Normal 17 2 2 3 2 2 2 2" xfId="28925"/>
    <cellStyle name="Normal 17 2 2 3 2 2 3" xfId="28926"/>
    <cellStyle name="Normal 17 2 2 3 2 3" xfId="28927"/>
    <cellStyle name="Normal 17 2 2 3 2 3 2" xfId="28928"/>
    <cellStyle name="Normal 17 2 2 3 2 4" xfId="28929"/>
    <cellStyle name="Normal 17 2 2 3 3" xfId="28930"/>
    <cellStyle name="Normal 17 2 2 3 3 2" xfId="28931"/>
    <cellStyle name="Normal 17 2 2 3 3 2 2" xfId="28932"/>
    <cellStyle name="Normal 17 2 2 3 3 3" xfId="28933"/>
    <cellStyle name="Normal 17 2 2 3 4" xfId="28934"/>
    <cellStyle name="Normal 17 2 2 3 4 2" xfId="28935"/>
    <cellStyle name="Normal 17 2 2 3 5" xfId="28936"/>
    <cellStyle name="Normal 17 2 2 4" xfId="9688"/>
    <cellStyle name="Normal 17 2 2 4 2" xfId="28937"/>
    <cellStyle name="Normal 17 2 2 4 2 2" xfId="28938"/>
    <cellStyle name="Normal 17 2 2 4 2 2 2" xfId="28939"/>
    <cellStyle name="Normal 17 2 2 4 2 3" xfId="28940"/>
    <cellStyle name="Normal 17 2 2 4 3" xfId="28941"/>
    <cellStyle name="Normal 17 2 2 4 3 2" xfId="28942"/>
    <cellStyle name="Normal 17 2 2 4 4" xfId="28943"/>
    <cellStyle name="Normal 17 2 2 5" xfId="28944"/>
    <cellStyle name="Normal 17 2 2 5 2" xfId="28945"/>
    <cellStyle name="Normal 17 2 2 5 2 2" xfId="28946"/>
    <cellStyle name="Normal 17 2 2 5 3" xfId="28947"/>
    <cellStyle name="Normal 17 2 2 6" xfId="28948"/>
    <cellStyle name="Normal 17 2 2 6 2" xfId="28949"/>
    <cellStyle name="Normal 17 2 2 7" xfId="28950"/>
    <cellStyle name="Normal 17 2 3" xfId="17548"/>
    <cellStyle name="Normal 17 2 3 2" xfId="17549"/>
    <cellStyle name="Normal 17 2 3 2 2" xfId="17550"/>
    <cellStyle name="Normal 17 2 3 2 2 2" xfId="28951"/>
    <cellStyle name="Normal 17 2 3 2 2 2 2" xfId="28952"/>
    <cellStyle name="Normal 17 2 3 2 2 2 2 2" xfId="28953"/>
    <cellStyle name="Normal 17 2 3 2 2 2 3" xfId="28954"/>
    <cellStyle name="Normal 17 2 3 2 2 3" xfId="28955"/>
    <cellStyle name="Normal 17 2 3 2 2 3 2" xfId="28956"/>
    <cellStyle name="Normal 17 2 3 2 2 4" xfId="28957"/>
    <cellStyle name="Normal 17 2 3 2 3" xfId="28958"/>
    <cellStyle name="Normal 17 2 3 2 3 2" xfId="28959"/>
    <cellStyle name="Normal 17 2 3 2 3 2 2" xfId="28960"/>
    <cellStyle name="Normal 17 2 3 2 3 3" xfId="28961"/>
    <cellStyle name="Normal 17 2 3 2 4" xfId="28962"/>
    <cellStyle name="Normal 17 2 3 2 4 2" xfId="28963"/>
    <cellStyle name="Normal 17 2 3 2 5" xfId="28964"/>
    <cellStyle name="Normal 17 2 3 3" xfId="17551"/>
    <cellStyle name="Normal 17 2 3 3 2" xfId="28965"/>
    <cellStyle name="Normal 17 2 3 3 2 2" xfId="28966"/>
    <cellStyle name="Normal 17 2 3 3 2 2 2" xfId="28967"/>
    <cellStyle name="Normal 17 2 3 3 2 3" xfId="28968"/>
    <cellStyle name="Normal 17 2 3 3 3" xfId="28969"/>
    <cellStyle name="Normal 17 2 3 3 3 2" xfId="28970"/>
    <cellStyle name="Normal 17 2 3 3 4" xfId="28971"/>
    <cellStyle name="Normal 17 2 3 4" xfId="28972"/>
    <cellStyle name="Normal 17 2 3 4 2" xfId="28973"/>
    <cellStyle name="Normal 17 2 3 4 2 2" xfId="28974"/>
    <cellStyle name="Normal 17 2 3 4 3" xfId="28975"/>
    <cellStyle name="Normal 17 2 3 5" xfId="28976"/>
    <cellStyle name="Normal 17 2 3 5 2" xfId="28977"/>
    <cellStyle name="Normal 17 2 3 6" xfId="28978"/>
    <cellStyle name="Normal 17 2 4" xfId="17552"/>
    <cellStyle name="Normal 17 2 4 2" xfId="17553"/>
    <cellStyle name="Normal 17 2 4 2 2" xfId="28979"/>
    <cellStyle name="Normal 17 2 4 2 2 2" xfId="28980"/>
    <cellStyle name="Normal 17 2 4 2 2 2 2" xfId="28981"/>
    <cellStyle name="Normal 17 2 4 2 2 3" xfId="28982"/>
    <cellStyle name="Normal 17 2 4 2 3" xfId="28983"/>
    <cellStyle name="Normal 17 2 4 2 3 2" xfId="28984"/>
    <cellStyle name="Normal 17 2 4 2 4" xfId="28985"/>
    <cellStyle name="Normal 17 2 4 3" xfId="28986"/>
    <cellStyle name="Normal 17 2 4 3 2" xfId="28987"/>
    <cellStyle name="Normal 17 2 4 3 2 2" xfId="28988"/>
    <cellStyle name="Normal 17 2 4 3 3" xfId="28989"/>
    <cellStyle name="Normal 17 2 4 4" xfId="28990"/>
    <cellStyle name="Normal 17 2 4 4 2" xfId="28991"/>
    <cellStyle name="Normal 17 2 4 5" xfId="28992"/>
    <cellStyle name="Normal 17 2 5" xfId="17554"/>
    <cellStyle name="Normal 17 2 5 2" xfId="28993"/>
    <cellStyle name="Normal 17 2 5 2 2" xfId="28994"/>
    <cellStyle name="Normal 17 2 5 2 2 2" xfId="28995"/>
    <cellStyle name="Normal 17 2 5 2 3" xfId="28996"/>
    <cellStyle name="Normal 17 2 5 3" xfId="28997"/>
    <cellStyle name="Normal 17 2 5 3 2" xfId="28998"/>
    <cellStyle name="Normal 17 2 5 4" xfId="28999"/>
    <cellStyle name="Normal 17 2 6" xfId="29000"/>
    <cellStyle name="Normal 17 2 6 2" xfId="29001"/>
    <cellStyle name="Normal 17 2 6 2 2" xfId="29002"/>
    <cellStyle name="Normal 17 2 6 3" xfId="29003"/>
    <cellStyle name="Normal 17 2 7" xfId="29004"/>
    <cellStyle name="Normal 17 2 7 2" xfId="29005"/>
    <cellStyle name="Normal 17 2 8" xfId="29006"/>
    <cellStyle name="Normal 17 2 9" xfId="29007"/>
    <cellStyle name="Normal 17 3" xfId="9689"/>
    <cellStyle name="Normal 17 3 2" xfId="17555"/>
    <cellStyle name="Normal 17 3 2 2" xfId="17556"/>
    <cellStyle name="Normal 17 3 2 2 2" xfId="17557"/>
    <cellStyle name="Normal 17 3 2 2 2 2" xfId="17558"/>
    <cellStyle name="Normal 17 3 2 2 2 2 2" xfId="29008"/>
    <cellStyle name="Normal 17 3 2 2 2 2 2 2" xfId="29009"/>
    <cellStyle name="Normal 17 3 2 2 2 2 2 2 2" xfId="29010"/>
    <cellStyle name="Normal 17 3 2 2 2 2 2 3" xfId="29011"/>
    <cellStyle name="Normal 17 3 2 2 2 2 3" xfId="29012"/>
    <cellStyle name="Normal 17 3 2 2 2 2 3 2" xfId="29013"/>
    <cellStyle name="Normal 17 3 2 2 2 2 4" xfId="29014"/>
    <cellStyle name="Normal 17 3 2 2 2 3" xfId="29015"/>
    <cellStyle name="Normal 17 3 2 2 2 3 2" xfId="29016"/>
    <cellStyle name="Normal 17 3 2 2 2 3 2 2" xfId="29017"/>
    <cellStyle name="Normal 17 3 2 2 2 3 3" xfId="29018"/>
    <cellStyle name="Normal 17 3 2 2 2 4" xfId="29019"/>
    <cellStyle name="Normal 17 3 2 2 2 4 2" xfId="29020"/>
    <cellStyle name="Normal 17 3 2 2 2 5" xfId="29021"/>
    <cellStyle name="Normal 17 3 2 2 3" xfId="17559"/>
    <cellStyle name="Normal 17 3 2 2 3 2" xfId="29022"/>
    <cellStyle name="Normal 17 3 2 2 3 2 2" xfId="29023"/>
    <cellStyle name="Normal 17 3 2 2 3 2 2 2" xfId="29024"/>
    <cellStyle name="Normal 17 3 2 2 3 2 3" xfId="29025"/>
    <cellStyle name="Normal 17 3 2 2 3 3" xfId="29026"/>
    <cellStyle name="Normal 17 3 2 2 3 3 2" xfId="29027"/>
    <cellStyle name="Normal 17 3 2 2 3 4" xfId="29028"/>
    <cellStyle name="Normal 17 3 2 2 4" xfId="29029"/>
    <cellStyle name="Normal 17 3 2 2 4 2" xfId="29030"/>
    <cellStyle name="Normal 17 3 2 2 4 2 2" xfId="29031"/>
    <cellStyle name="Normal 17 3 2 2 4 3" xfId="29032"/>
    <cellStyle name="Normal 17 3 2 2 5" xfId="29033"/>
    <cellStyle name="Normal 17 3 2 2 5 2" xfId="29034"/>
    <cellStyle name="Normal 17 3 2 2 6" xfId="29035"/>
    <cellStyle name="Normal 17 3 2 3" xfId="17560"/>
    <cellStyle name="Normal 17 3 2 3 2" xfId="17561"/>
    <cellStyle name="Normal 17 3 2 3 2 2" xfId="29036"/>
    <cellStyle name="Normal 17 3 2 3 2 2 2" xfId="29037"/>
    <cellStyle name="Normal 17 3 2 3 2 2 2 2" xfId="29038"/>
    <cellStyle name="Normal 17 3 2 3 2 2 3" xfId="29039"/>
    <cellStyle name="Normal 17 3 2 3 2 3" xfId="29040"/>
    <cellStyle name="Normal 17 3 2 3 2 3 2" xfId="29041"/>
    <cellStyle name="Normal 17 3 2 3 2 4" xfId="29042"/>
    <cellStyle name="Normal 17 3 2 3 3" xfId="29043"/>
    <cellStyle name="Normal 17 3 2 3 3 2" xfId="29044"/>
    <cellStyle name="Normal 17 3 2 3 3 2 2" xfId="29045"/>
    <cellStyle name="Normal 17 3 2 3 3 3" xfId="29046"/>
    <cellStyle name="Normal 17 3 2 3 4" xfId="29047"/>
    <cellStyle name="Normal 17 3 2 3 4 2" xfId="29048"/>
    <cellStyle name="Normal 17 3 2 3 5" xfId="29049"/>
    <cellStyle name="Normal 17 3 2 4" xfId="17562"/>
    <cellStyle name="Normal 17 3 2 4 2" xfId="29050"/>
    <cellStyle name="Normal 17 3 2 4 2 2" xfId="29051"/>
    <cellStyle name="Normal 17 3 2 4 2 2 2" xfId="29052"/>
    <cellStyle name="Normal 17 3 2 4 2 3" xfId="29053"/>
    <cellStyle name="Normal 17 3 2 4 3" xfId="29054"/>
    <cellStyle name="Normal 17 3 2 4 3 2" xfId="29055"/>
    <cellStyle name="Normal 17 3 2 4 4" xfId="29056"/>
    <cellStyle name="Normal 17 3 2 5" xfId="29057"/>
    <cellStyle name="Normal 17 3 2 5 2" xfId="29058"/>
    <cellStyle name="Normal 17 3 2 5 2 2" xfId="29059"/>
    <cellStyle name="Normal 17 3 2 5 3" xfId="29060"/>
    <cellStyle name="Normal 17 3 2 6" xfId="29061"/>
    <cellStyle name="Normal 17 3 2 6 2" xfId="29062"/>
    <cellStyle name="Normal 17 3 2 7" xfId="29063"/>
    <cellStyle name="Normal 17 3 3" xfId="17563"/>
    <cellStyle name="Normal 17 3 3 2" xfId="17564"/>
    <cellStyle name="Normal 17 3 3 2 2" xfId="17565"/>
    <cellStyle name="Normal 17 3 3 2 2 2" xfId="29064"/>
    <cellStyle name="Normal 17 3 3 2 2 2 2" xfId="29065"/>
    <cellStyle name="Normal 17 3 3 2 2 2 2 2" xfId="29066"/>
    <cellStyle name="Normal 17 3 3 2 2 2 3" xfId="29067"/>
    <cellStyle name="Normal 17 3 3 2 2 3" xfId="29068"/>
    <cellStyle name="Normal 17 3 3 2 2 3 2" xfId="29069"/>
    <cellStyle name="Normal 17 3 3 2 2 4" xfId="29070"/>
    <cellStyle name="Normal 17 3 3 2 3" xfId="29071"/>
    <cellStyle name="Normal 17 3 3 2 3 2" xfId="29072"/>
    <cellStyle name="Normal 17 3 3 2 3 2 2" xfId="29073"/>
    <cellStyle name="Normal 17 3 3 2 3 3" xfId="29074"/>
    <cellStyle name="Normal 17 3 3 2 4" xfId="29075"/>
    <cellStyle name="Normal 17 3 3 2 4 2" xfId="29076"/>
    <cellStyle name="Normal 17 3 3 2 5" xfId="29077"/>
    <cellStyle name="Normal 17 3 3 3" xfId="17566"/>
    <cellStyle name="Normal 17 3 3 3 2" xfId="29078"/>
    <cellStyle name="Normal 17 3 3 3 2 2" xfId="29079"/>
    <cellStyle name="Normal 17 3 3 3 2 2 2" xfId="29080"/>
    <cellStyle name="Normal 17 3 3 3 2 3" xfId="29081"/>
    <cellStyle name="Normal 17 3 3 3 3" xfId="29082"/>
    <cellStyle name="Normal 17 3 3 3 3 2" xfId="29083"/>
    <cellStyle name="Normal 17 3 3 3 4" xfId="29084"/>
    <cellStyle name="Normal 17 3 3 4" xfId="29085"/>
    <cellStyle name="Normal 17 3 3 4 2" xfId="29086"/>
    <cellStyle name="Normal 17 3 3 4 2 2" xfId="29087"/>
    <cellStyle name="Normal 17 3 3 4 3" xfId="29088"/>
    <cellStyle name="Normal 17 3 3 5" xfId="29089"/>
    <cellStyle name="Normal 17 3 3 5 2" xfId="29090"/>
    <cellStyle name="Normal 17 3 3 6" xfId="29091"/>
    <cellStyle name="Normal 17 3 4" xfId="17567"/>
    <cellStyle name="Normal 17 3 4 2" xfId="17568"/>
    <cellStyle name="Normal 17 3 4 2 2" xfId="29092"/>
    <cellStyle name="Normal 17 3 4 2 2 2" xfId="29093"/>
    <cellStyle name="Normal 17 3 4 2 2 2 2" xfId="29094"/>
    <cellStyle name="Normal 17 3 4 2 2 3" xfId="29095"/>
    <cellStyle name="Normal 17 3 4 2 3" xfId="29096"/>
    <cellStyle name="Normal 17 3 4 2 3 2" xfId="29097"/>
    <cellStyle name="Normal 17 3 4 2 4" xfId="29098"/>
    <cellStyle name="Normal 17 3 4 3" xfId="29099"/>
    <cellStyle name="Normal 17 3 4 3 2" xfId="29100"/>
    <cellStyle name="Normal 17 3 4 3 2 2" xfId="29101"/>
    <cellStyle name="Normal 17 3 4 3 3" xfId="29102"/>
    <cellStyle name="Normal 17 3 4 4" xfId="29103"/>
    <cellStyle name="Normal 17 3 4 4 2" xfId="29104"/>
    <cellStyle name="Normal 17 3 4 5" xfId="29105"/>
    <cellStyle name="Normal 17 3 5" xfId="17569"/>
    <cellStyle name="Normal 17 3 5 2" xfId="29106"/>
    <cellStyle name="Normal 17 3 5 2 2" xfId="29107"/>
    <cellStyle name="Normal 17 3 5 2 2 2" xfId="29108"/>
    <cellStyle name="Normal 17 3 5 2 3" xfId="29109"/>
    <cellStyle name="Normal 17 3 5 3" xfId="29110"/>
    <cellStyle name="Normal 17 3 5 3 2" xfId="29111"/>
    <cellStyle name="Normal 17 3 5 4" xfId="29112"/>
    <cellStyle name="Normal 17 3 6" xfId="29113"/>
    <cellStyle name="Normal 17 3 6 2" xfId="29114"/>
    <cellStyle name="Normal 17 3 6 2 2" xfId="29115"/>
    <cellStyle name="Normal 17 3 6 3" xfId="29116"/>
    <cellStyle name="Normal 17 3 7" xfId="29117"/>
    <cellStyle name="Normal 17 3 7 2" xfId="29118"/>
    <cellStyle name="Normal 17 3 8" xfId="29119"/>
    <cellStyle name="Normal 17 4" xfId="9690"/>
    <cellStyle name="Normal 17 4 2" xfId="9691"/>
    <cellStyle name="Normal 17 4 2 2" xfId="17570"/>
    <cellStyle name="Normal 17 4 2 2 2" xfId="17571"/>
    <cellStyle name="Normal 17 4 2 2 2 2" xfId="29120"/>
    <cellStyle name="Normal 17 4 2 2 2 2 2" xfId="29121"/>
    <cellStyle name="Normal 17 4 2 2 2 2 2 2" xfId="29122"/>
    <cellStyle name="Normal 17 4 2 2 2 2 3" xfId="29123"/>
    <cellStyle name="Normal 17 4 2 2 2 3" xfId="29124"/>
    <cellStyle name="Normal 17 4 2 2 2 3 2" xfId="29125"/>
    <cellStyle name="Normal 17 4 2 2 2 4" xfId="29126"/>
    <cellStyle name="Normal 17 4 2 2 3" xfId="29127"/>
    <cellStyle name="Normal 17 4 2 2 3 2" xfId="29128"/>
    <cellStyle name="Normal 17 4 2 2 3 2 2" xfId="29129"/>
    <cellStyle name="Normal 17 4 2 2 3 3" xfId="29130"/>
    <cellStyle name="Normal 17 4 2 2 4" xfId="29131"/>
    <cellStyle name="Normal 17 4 2 2 4 2" xfId="29132"/>
    <cellStyle name="Normal 17 4 2 2 5" xfId="29133"/>
    <cellStyle name="Normal 17 4 2 3" xfId="17572"/>
    <cellStyle name="Normal 17 4 2 3 2" xfId="29134"/>
    <cellStyle name="Normal 17 4 2 3 2 2" xfId="29135"/>
    <cellStyle name="Normal 17 4 2 3 2 2 2" xfId="29136"/>
    <cellStyle name="Normal 17 4 2 3 2 3" xfId="29137"/>
    <cellStyle name="Normal 17 4 2 3 3" xfId="29138"/>
    <cellStyle name="Normal 17 4 2 3 3 2" xfId="29139"/>
    <cellStyle name="Normal 17 4 2 3 4" xfId="29140"/>
    <cellStyle name="Normal 17 4 2 4" xfId="29141"/>
    <cellStyle name="Normal 17 4 2 4 2" xfId="29142"/>
    <cellStyle name="Normal 17 4 2 4 2 2" xfId="29143"/>
    <cellStyle name="Normal 17 4 2 4 3" xfId="29144"/>
    <cellStyle name="Normal 17 4 2 5" xfId="29145"/>
    <cellStyle name="Normal 17 4 2 5 2" xfId="29146"/>
    <cellStyle name="Normal 17 4 2 6" xfId="29147"/>
    <cellStyle name="Normal 17 4 3" xfId="17573"/>
    <cellStyle name="Normal 17 4 3 2" xfId="17574"/>
    <cellStyle name="Normal 17 4 3 2 2" xfId="29148"/>
    <cellStyle name="Normal 17 4 3 2 2 2" xfId="29149"/>
    <cellStyle name="Normal 17 4 3 2 2 2 2" xfId="29150"/>
    <cellStyle name="Normal 17 4 3 2 2 3" xfId="29151"/>
    <cellStyle name="Normal 17 4 3 2 3" xfId="29152"/>
    <cellStyle name="Normal 17 4 3 2 3 2" xfId="29153"/>
    <cellStyle name="Normal 17 4 3 2 4" xfId="29154"/>
    <cellStyle name="Normal 17 4 3 3" xfId="29155"/>
    <cellStyle name="Normal 17 4 3 3 2" xfId="29156"/>
    <cellStyle name="Normal 17 4 3 3 2 2" xfId="29157"/>
    <cellStyle name="Normal 17 4 3 3 3" xfId="29158"/>
    <cellStyle name="Normal 17 4 3 4" xfId="29159"/>
    <cellStyle name="Normal 17 4 3 4 2" xfId="29160"/>
    <cellStyle name="Normal 17 4 3 5" xfId="29161"/>
    <cellStyle name="Normal 17 4 4" xfId="17575"/>
    <cellStyle name="Normal 17 4 4 2" xfId="29162"/>
    <cellStyle name="Normal 17 4 4 2 2" xfId="29163"/>
    <cellStyle name="Normal 17 4 4 2 2 2" xfId="29164"/>
    <cellStyle name="Normal 17 4 4 2 3" xfId="29165"/>
    <cellStyle name="Normal 17 4 4 3" xfId="29166"/>
    <cellStyle name="Normal 17 4 4 3 2" xfId="29167"/>
    <cellStyle name="Normal 17 4 4 4" xfId="29168"/>
    <cellStyle name="Normal 17 4 5" xfId="29169"/>
    <cellStyle name="Normal 17 4 5 2" xfId="29170"/>
    <cellStyle name="Normal 17 4 5 2 2" xfId="29171"/>
    <cellStyle name="Normal 17 4 5 3" xfId="29172"/>
    <cellStyle name="Normal 17 4 6" xfId="29173"/>
    <cellStyle name="Normal 17 4 6 2" xfId="29174"/>
    <cellStyle name="Normal 17 4 7" xfId="29175"/>
    <cellStyle name="Normal 17 5" xfId="9692"/>
    <cellStyle name="Normal 17 5 2" xfId="9693"/>
    <cellStyle name="Normal 17 5 2 2" xfId="17576"/>
    <cellStyle name="Normal 17 5 2 2 2" xfId="29176"/>
    <cellStyle name="Normal 17 5 2 2 2 2" xfId="29177"/>
    <cellStyle name="Normal 17 5 2 2 2 2 2" xfId="29178"/>
    <cellStyle name="Normal 17 5 2 2 2 3" xfId="29179"/>
    <cellStyle name="Normal 17 5 2 2 3" xfId="29180"/>
    <cellStyle name="Normal 17 5 2 2 3 2" xfId="29181"/>
    <cellStyle name="Normal 17 5 2 2 4" xfId="29182"/>
    <cellStyle name="Normal 17 5 2 3" xfId="29183"/>
    <cellStyle name="Normal 17 5 2 3 2" xfId="29184"/>
    <cellStyle name="Normal 17 5 2 3 2 2" xfId="29185"/>
    <cellStyle name="Normal 17 5 2 3 3" xfId="29186"/>
    <cellStyle name="Normal 17 5 2 4" xfId="29187"/>
    <cellStyle name="Normal 17 5 2 4 2" xfId="29188"/>
    <cellStyle name="Normal 17 5 2 5" xfId="29189"/>
    <cellStyle name="Normal 17 5 3" xfId="17577"/>
    <cellStyle name="Normal 17 5 3 2" xfId="29190"/>
    <cellStyle name="Normal 17 5 3 2 2" xfId="29191"/>
    <cellStyle name="Normal 17 5 3 2 2 2" xfId="29192"/>
    <cellStyle name="Normal 17 5 3 2 3" xfId="29193"/>
    <cellStyle name="Normal 17 5 3 3" xfId="29194"/>
    <cellStyle name="Normal 17 5 3 3 2" xfId="29195"/>
    <cellStyle name="Normal 17 5 3 4" xfId="29196"/>
    <cellStyle name="Normal 17 5 4" xfId="29197"/>
    <cellStyle name="Normal 17 5 4 2" xfId="29198"/>
    <cellStyle name="Normal 17 5 4 2 2" xfId="29199"/>
    <cellStyle name="Normal 17 5 4 3" xfId="29200"/>
    <cellStyle name="Normal 17 5 5" xfId="29201"/>
    <cellStyle name="Normal 17 5 5 2" xfId="29202"/>
    <cellStyle name="Normal 17 5 6" xfId="29203"/>
    <cellStyle name="Normal 17 6" xfId="9694"/>
    <cellStyle name="Normal 17 6 2" xfId="17578"/>
    <cellStyle name="Normal 17 6 2 2" xfId="29204"/>
    <cellStyle name="Normal 17 6 2 2 2" xfId="29205"/>
    <cellStyle name="Normal 17 6 2 2 2 2" xfId="29206"/>
    <cellStyle name="Normal 17 6 2 2 3" xfId="29207"/>
    <cellStyle name="Normal 17 6 2 3" xfId="29208"/>
    <cellStyle name="Normal 17 6 2 3 2" xfId="29209"/>
    <cellStyle name="Normal 17 6 2 4" xfId="29210"/>
    <cellStyle name="Normal 17 6 3" xfId="29211"/>
    <cellStyle name="Normal 17 6 3 2" xfId="29212"/>
    <cellStyle name="Normal 17 6 3 2 2" xfId="29213"/>
    <cellStyle name="Normal 17 6 3 3" xfId="29214"/>
    <cellStyle name="Normal 17 6 4" xfId="29215"/>
    <cellStyle name="Normal 17 6 4 2" xfId="29216"/>
    <cellStyle name="Normal 17 6 5" xfId="29217"/>
    <cellStyle name="Normal 17 7" xfId="17579"/>
    <cellStyle name="Normal 17 7 2" xfId="29218"/>
    <cellStyle name="Normal 17 7 2 2" xfId="29219"/>
    <cellStyle name="Normal 17 7 2 2 2" xfId="29220"/>
    <cellStyle name="Normal 17 7 2 3" xfId="29221"/>
    <cellStyle name="Normal 17 7 3" xfId="29222"/>
    <cellStyle name="Normal 17 7 3 2" xfId="29223"/>
    <cellStyle name="Normal 17 7 4" xfId="29224"/>
    <cellStyle name="Normal 17 8" xfId="29225"/>
    <cellStyle name="Normal 17 8 2" xfId="29226"/>
    <cellStyle name="Normal 17 8 2 2" xfId="29227"/>
    <cellStyle name="Normal 17 8 3" xfId="29228"/>
    <cellStyle name="Normal 17 9" xfId="29229"/>
    <cellStyle name="Normal 17 9 2" xfId="29230"/>
    <cellStyle name="Normal 170" xfId="17580"/>
    <cellStyle name="Normal 170 2" xfId="29231"/>
    <cellStyle name="Normal 170 2 2" xfId="29232"/>
    <cellStyle name="Normal 170 2 2 2" xfId="29233"/>
    <cellStyle name="Normal 170 2 3" xfId="29234"/>
    <cellStyle name="Normal 170 3" xfId="29235"/>
    <cellStyle name="Normal 170 3 2" xfId="29236"/>
    <cellStyle name="Normal 170 4" xfId="29237"/>
    <cellStyle name="Normal 171" xfId="17581"/>
    <cellStyle name="Normal 171 2" xfId="29238"/>
    <cellStyle name="Normal 171 2 2" xfId="29239"/>
    <cellStyle name="Normal 171 2 2 2" xfId="29240"/>
    <cellStyle name="Normal 171 2 3" xfId="29241"/>
    <cellStyle name="Normal 171 3" xfId="29242"/>
    <cellStyle name="Normal 171 3 2" xfId="29243"/>
    <cellStyle name="Normal 171 4" xfId="29244"/>
    <cellStyle name="Normal 172" xfId="17582"/>
    <cellStyle name="Normal 172 2" xfId="29245"/>
    <cellStyle name="Normal 172 2 2" xfId="29246"/>
    <cellStyle name="Normal 172 2 2 2" xfId="29247"/>
    <cellStyle name="Normal 172 2 3" xfId="29248"/>
    <cellStyle name="Normal 172 3" xfId="29249"/>
    <cellStyle name="Normal 172 3 2" xfId="29250"/>
    <cellStyle name="Normal 172 4" xfId="29251"/>
    <cellStyle name="Normal 173" xfId="17583"/>
    <cellStyle name="Normal 173 2" xfId="29252"/>
    <cellStyle name="Normal 173 2 2" xfId="29253"/>
    <cellStyle name="Normal 173 2 2 2" xfId="29254"/>
    <cellStyle name="Normal 173 2 3" xfId="29255"/>
    <cellStyle name="Normal 173 3" xfId="29256"/>
    <cellStyle name="Normal 173 3 2" xfId="29257"/>
    <cellStyle name="Normal 173 4" xfId="29258"/>
    <cellStyle name="Normal 174" xfId="17584"/>
    <cellStyle name="Normal 175" xfId="17585"/>
    <cellStyle name="Normal 176" xfId="17586"/>
    <cellStyle name="Normal 176 2" xfId="29259"/>
    <cellStyle name="Normal 176 2 2" xfId="29260"/>
    <cellStyle name="Normal 176 2 2 2" xfId="29261"/>
    <cellStyle name="Normal 176 2 3" xfId="29262"/>
    <cellStyle name="Normal 176 3" xfId="29263"/>
    <cellStyle name="Normal 176 3 2" xfId="29264"/>
    <cellStyle name="Normal 176 4" xfId="29265"/>
    <cellStyle name="Normal 177" xfId="17587"/>
    <cellStyle name="Normal 177 2" xfId="29266"/>
    <cellStyle name="Normal 178" xfId="17588"/>
    <cellStyle name="Normal 178 2" xfId="29267"/>
    <cellStyle name="Normal 178 2 2" xfId="29268"/>
    <cellStyle name="Normal 178 2 2 2" xfId="29269"/>
    <cellStyle name="Normal 178 2 3" xfId="29270"/>
    <cellStyle name="Normal 178 3" xfId="29271"/>
    <cellStyle name="Normal 178 3 2" xfId="29272"/>
    <cellStyle name="Normal 178 4" xfId="29273"/>
    <cellStyle name="Normal 179" xfId="17589"/>
    <cellStyle name="Normal 179 2" xfId="29274"/>
    <cellStyle name="Normal 18" xfId="9695"/>
    <cellStyle name="Normal 18 10" xfId="29275"/>
    <cellStyle name="Normal 18 11" xfId="29276"/>
    <cellStyle name="Normal 18 2" xfId="9696"/>
    <cellStyle name="Normal 18 2 2" xfId="17590"/>
    <cellStyle name="Normal 18 2 2 2" xfId="17591"/>
    <cellStyle name="Normal 18 2 2 2 2" xfId="17592"/>
    <cellStyle name="Normal 18 2 2 2 2 2" xfId="17593"/>
    <cellStyle name="Normal 18 2 2 2 2 2 2" xfId="29277"/>
    <cellStyle name="Normal 18 2 2 2 2 2 2 2" xfId="29278"/>
    <cellStyle name="Normal 18 2 2 2 2 2 2 2 2" xfId="29279"/>
    <cellStyle name="Normal 18 2 2 2 2 2 2 3" xfId="29280"/>
    <cellStyle name="Normal 18 2 2 2 2 2 3" xfId="29281"/>
    <cellStyle name="Normal 18 2 2 2 2 2 3 2" xfId="29282"/>
    <cellStyle name="Normal 18 2 2 2 2 2 4" xfId="29283"/>
    <cellStyle name="Normal 18 2 2 2 2 3" xfId="29284"/>
    <cellStyle name="Normal 18 2 2 2 2 3 2" xfId="29285"/>
    <cellStyle name="Normal 18 2 2 2 2 3 2 2" xfId="29286"/>
    <cellStyle name="Normal 18 2 2 2 2 3 3" xfId="29287"/>
    <cellStyle name="Normal 18 2 2 2 2 4" xfId="29288"/>
    <cellStyle name="Normal 18 2 2 2 2 4 2" xfId="29289"/>
    <cellStyle name="Normal 18 2 2 2 2 5" xfId="29290"/>
    <cellStyle name="Normal 18 2 2 2 3" xfId="17594"/>
    <cellStyle name="Normal 18 2 2 2 3 2" xfId="29291"/>
    <cellStyle name="Normal 18 2 2 2 3 2 2" xfId="29292"/>
    <cellStyle name="Normal 18 2 2 2 3 2 2 2" xfId="29293"/>
    <cellStyle name="Normal 18 2 2 2 3 2 3" xfId="29294"/>
    <cellStyle name="Normal 18 2 2 2 3 3" xfId="29295"/>
    <cellStyle name="Normal 18 2 2 2 3 3 2" xfId="29296"/>
    <cellStyle name="Normal 18 2 2 2 3 4" xfId="29297"/>
    <cellStyle name="Normal 18 2 2 2 4" xfId="29298"/>
    <cellStyle name="Normal 18 2 2 2 4 2" xfId="29299"/>
    <cellStyle name="Normal 18 2 2 2 4 2 2" xfId="29300"/>
    <cellStyle name="Normal 18 2 2 2 4 3" xfId="29301"/>
    <cellStyle name="Normal 18 2 2 2 5" xfId="29302"/>
    <cellStyle name="Normal 18 2 2 2 5 2" xfId="29303"/>
    <cellStyle name="Normal 18 2 2 2 6" xfId="29304"/>
    <cellStyle name="Normal 18 2 2 3" xfId="17595"/>
    <cellStyle name="Normal 18 2 2 3 2" xfId="17596"/>
    <cellStyle name="Normal 18 2 2 3 2 2" xfId="29305"/>
    <cellStyle name="Normal 18 2 2 3 2 2 2" xfId="29306"/>
    <cellStyle name="Normal 18 2 2 3 2 2 2 2" xfId="29307"/>
    <cellStyle name="Normal 18 2 2 3 2 2 3" xfId="29308"/>
    <cellStyle name="Normal 18 2 2 3 2 3" xfId="29309"/>
    <cellStyle name="Normal 18 2 2 3 2 3 2" xfId="29310"/>
    <cellStyle name="Normal 18 2 2 3 2 4" xfId="29311"/>
    <cellStyle name="Normal 18 2 2 3 3" xfId="29312"/>
    <cellStyle name="Normal 18 2 2 3 3 2" xfId="29313"/>
    <cellStyle name="Normal 18 2 2 3 3 2 2" xfId="29314"/>
    <cellStyle name="Normal 18 2 2 3 3 3" xfId="29315"/>
    <cellStyle name="Normal 18 2 2 3 4" xfId="29316"/>
    <cellStyle name="Normal 18 2 2 3 4 2" xfId="29317"/>
    <cellStyle name="Normal 18 2 2 3 5" xfId="29318"/>
    <cellStyle name="Normal 18 2 2 4" xfId="17597"/>
    <cellStyle name="Normal 18 2 2 4 2" xfId="29319"/>
    <cellStyle name="Normal 18 2 2 4 2 2" xfId="29320"/>
    <cellStyle name="Normal 18 2 2 4 2 2 2" xfId="29321"/>
    <cellStyle name="Normal 18 2 2 4 2 3" xfId="29322"/>
    <cellStyle name="Normal 18 2 2 4 3" xfId="29323"/>
    <cellStyle name="Normal 18 2 2 4 3 2" xfId="29324"/>
    <cellStyle name="Normal 18 2 2 4 4" xfId="29325"/>
    <cellStyle name="Normal 18 2 2 5" xfId="29326"/>
    <cellStyle name="Normal 18 2 2 5 2" xfId="29327"/>
    <cellStyle name="Normal 18 2 2 5 2 2" xfId="29328"/>
    <cellStyle name="Normal 18 2 2 5 3" xfId="29329"/>
    <cellStyle name="Normal 18 2 2 6" xfId="29330"/>
    <cellStyle name="Normal 18 2 2 6 2" xfId="29331"/>
    <cellStyle name="Normal 18 2 2 7" xfId="29332"/>
    <cellStyle name="Normal 18 2 3" xfId="17598"/>
    <cellStyle name="Normal 18 2 3 2" xfId="17599"/>
    <cellStyle name="Normal 18 2 3 2 2" xfId="17600"/>
    <cellStyle name="Normal 18 2 3 2 2 2" xfId="29333"/>
    <cellStyle name="Normal 18 2 3 2 2 2 2" xfId="29334"/>
    <cellStyle name="Normal 18 2 3 2 2 2 2 2" xfId="29335"/>
    <cellStyle name="Normal 18 2 3 2 2 2 3" xfId="29336"/>
    <cellStyle name="Normal 18 2 3 2 2 3" xfId="29337"/>
    <cellStyle name="Normal 18 2 3 2 2 3 2" xfId="29338"/>
    <cellStyle name="Normal 18 2 3 2 2 4" xfId="29339"/>
    <cellStyle name="Normal 18 2 3 2 3" xfId="29340"/>
    <cellStyle name="Normal 18 2 3 2 3 2" xfId="29341"/>
    <cellStyle name="Normal 18 2 3 2 3 2 2" xfId="29342"/>
    <cellStyle name="Normal 18 2 3 2 3 3" xfId="29343"/>
    <cellStyle name="Normal 18 2 3 2 4" xfId="29344"/>
    <cellStyle name="Normal 18 2 3 2 4 2" xfId="29345"/>
    <cellStyle name="Normal 18 2 3 2 5" xfId="29346"/>
    <cellStyle name="Normal 18 2 3 3" xfId="17601"/>
    <cellStyle name="Normal 18 2 3 3 2" xfId="29347"/>
    <cellStyle name="Normal 18 2 3 3 2 2" xfId="29348"/>
    <cellStyle name="Normal 18 2 3 3 2 2 2" xfId="29349"/>
    <cellStyle name="Normal 18 2 3 3 2 3" xfId="29350"/>
    <cellStyle name="Normal 18 2 3 3 3" xfId="29351"/>
    <cellStyle name="Normal 18 2 3 3 3 2" xfId="29352"/>
    <cellStyle name="Normal 18 2 3 3 4" xfId="29353"/>
    <cellStyle name="Normal 18 2 3 4" xfId="29354"/>
    <cellStyle name="Normal 18 2 3 4 2" xfId="29355"/>
    <cellStyle name="Normal 18 2 3 4 2 2" xfId="29356"/>
    <cellStyle name="Normal 18 2 3 4 3" xfId="29357"/>
    <cellStyle name="Normal 18 2 3 5" xfId="29358"/>
    <cellStyle name="Normal 18 2 3 5 2" xfId="29359"/>
    <cellStyle name="Normal 18 2 3 6" xfId="29360"/>
    <cellStyle name="Normal 18 2 4" xfId="17602"/>
    <cellStyle name="Normal 18 2 4 2" xfId="17603"/>
    <cellStyle name="Normal 18 2 4 2 2" xfId="29361"/>
    <cellStyle name="Normal 18 2 4 2 2 2" xfId="29362"/>
    <cellStyle name="Normal 18 2 4 2 2 2 2" xfId="29363"/>
    <cellStyle name="Normal 18 2 4 2 2 3" xfId="29364"/>
    <cellStyle name="Normal 18 2 4 2 3" xfId="29365"/>
    <cellStyle name="Normal 18 2 4 2 3 2" xfId="29366"/>
    <cellStyle name="Normal 18 2 4 2 4" xfId="29367"/>
    <cellStyle name="Normal 18 2 4 3" xfId="29368"/>
    <cellStyle name="Normal 18 2 4 3 2" xfId="29369"/>
    <cellStyle name="Normal 18 2 4 3 2 2" xfId="29370"/>
    <cellStyle name="Normal 18 2 4 3 3" xfId="29371"/>
    <cellStyle name="Normal 18 2 4 4" xfId="29372"/>
    <cellStyle name="Normal 18 2 4 4 2" xfId="29373"/>
    <cellStyle name="Normal 18 2 4 5" xfId="29374"/>
    <cellStyle name="Normal 18 2 5" xfId="17604"/>
    <cellStyle name="Normal 18 2 5 2" xfId="29375"/>
    <cellStyle name="Normal 18 2 5 2 2" xfId="29376"/>
    <cellStyle name="Normal 18 2 5 2 2 2" xfId="29377"/>
    <cellStyle name="Normal 18 2 5 2 3" xfId="29378"/>
    <cellStyle name="Normal 18 2 5 3" xfId="29379"/>
    <cellStyle name="Normal 18 2 5 3 2" xfId="29380"/>
    <cellStyle name="Normal 18 2 5 4" xfId="29381"/>
    <cellStyle name="Normal 18 2 6" xfId="29382"/>
    <cellStyle name="Normal 18 2 6 2" xfId="29383"/>
    <cellStyle name="Normal 18 2 6 2 2" xfId="29384"/>
    <cellStyle name="Normal 18 2 6 3" xfId="29385"/>
    <cellStyle name="Normal 18 2 7" xfId="29386"/>
    <cellStyle name="Normal 18 2 7 2" xfId="29387"/>
    <cellStyle name="Normal 18 2 8" xfId="29388"/>
    <cellStyle name="Normal 18 2 9" xfId="29389"/>
    <cellStyle name="Normal 18 3" xfId="9697"/>
    <cellStyle name="Normal 18 3 2" xfId="17605"/>
    <cellStyle name="Normal 18 3 2 2" xfId="17606"/>
    <cellStyle name="Normal 18 3 2 2 2" xfId="17607"/>
    <cellStyle name="Normal 18 3 2 2 2 2" xfId="17608"/>
    <cellStyle name="Normal 18 3 2 2 2 2 2" xfId="29390"/>
    <cellStyle name="Normal 18 3 2 2 2 2 2 2" xfId="29391"/>
    <cellStyle name="Normal 18 3 2 2 2 2 2 2 2" xfId="29392"/>
    <cellStyle name="Normal 18 3 2 2 2 2 2 3" xfId="29393"/>
    <cellStyle name="Normal 18 3 2 2 2 2 3" xfId="29394"/>
    <cellStyle name="Normal 18 3 2 2 2 2 3 2" xfId="29395"/>
    <cellStyle name="Normal 18 3 2 2 2 2 4" xfId="29396"/>
    <cellStyle name="Normal 18 3 2 2 2 3" xfId="29397"/>
    <cellStyle name="Normal 18 3 2 2 2 3 2" xfId="29398"/>
    <cellStyle name="Normal 18 3 2 2 2 3 2 2" xfId="29399"/>
    <cellStyle name="Normal 18 3 2 2 2 3 3" xfId="29400"/>
    <cellStyle name="Normal 18 3 2 2 2 4" xfId="29401"/>
    <cellStyle name="Normal 18 3 2 2 2 4 2" xfId="29402"/>
    <cellStyle name="Normal 18 3 2 2 2 5" xfId="29403"/>
    <cellStyle name="Normal 18 3 2 2 3" xfId="17609"/>
    <cellStyle name="Normal 18 3 2 2 3 2" xfId="29404"/>
    <cellStyle name="Normal 18 3 2 2 3 2 2" xfId="29405"/>
    <cellStyle name="Normal 18 3 2 2 3 2 2 2" xfId="29406"/>
    <cellStyle name="Normal 18 3 2 2 3 2 3" xfId="29407"/>
    <cellStyle name="Normal 18 3 2 2 3 3" xfId="29408"/>
    <cellStyle name="Normal 18 3 2 2 3 3 2" xfId="29409"/>
    <cellStyle name="Normal 18 3 2 2 3 4" xfId="29410"/>
    <cellStyle name="Normal 18 3 2 2 4" xfId="29411"/>
    <cellStyle name="Normal 18 3 2 2 4 2" xfId="29412"/>
    <cellStyle name="Normal 18 3 2 2 4 2 2" xfId="29413"/>
    <cellStyle name="Normal 18 3 2 2 4 3" xfId="29414"/>
    <cellStyle name="Normal 18 3 2 2 5" xfId="29415"/>
    <cellStyle name="Normal 18 3 2 2 5 2" xfId="29416"/>
    <cellStyle name="Normal 18 3 2 2 6" xfId="29417"/>
    <cellStyle name="Normal 18 3 2 3" xfId="17610"/>
    <cellStyle name="Normal 18 3 2 3 2" xfId="17611"/>
    <cellStyle name="Normal 18 3 2 3 2 2" xfId="29418"/>
    <cellStyle name="Normal 18 3 2 3 2 2 2" xfId="29419"/>
    <cellStyle name="Normal 18 3 2 3 2 2 2 2" xfId="29420"/>
    <cellStyle name="Normal 18 3 2 3 2 2 3" xfId="29421"/>
    <cellStyle name="Normal 18 3 2 3 2 3" xfId="29422"/>
    <cellStyle name="Normal 18 3 2 3 2 3 2" xfId="29423"/>
    <cellStyle name="Normal 18 3 2 3 2 4" xfId="29424"/>
    <cellStyle name="Normal 18 3 2 3 3" xfId="29425"/>
    <cellStyle name="Normal 18 3 2 3 3 2" xfId="29426"/>
    <cellStyle name="Normal 18 3 2 3 3 2 2" xfId="29427"/>
    <cellStyle name="Normal 18 3 2 3 3 3" xfId="29428"/>
    <cellStyle name="Normal 18 3 2 3 4" xfId="29429"/>
    <cellStyle name="Normal 18 3 2 3 4 2" xfId="29430"/>
    <cellStyle name="Normal 18 3 2 3 5" xfId="29431"/>
    <cellStyle name="Normal 18 3 2 4" xfId="17612"/>
    <cellStyle name="Normal 18 3 2 4 2" xfId="29432"/>
    <cellStyle name="Normal 18 3 2 4 2 2" xfId="29433"/>
    <cellStyle name="Normal 18 3 2 4 2 2 2" xfId="29434"/>
    <cellStyle name="Normal 18 3 2 4 2 3" xfId="29435"/>
    <cellStyle name="Normal 18 3 2 4 3" xfId="29436"/>
    <cellStyle name="Normal 18 3 2 4 3 2" xfId="29437"/>
    <cellStyle name="Normal 18 3 2 4 4" xfId="29438"/>
    <cellStyle name="Normal 18 3 2 5" xfId="29439"/>
    <cellStyle name="Normal 18 3 2 5 2" xfId="29440"/>
    <cellStyle name="Normal 18 3 2 5 2 2" xfId="29441"/>
    <cellStyle name="Normal 18 3 2 5 3" xfId="29442"/>
    <cellStyle name="Normal 18 3 2 6" xfId="29443"/>
    <cellStyle name="Normal 18 3 2 6 2" xfId="29444"/>
    <cellStyle name="Normal 18 3 2 7" xfId="29445"/>
    <cellStyle name="Normal 18 3 3" xfId="17613"/>
    <cellStyle name="Normal 18 3 3 2" xfId="17614"/>
    <cellStyle name="Normal 18 3 3 2 2" xfId="17615"/>
    <cellStyle name="Normal 18 3 3 2 2 2" xfId="29446"/>
    <cellStyle name="Normal 18 3 3 2 2 2 2" xfId="29447"/>
    <cellStyle name="Normal 18 3 3 2 2 2 2 2" xfId="29448"/>
    <cellStyle name="Normal 18 3 3 2 2 2 3" xfId="29449"/>
    <cellStyle name="Normal 18 3 3 2 2 3" xfId="29450"/>
    <cellStyle name="Normal 18 3 3 2 2 3 2" xfId="29451"/>
    <cellStyle name="Normal 18 3 3 2 2 4" xfId="29452"/>
    <cellStyle name="Normal 18 3 3 2 3" xfId="29453"/>
    <cellStyle name="Normal 18 3 3 2 3 2" xfId="29454"/>
    <cellStyle name="Normal 18 3 3 2 3 2 2" xfId="29455"/>
    <cellStyle name="Normal 18 3 3 2 3 3" xfId="29456"/>
    <cellStyle name="Normal 18 3 3 2 4" xfId="29457"/>
    <cellStyle name="Normal 18 3 3 2 4 2" xfId="29458"/>
    <cellStyle name="Normal 18 3 3 2 5" xfId="29459"/>
    <cellStyle name="Normal 18 3 3 3" xfId="17616"/>
    <cellStyle name="Normal 18 3 3 3 2" xfId="29460"/>
    <cellStyle name="Normal 18 3 3 3 2 2" xfId="29461"/>
    <cellStyle name="Normal 18 3 3 3 2 2 2" xfId="29462"/>
    <cellStyle name="Normal 18 3 3 3 2 3" xfId="29463"/>
    <cellStyle name="Normal 18 3 3 3 3" xfId="29464"/>
    <cellStyle name="Normal 18 3 3 3 3 2" xfId="29465"/>
    <cellStyle name="Normal 18 3 3 3 4" xfId="29466"/>
    <cellStyle name="Normal 18 3 3 4" xfId="29467"/>
    <cellStyle name="Normal 18 3 3 4 2" xfId="29468"/>
    <cellStyle name="Normal 18 3 3 4 2 2" xfId="29469"/>
    <cellStyle name="Normal 18 3 3 4 3" xfId="29470"/>
    <cellStyle name="Normal 18 3 3 5" xfId="29471"/>
    <cellStyle name="Normal 18 3 3 5 2" xfId="29472"/>
    <cellStyle name="Normal 18 3 3 6" xfId="29473"/>
    <cellStyle name="Normal 18 3 4" xfId="17617"/>
    <cellStyle name="Normal 18 3 4 2" xfId="17618"/>
    <cellStyle name="Normal 18 3 4 2 2" xfId="29474"/>
    <cellStyle name="Normal 18 3 4 2 2 2" xfId="29475"/>
    <cellStyle name="Normal 18 3 4 2 2 2 2" xfId="29476"/>
    <cellStyle name="Normal 18 3 4 2 2 3" xfId="29477"/>
    <cellStyle name="Normal 18 3 4 2 3" xfId="29478"/>
    <cellStyle name="Normal 18 3 4 2 3 2" xfId="29479"/>
    <cellStyle name="Normal 18 3 4 2 4" xfId="29480"/>
    <cellStyle name="Normal 18 3 4 3" xfId="29481"/>
    <cellStyle name="Normal 18 3 4 3 2" xfId="29482"/>
    <cellStyle name="Normal 18 3 4 3 2 2" xfId="29483"/>
    <cellStyle name="Normal 18 3 4 3 3" xfId="29484"/>
    <cellStyle name="Normal 18 3 4 4" xfId="29485"/>
    <cellStyle name="Normal 18 3 4 4 2" xfId="29486"/>
    <cellStyle name="Normal 18 3 4 5" xfId="29487"/>
    <cellStyle name="Normal 18 3 5" xfId="17619"/>
    <cellStyle name="Normal 18 3 5 2" xfId="29488"/>
    <cellStyle name="Normal 18 3 5 2 2" xfId="29489"/>
    <cellStyle name="Normal 18 3 5 2 2 2" xfId="29490"/>
    <cellStyle name="Normal 18 3 5 2 3" xfId="29491"/>
    <cellStyle name="Normal 18 3 5 3" xfId="29492"/>
    <cellStyle name="Normal 18 3 5 3 2" xfId="29493"/>
    <cellStyle name="Normal 18 3 5 4" xfId="29494"/>
    <cellStyle name="Normal 18 3 6" xfId="29495"/>
    <cellStyle name="Normal 18 3 6 2" xfId="29496"/>
    <cellStyle name="Normal 18 3 6 2 2" xfId="29497"/>
    <cellStyle name="Normal 18 3 6 3" xfId="29498"/>
    <cellStyle name="Normal 18 3 7" xfId="29499"/>
    <cellStyle name="Normal 18 3 7 2" xfId="29500"/>
    <cellStyle name="Normal 18 3 8" xfId="29501"/>
    <cellStyle name="Normal 18 4" xfId="17620"/>
    <cellStyle name="Normal 18 4 2" xfId="17621"/>
    <cellStyle name="Normal 18 4 2 2" xfId="17622"/>
    <cellStyle name="Normal 18 4 2 2 2" xfId="17623"/>
    <cellStyle name="Normal 18 4 2 2 2 2" xfId="29502"/>
    <cellStyle name="Normal 18 4 2 2 2 2 2" xfId="29503"/>
    <cellStyle name="Normal 18 4 2 2 2 2 2 2" xfId="29504"/>
    <cellStyle name="Normal 18 4 2 2 2 2 3" xfId="29505"/>
    <cellStyle name="Normal 18 4 2 2 2 3" xfId="29506"/>
    <cellStyle name="Normal 18 4 2 2 2 3 2" xfId="29507"/>
    <cellStyle name="Normal 18 4 2 2 2 4" xfId="29508"/>
    <cellStyle name="Normal 18 4 2 2 3" xfId="29509"/>
    <cellStyle name="Normal 18 4 2 2 3 2" xfId="29510"/>
    <cellStyle name="Normal 18 4 2 2 3 2 2" xfId="29511"/>
    <cellStyle name="Normal 18 4 2 2 3 3" xfId="29512"/>
    <cellStyle name="Normal 18 4 2 2 4" xfId="29513"/>
    <cellStyle name="Normal 18 4 2 2 4 2" xfId="29514"/>
    <cellStyle name="Normal 18 4 2 2 5" xfId="29515"/>
    <cellStyle name="Normal 18 4 2 3" xfId="17624"/>
    <cellStyle name="Normal 18 4 2 3 2" xfId="29516"/>
    <cellStyle name="Normal 18 4 2 3 2 2" xfId="29517"/>
    <cellStyle name="Normal 18 4 2 3 2 2 2" xfId="29518"/>
    <cellStyle name="Normal 18 4 2 3 2 3" xfId="29519"/>
    <cellStyle name="Normal 18 4 2 3 3" xfId="29520"/>
    <cellStyle name="Normal 18 4 2 3 3 2" xfId="29521"/>
    <cellStyle name="Normal 18 4 2 3 4" xfId="29522"/>
    <cellStyle name="Normal 18 4 2 4" xfId="29523"/>
    <cellStyle name="Normal 18 4 2 4 2" xfId="29524"/>
    <cellStyle name="Normal 18 4 2 4 2 2" xfId="29525"/>
    <cellStyle name="Normal 18 4 2 4 3" xfId="29526"/>
    <cellStyle name="Normal 18 4 2 5" xfId="29527"/>
    <cellStyle name="Normal 18 4 2 5 2" xfId="29528"/>
    <cellStyle name="Normal 18 4 2 6" xfId="29529"/>
    <cellStyle name="Normal 18 4 3" xfId="17625"/>
    <cellStyle name="Normal 18 4 3 2" xfId="17626"/>
    <cellStyle name="Normal 18 4 3 2 2" xfId="29530"/>
    <cellStyle name="Normal 18 4 3 2 2 2" xfId="29531"/>
    <cellStyle name="Normal 18 4 3 2 2 2 2" xfId="29532"/>
    <cellStyle name="Normal 18 4 3 2 2 3" xfId="29533"/>
    <cellStyle name="Normal 18 4 3 2 3" xfId="29534"/>
    <cellStyle name="Normal 18 4 3 2 3 2" xfId="29535"/>
    <cellStyle name="Normal 18 4 3 2 4" xfId="29536"/>
    <cellStyle name="Normal 18 4 3 3" xfId="29537"/>
    <cellStyle name="Normal 18 4 3 3 2" xfId="29538"/>
    <cellStyle name="Normal 18 4 3 3 2 2" xfId="29539"/>
    <cellStyle name="Normal 18 4 3 3 3" xfId="29540"/>
    <cellStyle name="Normal 18 4 3 4" xfId="29541"/>
    <cellStyle name="Normal 18 4 3 4 2" xfId="29542"/>
    <cellStyle name="Normal 18 4 3 5" xfId="29543"/>
    <cellStyle name="Normal 18 4 4" xfId="17627"/>
    <cellStyle name="Normal 18 4 4 2" xfId="29544"/>
    <cellStyle name="Normal 18 4 4 2 2" xfId="29545"/>
    <cellStyle name="Normal 18 4 4 2 2 2" xfId="29546"/>
    <cellStyle name="Normal 18 4 4 2 3" xfId="29547"/>
    <cellStyle name="Normal 18 4 4 3" xfId="29548"/>
    <cellStyle name="Normal 18 4 4 3 2" xfId="29549"/>
    <cellStyle name="Normal 18 4 4 4" xfId="29550"/>
    <cellStyle name="Normal 18 4 5" xfId="29551"/>
    <cellStyle name="Normal 18 4 5 2" xfId="29552"/>
    <cellStyle name="Normal 18 4 5 2 2" xfId="29553"/>
    <cellStyle name="Normal 18 4 5 3" xfId="29554"/>
    <cellStyle name="Normal 18 4 6" xfId="29555"/>
    <cellStyle name="Normal 18 4 6 2" xfId="29556"/>
    <cellStyle name="Normal 18 4 7" xfId="29557"/>
    <cellStyle name="Normal 18 5" xfId="17628"/>
    <cellStyle name="Normal 18 5 2" xfId="17629"/>
    <cellStyle name="Normal 18 5 2 2" xfId="17630"/>
    <cellStyle name="Normal 18 5 2 2 2" xfId="29558"/>
    <cellStyle name="Normal 18 5 2 2 2 2" xfId="29559"/>
    <cellStyle name="Normal 18 5 2 2 2 2 2" xfId="29560"/>
    <cellStyle name="Normal 18 5 2 2 2 3" xfId="29561"/>
    <cellStyle name="Normal 18 5 2 2 3" xfId="29562"/>
    <cellStyle name="Normal 18 5 2 2 3 2" xfId="29563"/>
    <cellStyle name="Normal 18 5 2 2 4" xfId="29564"/>
    <cellStyle name="Normal 18 5 2 3" xfId="29565"/>
    <cellStyle name="Normal 18 5 2 3 2" xfId="29566"/>
    <cellStyle name="Normal 18 5 2 3 2 2" xfId="29567"/>
    <cellStyle name="Normal 18 5 2 3 3" xfId="29568"/>
    <cellStyle name="Normal 18 5 2 4" xfId="29569"/>
    <cellStyle name="Normal 18 5 2 4 2" xfId="29570"/>
    <cellStyle name="Normal 18 5 2 5" xfId="29571"/>
    <cellStyle name="Normal 18 5 3" xfId="17631"/>
    <cellStyle name="Normal 18 5 3 2" xfId="29572"/>
    <cellStyle name="Normal 18 5 3 2 2" xfId="29573"/>
    <cellStyle name="Normal 18 5 3 2 2 2" xfId="29574"/>
    <cellStyle name="Normal 18 5 3 2 3" xfId="29575"/>
    <cellStyle name="Normal 18 5 3 3" xfId="29576"/>
    <cellStyle name="Normal 18 5 3 3 2" xfId="29577"/>
    <cellStyle name="Normal 18 5 3 4" xfId="29578"/>
    <cellStyle name="Normal 18 5 4" xfId="29579"/>
    <cellStyle name="Normal 18 5 4 2" xfId="29580"/>
    <cellStyle name="Normal 18 5 4 2 2" xfId="29581"/>
    <cellStyle name="Normal 18 5 4 3" xfId="29582"/>
    <cellStyle name="Normal 18 5 5" xfId="29583"/>
    <cellStyle name="Normal 18 5 5 2" xfId="29584"/>
    <cellStyle name="Normal 18 5 6" xfId="29585"/>
    <cellStyle name="Normal 18 6" xfId="17632"/>
    <cellStyle name="Normal 18 6 2" xfId="17633"/>
    <cellStyle name="Normal 18 6 2 2" xfId="29586"/>
    <cellStyle name="Normal 18 6 2 2 2" xfId="29587"/>
    <cellStyle name="Normal 18 6 2 2 2 2" xfId="29588"/>
    <cellStyle name="Normal 18 6 2 2 3" xfId="29589"/>
    <cellStyle name="Normal 18 6 2 3" xfId="29590"/>
    <cellStyle name="Normal 18 6 2 3 2" xfId="29591"/>
    <cellStyle name="Normal 18 6 2 4" xfId="29592"/>
    <cellStyle name="Normal 18 6 3" xfId="29593"/>
    <cellStyle name="Normal 18 6 3 2" xfId="29594"/>
    <cellStyle name="Normal 18 6 3 2 2" xfId="29595"/>
    <cellStyle name="Normal 18 6 3 3" xfId="29596"/>
    <cellStyle name="Normal 18 6 4" xfId="29597"/>
    <cellStyle name="Normal 18 6 4 2" xfId="29598"/>
    <cellStyle name="Normal 18 6 5" xfId="29599"/>
    <cellStyle name="Normal 18 7" xfId="17634"/>
    <cellStyle name="Normal 18 7 2" xfId="29600"/>
    <cellStyle name="Normal 18 7 2 2" xfId="29601"/>
    <cellStyle name="Normal 18 7 2 2 2" xfId="29602"/>
    <cellStyle name="Normal 18 7 2 3" xfId="29603"/>
    <cellStyle name="Normal 18 7 3" xfId="29604"/>
    <cellStyle name="Normal 18 7 3 2" xfId="29605"/>
    <cellStyle name="Normal 18 7 4" xfId="29606"/>
    <cellStyle name="Normal 18 8" xfId="29607"/>
    <cellStyle name="Normal 18 8 2" xfId="29608"/>
    <cellStyle name="Normal 18 8 2 2" xfId="29609"/>
    <cellStyle name="Normal 18 8 3" xfId="29610"/>
    <cellStyle name="Normal 18 9" xfId="29611"/>
    <cellStyle name="Normal 18 9 2" xfId="29612"/>
    <cellStyle name="Normal 180" xfId="17635"/>
    <cellStyle name="Normal 180 2" xfId="29613"/>
    <cellStyle name="Normal 180 2 2" xfId="29614"/>
    <cellStyle name="Normal 180 2 2 2" xfId="29615"/>
    <cellStyle name="Normal 180 2 3" xfId="29616"/>
    <cellStyle name="Normal 180 3" xfId="29617"/>
    <cellStyle name="Normal 180 3 2" xfId="29618"/>
    <cellStyle name="Normal 180 4" xfId="29619"/>
    <cellStyle name="Normal 181" xfId="19092"/>
    <cellStyle name="Normal 181 2" xfId="29620"/>
    <cellStyle name="Normal 181 2 2" xfId="29621"/>
    <cellStyle name="Normal 181 2 2 2" xfId="29622"/>
    <cellStyle name="Normal 181 2 3" xfId="29623"/>
    <cellStyle name="Normal 181 3" xfId="29624"/>
    <cellStyle name="Normal 181 3 2" xfId="29625"/>
    <cellStyle name="Normal 181 4" xfId="29626"/>
    <cellStyle name="Normal 182" xfId="29627"/>
    <cellStyle name="Normal 182 2" xfId="29628"/>
    <cellStyle name="Normal 182 2 2" xfId="29629"/>
    <cellStyle name="Normal 182 2 2 2" xfId="29630"/>
    <cellStyle name="Normal 182 2 3" xfId="29631"/>
    <cellStyle name="Normal 182 3" xfId="29632"/>
    <cellStyle name="Normal 182 3 2" xfId="29633"/>
    <cellStyle name="Normal 182 4" xfId="29634"/>
    <cellStyle name="Normal 183" xfId="29635"/>
    <cellStyle name="Normal 183 2" xfId="29636"/>
    <cellStyle name="Normal 183 2 2" xfId="29637"/>
    <cellStyle name="Normal 183 2 2 2" xfId="29638"/>
    <cellStyle name="Normal 183 2 3" xfId="29639"/>
    <cellStyle name="Normal 183 3" xfId="29640"/>
    <cellStyle name="Normal 183 3 2" xfId="29641"/>
    <cellStyle name="Normal 183 4" xfId="29642"/>
    <cellStyle name="Normal 184" xfId="29643"/>
    <cellStyle name="Normal 184 2" xfId="29644"/>
    <cellStyle name="Normal 184 2 2" xfId="29645"/>
    <cellStyle name="Normal 184 2 2 2" xfId="29646"/>
    <cellStyle name="Normal 184 2 3" xfId="29647"/>
    <cellStyle name="Normal 184 3" xfId="29648"/>
    <cellStyle name="Normal 184 3 2" xfId="29649"/>
    <cellStyle name="Normal 184 4" xfId="29650"/>
    <cellStyle name="Normal 185" xfId="29651"/>
    <cellStyle name="Normal 185 2" xfId="29652"/>
    <cellStyle name="Normal 185 2 2" xfId="29653"/>
    <cellStyle name="Normal 185 2 2 2" xfId="29654"/>
    <cellStyle name="Normal 185 2 3" xfId="29655"/>
    <cellStyle name="Normal 185 3" xfId="29656"/>
    <cellStyle name="Normal 185 3 2" xfId="29657"/>
    <cellStyle name="Normal 185 4" xfId="29658"/>
    <cellStyle name="Normal 186" xfId="29659"/>
    <cellStyle name="Normal 186 2" xfId="29660"/>
    <cellStyle name="Normal 187" xfId="29661"/>
    <cellStyle name="Normal 187 2" xfId="29662"/>
    <cellStyle name="Normal 188" xfId="29663"/>
    <cellStyle name="Normal 188 2" xfId="29664"/>
    <cellStyle name="Normal 188 2 2" xfId="29665"/>
    <cellStyle name="Normal 188 2 2 2" xfId="29666"/>
    <cellStyle name="Normal 188 2 3" xfId="29667"/>
    <cellStyle name="Normal 188 3" xfId="29668"/>
    <cellStyle name="Normal 188 3 2" xfId="29669"/>
    <cellStyle name="Normal 188 4" xfId="29670"/>
    <cellStyle name="Normal 189" xfId="29671"/>
    <cellStyle name="Normal 19" xfId="9698"/>
    <cellStyle name="Normal 19 10" xfId="29672"/>
    <cellStyle name="Normal 19 10 2" xfId="29673"/>
    <cellStyle name="Normal 19 11" xfId="29674"/>
    <cellStyle name="Normal 19 12" xfId="29675"/>
    <cellStyle name="Normal 19 2" xfId="9699"/>
    <cellStyle name="Normal 19 2 10" xfId="29676"/>
    <cellStyle name="Normal 19 2 11" xfId="29677"/>
    <cellStyle name="Normal 19 2 2" xfId="17636"/>
    <cellStyle name="Normal 19 2 2 10" xfId="29678"/>
    <cellStyle name="Normal 19 2 2 2" xfId="17637"/>
    <cellStyle name="Normal 19 2 2 2 2" xfId="17638"/>
    <cellStyle name="Normal 19 2 2 2 2 2" xfId="17639"/>
    <cellStyle name="Normal 19 2 2 2 2 2 2" xfId="17640"/>
    <cellStyle name="Normal 19 2 2 2 2 2 2 2" xfId="17641"/>
    <cellStyle name="Normal 19 2 2 2 2 2 2 2 2" xfId="17642"/>
    <cellStyle name="Normal 19 2 2 2 2 2 2 2 2 2" xfId="17643"/>
    <cellStyle name="Normal 19 2 2 2 2 2 2 2 2 2 2" xfId="29679"/>
    <cellStyle name="Normal 19 2 2 2 2 2 2 2 2 2 2 2" xfId="29680"/>
    <cellStyle name="Normal 19 2 2 2 2 2 2 2 2 2 2 2 2" xfId="29681"/>
    <cellStyle name="Normal 19 2 2 2 2 2 2 2 2 2 2 3" xfId="29682"/>
    <cellStyle name="Normal 19 2 2 2 2 2 2 2 2 2 3" xfId="29683"/>
    <cellStyle name="Normal 19 2 2 2 2 2 2 2 2 2 3 2" xfId="29684"/>
    <cellStyle name="Normal 19 2 2 2 2 2 2 2 2 2 4" xfId="29685"/>
    <cellStyle name="Normal 19 2 2 2 2 2 2 2 2 3" xfId="29686"/>
    <cellStyle name="Normal 19 2 2 2 2 2 2 2 2 3 2" xfId="29687"/>
    <cellStyle name="Normal 19 2 2 2 2 2 2 2 2 3 2 2" xfId="29688"/>
    <cellStyle name="Normal 19 2 2 2 2 2 2 2 2 3 3" xfId="29689"/>
    <cellStyle name="Normal 19 2 2 2 2 2 2 2 2 4" xfId="29690"/>
    <cellStyle name="Normal 19 2 2 2 2 2 2 2 2 4 2" xfId="29691"/>
    <cellStyle name="Normal 19 2 2 2 2 2 2 2 2 5" xfId="29692"/>
    <cellStyle name="Normal 19 2 2 2 2 2 2 2 3" xfId="17644"/>
    <cellStyle name="Normal 19 2 2 2 2 2 2 2 3 2" xfId="29693"/>
    <cellStyle name="Normal 19 2 2 2 2 2 2 2 3 2 2" xfId="29694"/>
    <cellStyle name="Normal 19 2 2 2 2 2 2 2 3 2 2 2" xfId="29695"/>
    <cellStyle name="Normal 19 2 2 2 2 2 2 2 3 2 3" xfId="29696"/>
    <cellStyle name="Normal 19 2 2 2 2 2 2 2 3 3" xfId="29697"/>
    <cellStyle name="Normal 19 2 2 2 2 2 2 2 3 3 2" xfId="29698"/>
    <cellStyle name="Normal 19 2 2 2 2 2 2 2 3 4" xfId="29699"/>
    <cellStyle name="Normal 19 2 2 2 2 2 2 2 4" xfId="29700"/>
    <cellStyle name="Normal 19 2 2 2 2 2 2 2 4 2" xfId="29701"/>
    <cellStyle name="Normal 19 2 2 2 2 2 2 2 4 2 2" xfId="29702"/>
    <cellStyle name="Normal 19 2 2 2 2 2 2 2 4 3" xfId="29703"/>
    <cellStyle name="Normal 19 2 2 2 2 2 2 2 5" xfId="29704"/>
    <cellStyle name="Normal 19 2 2 2 2 2 2 2 5 2" xfId="29705"/>
    <cellStyle name="Normal 19 2 2 2 2 2 2 2 6" xfId="29706"/>
    <cellStyle name="Normal 19 2 2 2 2 2 2 3" xfId="17645"/>
    <cellStyle name="Normal 19 2 2 2 2 2 2 3 2" xfId="17646"/>
    <cellStyle name="Normal 19 2 2 2 2 2 2 3 2 2" xfId="29707"/>
    <cellStyle name="Normal 19 2 2 2 2 2 2 3 2 2 2" xfId="29708"/>
    <cellStyle name="Normal 19 2 2 2 2 2 2 3 2 2 2 2" xfId="29709"/>
    <cellStyle name="Normal 19 2 2 2 2 2 2 3 2 2 3" xfId="29710"/>
    <cellStyle name="Normal 19 2 2 2 2 2 2 3 2 3" xfId="29711"/>
    <cellStyle name="Normal 19 2 2 2 2 2 2 3 2 3 2" xfId="29712"/>
    <cellStyle name="Normal 19 2 2 2 2 2 2 3 2 4" xfId="29713"/>
    <cellStyle name="Normal 19 2 2 2 2 2 2 3 3" xfId="29714"/>
    <cellStyle name="Normal 19 2 2 2 2 2 2 3 3 2" xfId="29715"/>
    <cellStyle name="Normal 19 2 2 2 2 2 2 3 3 2 2" xfId="29716"/>
    <cellStyle name="Normal 19 2 2 2 2 2 2 3 3 3" xfId="29717"/>
    <cellStyle name="Normal 19 2 2 2 2 2 2 3 4" xfId="29718"/>
    <cellStyle name="Normal 19 2 2 2 2 2 2 3 4 2" xfId="29719"/>
    <cellStyle name="Normal 19 2 2 2 2 2 2 3 5" xfId="29720"/>
    <cellStyle name="Normal 19 2 2 2 2 2 2 4" xfId="17647"/>
    <cellStyle name="Normal 19 2 2 2 2 2 2 4 2" xfId="29721"/>
    <cellStyle name="Normal 19 2 2 2 2 2 2 4 2 2" xfId="29722"/>
    <cellStyle name="Normal 19 2 2 2 2 2 2 4 2 2 2" xfId="29723"/>
    <cellStyle name="Normal 19 2 2 2 2 2 2 4 2 3" xfId="29724"/>
    <cellStyle name="Normal 19 2 2 2 2 2 2 4 3" xfId="29725"/>
    <cellStyle name="Normal 19 2 2 2 2 2 2 4 3 2" xfId="29726"/>
    <cellStyle name="Normal 19 2 2 2 2 2 2 4 4" xfId="29727"/>
    <cellStyle name="Normal 19 2 2 2 2 2 2 5" xfId="29728"/>
    <cellStyle name="Normal 19 2 2 2 2 2 2 5 2" xfId="29729"/>
    <cellStyle name="Normal 19 2 2 2 2 2 2 5 2 2" xfId="29730"/>
    <cellStyle name="Normal 19 2 2 2 2 2 2 5 3" xfId="29731"/>
    <cellStyle name="Normal 19 2 2 2 2 2 2 6" xfId="29732"/>
    <cellStyle name="Normal 19 2 2 2 2 2 2 6 2" xfId="29733"/>
    <cellStyle name="Normal 19 2 2 2 2 2 2 7" xfId="29734"/>
    <cellStyle name="Normal 19 2 2 2 2 2 3" xfId="17648"/>
    <cellStyle name="Normal 19 2 2 2 2 2 3 2" xfId="17649"/>
    <cellStyle name="Normal 19 2 2 2 2 2 3 2 2" xfId="17650"/>
    <cellStyle name="Normal 19 2 2 2 2 2 3 2 2 2" xfId="29735"/>
    <cellStyle name="Normal 19 2 2 2 2 2 3 2 2 2 2" xfId="29736"/>
    <cellStyle name="Normal 19 2 2 2 2 2 3 2 2 2 2 2" xfId="29737"/>
    <cellStyle name="Normal 19 2 2 2 2 2 3 2 2 2 3" xfId="29738"/>
    <cellStyle name="Normal 19 2 2 2 2 2 3 2 2 3" xfId="29739"/>
    <cellStyle name="Normal 19 2 2 2 2 2 3 2 2 3 2" xfId="29740"/>
    <cellStyle name="Normal 19 2 2 2 2 2 3 2 2 4" xfId="29741"/>
    <cellStyle name="Normal 19 2 2 2 2 2 3 2 3" xfId="29742"/>
    <cellStyle name="Normal 19 2 2 2 2 2 3 2 3 2" xfId="29743"/>
    <cellStyle name="Normal 19 2 2 2 2 2 3 2 3 2 2" xfId="29744"/>
    <cellStyle name="Normal 19 2 2 2 2 2 3 2 3 3" xfId="29745"/>
    <cellStyle name="Normal 19 2 2 2 2 2 3 2 4" xfId="29746"/>
    <cellStyle name="Normal 19 2 2 2 2 2 3 2 4 2" xfId="29747"/>
    <cellStyle name="Normal 19 2 2 2 2 2 3 2 5" xfId="29748"/>
    <cellStyle name="Normal 19 2 2 2 2 2 3 3" xfId="17651"/>
    <cellStyle name="Normal 19 2 2 2 2 2 3 3 2" xfId="29749"/>
    <cellStyle name="Normal 19 2 2 2 2 2 3 3 2 2" xfId="29750"/>
    <cellStyle name="Normal 19 2 2 2 2 2 3 3 2 2 2" xfId="29751"/>
    <cellStyle name="Normal 19 2 2 2 2 2 3 3 2 3" xfId="29752"/>
    <cellStyle name="Normal 19 2 2 2 2 2 3 3 3" xfId="29753"/>
    <cellStyle name="Normal 19 2 2 2 2 2 3 3 3 2" xfId="29754"/>
    <cellStyle name="Normal 19 2 2 2 2 2 3 3 4" xfId="29755"/>
    <cellStyle name="Normal 19 2 2 2 2 2 3 4" xfId="29756"/>
    <cellStyle name="Normal 19 2 2 2 2 2 3 4 2" xfId="29757"/>
    <cellStyle name="Normal 19 2 2 2 2 2 3 4 2 2" xfId="29758"/>
    <cellStyle name="Normal 19 2 2 2 2 2 3 4 3" xfId="29759"/>
    <cellStyle name="Normal 19 2 2 2 2 2 3 5" xfId="29760"/>
    <cellStyle name="Normal 19 2 2 2 2 2 3 5 2" xfId="29761"/>
    <cellStyle name="Normal 19 2 2 2 2 2 3 6" xfId="29762"/>
    <cellStyle name="Normal 19 2 2 2 2 2 4" xfId="17652"/>
    <cellStyle name="Normal 19 2 2 2 2 2 4 2" xfId="17653"/>
    <cellStyle name="Normal 19 2 2 2 2 2 4 2 2" xfId="29763"/>
    <cellStyle name="Normal 19 2 2 2 2 2 4 2 2 2" xfId="29764"/>
    <cellStyle name="Normal 19 2 2 2 2 2 4 2 2 2 2" xfId="29765"/>
    <cellStyle name="Normal 19 2 2 2 2 2 4 2 2 3" xfId="29766"/>
    <cellStyle name="Normal 19 2 2 2 2 2 4 2 3" xfId="29767"/>
    <cellStyle name="Normal 19 2 2 2 2 2 4 2 3 2" xfId="29768"/>
    <cellStyle name="Normal 19 2 2 2 2 2 4 2 4" xfId="29769"/>
    <cellStyle name="Normal 19 2 2 2 2 2 4 3" xfId="29770"/>
    <cellStyle name="Normal 19 2 2 2 2 2 4 3 2" xfId="29771"/>
    <cellStyle name="Normal 19 2 2 2 2 2 4 3 2 2" xfId="29772"/>
    <cellStyle name="Normal 19 2 2 2 2 2 4 3 3" xfId="29773"/>
    <cellStyle name="Normal 19 2 2 2 2 2 4 4" xfId="29774"/>
    <cellStyle name="Normal 19 2 2 2 2 2 4 4 2" xfId="29775"/>
    <cellStyle name="Normal 19 2 2 2 2 2 4 5" xfId="29776"/>
    <cellStyle name="Normal 19 2 2 2 2 2 5" xfId="17654"/>
    <cellStyle name="Normal 19 2 2 2 2 2 5 2" xfId="29777"/>
    <cellStyle name="Normal 19 2 2 2 2 2 5 2 2" xfId="29778"/>
    <cellStyle name="Normal 19 2 2 2 2 2 5 2 2 2" xfId="29779"/>
    <cellStyle name="Normal 19 2 2 2 2 2 5 2 3" xfId="29780"/>
    <cellStyle name="Normal 19 2 2 2 2 2 5 3" xfId="29781"/>
    <cellStyle name="Normal 19 2 2 2 2 2 5 3 2" xfId="29782"/>
    <cellStyle name="Normal 19 2 2 2 2 2 5 4" xfId="29783"/>
    <cellStyle name="Normal 19 2 2 2 2 2 6" xfId="29784"/>
    <cellStyle name="Normal 19 2 2 2 2 2 6 2" xfId="29785"/>
    <cellStyle name="Normal 19 2 2 2 2 2 6 2 2" xfId="29786"/>
    <cellStyle name="Normal 19 2 2 2 2 2 6 3" xfId="29787"/>
    <cellStyle name="Normal 19 2 2 2 2 2 7" xfId="29788"/>
    <cellStyle name="Normal 19 2 2 2 2 2 7 2" xfId="29789"/>
    <cellStyle name="Normal 19 2 2 2 2 2 8" xfId="29790"/>
    <cellStyle name="Normal 19 2 2 2 2 3" xfId="17655"/>
    <cellStyle name="Normal 19 2 2 2 2 3 2" xfId="17656"/>
    <cellStyle name="Normal 19 2 2 2 2 3 2 2" xfId="17657"/>
    <cellStyle name="Normal 19 2 2 2 2 3 2 2 2" xfId="17658"/>
    <cellStyle name="Normal 19 2 2 2 2 3 2 2 2 2" xfId="29791"/>
    <cellStyle name="Normal 19 2 2 2 2 3 2 2 2 2 2" xfId="29792"/>
    <cellStyle name="Normal 19 2 2 2 2 3 2 2 2 2 2 2" xfId="29793"/>
    <cellStyle name="Normal 19 2 2 2 2 3 2 2 2 2 3" xfId="29794"/>
    <cellStyle name="Normal 19 2 2 2 2 3 2 2 2 3" xfId="29795"/>
    <cellStyle name="Normal 19 2 2 2 2 3 2 2 2 3 2" xfId="29796"/>
    <cellStyle name="Normal 19 2 2 2 2 3 2 2 2 4" xfId="29797"/>
    <cellStyle name="Normal 19 2 2 2 2 3 2 2 3" xfId="29798"/>
    <cellStyle name="Normal 19 2 2 2 2 3 2 2 3 2" xfId="29799"/>
    <cellStyle name="Normal 19 2 2 2 2 3 2 2 3 2 2" xfId="29800"/>
    <cellStyle name="Normal 19 2 2 2 2 3 2 2 3 3" xfId="29801"/>
    <cellStyle name="Normal 19 2 2 2 2 3 2 2 4" xfId="29802"/>
    <cellStyle name="Normal 19 2 2 2 2 3 2 2 4 2" xfId="29803"/>
    <cellStyle name="Normal 19 2 2 2 2 3 2 2 5" xfId="29804"/>
    <cellStyle name="Normal 19 2 2 2 2 3 2 3" xfId="17659"/>
    <cellStyle name="Normal 19 2 2 2 2 3 2 3 2" xfId="29805"/>
    <cellStyle name="Normal 19 2 2 2 2 3 2 3 2 2" xfId="29806"/>
    <cellStyle name="Normal 19 2 2 2 2 3 2 3 2 2 2" xfId="29807"/>
    <cellStyle name="Normal 19 2 2 2 2 3 2 3 2 3" xfId="29808"/>
    <cellStyle name="Normal 19 2 2 2 2 3 2 3 3" xfId="29809"/>
    <cellStyle name="Normal 19 2 2 2 2 3 2 3 3 2" xfId="29810"/>
    <cellStyle name="Normal 19 2 2 2 2 3 2 3 4" xfId="29811"/>
    <cellStyle name="Normal 19 2 2 2 2 3 2 4" xfId="29812"/>
    <cellStyle name="Normal 19 2 2 2 2 3 2 4 2" xfId="29813"/>
    <cellStyle name="Normal 19 2 2 2 2 3 2 4 2 2" xfId="29814"/>
    <cellStyle name="Normal 19 2 2 2 2 3 2 4 3" xfId="29815"/>
    <cellStyle name="Normal 19 2 2 2 2 3 2 5" xfId="29816"/>
    <cellStyle name="Normal 19 2 2 2 2 3 2 5 2" xfId="29817"/>
    <cellStyle name="Normal 19 2 2 2 2 3 2 6" xfId="29818"/>
    <cellStyle name="Normal 19 2 2 2 2 3 3" xfId="17660"/>
    <cellStyle name="Normal 19 2 2 2 2 3 3 2" xfId="17661"/>
    <cellStyle name="Normal 19 2 2 2 2 3 3 2 2" xfId="29819"/>
    <cellStyle name="Normal 19 2 2 2 2 3 3 2 2 2" xfId="29820"/>
    <cellStyle name="Normal 19 2 2 2 2 3 3 2 2 2 2" xfId="29821"/>
    <cellStyle name="Normal 19 2 2 2 2 3 3 2 2 3" xfId="29822"/>
    <cellStyle name="Normal 19 2 2 2 2 3 3 2 3" xfId="29823"/>
    <cellStyle name="Normal 19 2 2 2 2 3 3 2 3 2" xfId="29824"/>
    <cellStyle name="Normal 19 2 2 2 2 3 3 2 4" xfId="29825"/>
    <cellStyle name="Normal 19 2 2 2 2 3 3 3" xfId="29826"/>
    <cellStyle name="Normal 19 2 2 2 2 3 3 3 2" xfId="29827"/>
    <cellStyle name="Normal 19 2 2 2 2 3 3 3 2 2" xfId="29828"/>
    <cellStyle name="Normal 19 2 2 2 2 3 3 3 3" xfId="29829"/>
    <cellStyle name="Normal 19 2 2 2 2 3 3 4" xfId="29830"/>
    <cellStyle name="Normal 19 2 2 2 2 3 3 4 2" xfId="29831"/>
    <cellStyle name="Normal 19 2 2 2 2 3 3 5" xfId="29832"/>
    <cellStyle name="Normal 19 2 2 2 2 3 4" xfId="17662"/>
    <cellStyle name="Normal 19 2 2 2 2 3 4 2" xfId="29833"/>
    <cellStyle name="Normal 19 2 2 2 2 3 4 2 2" xfId="29834"/>
    <cellStyle name="Normal 19 2 2 2 2 3 4 2 2 2" xfId="29835"/>
    <cellStyle name="Normal 19 2 2 2 2 3 4 2 3" xfId="29836"/>
    <cellStyle name="Normal 19 2 2 2 2 3 4 3" xfId="29837"/>
    <cellStyle name="Normal 19 2 2 2 2 3 4 3 2" xfId="29838"/>
    <cellStyle name="Normal 19 2 2 2 2 3 4 4" xfId="29839"/>
    <cellStyle name="Normal 19 2 2 2 2 3 5" xfId="29840"/>
    <cellStyle name="Normal 19 2 2 2 2 3 5 2" xfId="29841"/>
    <cellStyle name="Normal 19 2 2 2 2 3 5 2 2" xfId="29842"/>
    <cellStyle name="Normal 19 2 2 2 2 3 5 3" xfId="29843"/>
    <cellStyle name="Normal 19 2 2 2 2 3 6" xfId="29844"/>
    <cellStyle name="Normal 19 2 2 2 2 3 6 2" xfId="29845"/>
    <cellStyle name="Normal 19 2 2 2 2 3 7" xfId="29846"/>
    <cellStyle name="Normal 19 2 2 2 2 4" xfId="17663"/>
    <cellStyle name="Normal 19 2 2 2 2 4 2" xfId="17664"/>
    <cellStyle name="Normal 19 2 2 2 2 4 2 2" xfId="17665"/>
    <cellStyle name="Normal 19 2 2 2 2 4 2 2 2" xfId="29847"/>
    <cellStyle name="Normal 19 2 2 2 2 4 2 2 2 2" xfId="29848"/>
    <cellStyle name="Normal 19 2 2 2 2 4 2 2 2 2 2" xfId="29849"/>
    <cellStyle name="Normal 19 2 2 2 2 4 2 2 2 3" xfId="29850"/>
    <cellStyle name="Normal 19 2 2 2 2 4 2 2 3" xfId="29851"/>
    <cellStyle name="Normal 19 2 2 2 2 4 2 2 3 2" xfId="29852"/>
    <cellStyle name="Normal 19 2 2 2 2 4 2 2 4" xfId="29853"/>
    <cellStyle name="Normal 19 2 2 2 2 4 2 3" xfId="29854"/>
    <cellStyle name="Normal 19 2 2 2 2 4 2 3 2" xfId="29855"/>
    <cellStyle name="Normal 19 2 2 2 2 4 2 3 2 2" xfId="29856"/>
    <cellStyle name="Normal 19 2 2 2 2 4 2 3 3" xfId="29857"/>
    <cellStyle name="Normal 19 2 2 2 2 4 2 4" xfId="29858"/>
    <cellStyle name="Normal 19 2 2 2 2 4 2 4 2" xfId="29859"/>
    <cellStyle name="Normal 19 2 2 2 2 4 2 5" xfId="29860"/>
    <cellStyle name="Normal 19 2 2 2 2 4 3" xfId="17666"/>
    <cellStyle name="Normal 19 2 2 2 2 4 3 2" xfId="29861"/>
    <cellStyle name="Normal 19 2 2 2 2 4 3 2 2" xfId="29862"/>
    <cellStyle name="Normal 19 2 2 2 2 4 3 2 2 2" xfId="29863"/>
    <cellStyle name="Normal 19 2 2 2 2 4 3 2 3" xfId="29864"/>
    <cellStyle name="Normal 19 2 2 2 2 4 3 3" xfId="29865"/>
    <cellStyle name="Normal 19 2 2 2 2 4 3 3 2" xfId="29866"/>
    <cellStyle name="Normal 19 2 2 2 2 4 3 4" xfId="29867"/>
    <cellStyle name="Normal 19 2 2 2 2 4 4" xfId="29868"/>
    <cellStyle name="Normal 19 2 2 2 2 4 4 2" xfId="29869"/>
    <cellStyle name="Normal 19 2 2 2 2 4 4 2 2" xfId="29870"/>
    <cellStyle name="Normal 19 2 2 2 2 4 4 3" xfId="29871"/>
    <cellStyle name="Normal 19 2 2 2 2 4 5" xfId="29872"/>
    <cellStyle name="Normal 19 2 2 2 2 4 5 2" xfId="29873"/>
    <cellStyle name="Normal 19 2 2 2 2 4 6" xfId="29874"/>
    <cellStyle name="Normal 19 2 2 2 2 5" xfId="17667"/>
    <cellStyle name="Normal 19 2 2 2 2 5 2" xfId="17668"/>
    <cellStyle name="Normal 19 2 2 2 2 5 2 2" xfId="29875"/>
    <cellStyle name="Normal 19 2 2 2 2 5 2 2 2" xfId="29876"/>
    <cellStyle name="Normal 19 2 2 2 2 5 2 2 2 2" xfId="29877"/>
    <cellStyle name="Normal 19 2 2 2 2 5 2 2 3" xfId="29878"/>
    <cellStyle name="Normal 19 2 2 2 2 5 2 3" xfId="29879"/>
    <cellStyle name="Normal 19 2 2 2 2 5 2 3 2" xfId="29880"/>
    <cellStyle name="Normal 19 2 2 2 2 5 2 4" xfId="29881"/>
    <cellStyle name="Normal 19 2 2 2 2 5 3" xfId="29882"/>
    <cellStyle name="Normal 19 2 2 2 2 5 3 2" xfId="29883"/>
    <cellStyle name="Normal 19 2 2 2 2 5 3 2 2" xfId="29884"/>
    <cellStyle name="Normal 19 2 2 2 2 5 3 3" xfId="29885"/>
    <cellStyle name="Normal 19 2 2 2 2 5 4" xfId="29886"/>
    <cellStyle name="Normal 19 2 2 2 2 5 4 2" xfId="29887"/>
    <cellStyle name="Normal 19 2 2 2 2 5 5" xfId="29888"/>
    <cellStyle name="Normal 19 2 2 2 2 6" xfId="17669"/>
    <cellStyle name="Normal 19 2 2 2 2 6 2" xfId="29889"/>
    <cellStyle name="Normal 19 2 2 2 2 6 2 2" xfId="29890"/>
    <cellStyle name="Normal 19 2 2 2 2 6 2 2 2" xfId="29891"/>
    <cellStyle name="Normal 19 2 2 2 2 6 2 3" xfId="29892"/>
    <cellStyle name="Normal 19 2 2 2 2 6 3" xfId="29893"/>
    <cellStyle name="Normal 19 2 2 2 2 6 3 2" xfId="29894"/>
    <cellStyle name="Normal 19 2 2 2 2 6 4" xfId="29895"/>
    <cellStyle name="Normal 19 2 2 2 2 7" xfId="29896"/>
    <cellStyle name="Normal 19 2 2 2 2 7 2" xfId="29897"/>
    <cellStyle name="Normal 19 2 2 2 2 7 2 2" xfId="29898"/>
    <cellStyle name="Normal 19 2 2 2 2 7 3" xfId="29899"/>
    <cellStyle name="Normal 19 2 2 2 2 8" xfId="29900"/>
    <cellStyle name="Normal 19 2 2 2 2 8 2" xfId="29901"/>
    <cellStyle name="Normal 19 2 2 2 2 9" xfId="29902"/>
    <cellStyle name="Normal 19 2 2 2 3" xfId="17670"/>
    <cellStyle name="Normal 19 2 2 2 3 2" xfId="17671"/>
    <cellStyle name="Normal 19 2 2 2 3 2 2" xfId="17672"/>
    <cellStyle name="Normal 19 2 2 2 3 2 2 2" xfId="17673"/>
    <cellStyle name="Normal 19 2 2 2 3 2 2 2 2" xfId="29903"/>
    <cellStyle name="Normal 19 2 2 2 3 2 2 2 2 2" xfId="29904"/>
    <cellStyle name="Normal 19 2 2 2 3 2 2 2 2 2 2" xfId="29905"/>
    <cellStyle name="Normal 19 2 2 2 3 2 2 2 2 3" xfId="29906"/>
    <cellStyle name="Normal 19 2 2 2 3 2 2 2 3" xfId="29907"/>
    <cellStyle name="Normal 19 2 2 2 3 2 2 2 3 2" xfId="29908"/>
    <cellStyle name="Normal 19 2 2 2 3 2 2 2 4" xfId="29909"/>
    <cellStyle name="Normal 19 2 2 2 3 2 2 3" xfId="29910"/>
    <cellStyle name="Normal 19 2 2 2 3 2 2 3 2" xfId="29911"/>
    <cellStyle name="Normal 19 2 2 2 3 2 2 3 2 2" xfId="29912"/>
    <cellStyle name="Normal 19 2 2 2 3 2 2 3 3" xfId="29913"/>
    <cellStyle name="Normal 19 2 2 2 3 2 2 4" xfId="29914"/>
    <cellStyle name="Normal 19 2 2 2 3 2 2 4 2" xfId="29915"/>
    <cellStyle name="Normal 19 2 2 2 3 2 2 5" xfId="29916"/>
    <cellStyle name="Normal 19 2 2 2 3 2 3" xfId="17674"/>
    <cellStyle name="Normal 19 2 2 2 3 2 3 2" xfId="29917"/>
    <cellStyle name="Normal 19 2 2 2 3 2 3 2 2" xfId="29918"/>
    <cellStyle name="Normal 19 2 2 2 3 2 3 2 2 2" xfId="29919"/>
    <cellStyle name="Normal 19 2 2 2 3 2 3 2 3" xfId="29920"/>
    <cellStyle name="Normal 19 2 2 2 3 2 3 3" xfId="29921"/>
    <cellStyle name="Normal 19 2 2 2 3 2 3 3 2" xfId="29922"/>
    <cellStyle name="Normal 19 2 2 2 3 2 3 4" xfId="29923"/>
    <cellStyle name="Normal 19 2 2 2 3 2 4" xfId="29924"/>
    <cellStyle name="Normal 19 2 2 2 3 2 4 2" xfId="29925"/>
    <cellStyle name="Normal 19 2 2 2 3 2 4 2 2" xfId="29926"/>
    <cellStyle name="Normal 19 2 2 2 3 2 4 3" xfId="29927"/>
    <cellStyle name="Normal 19 2 2 2 3 2 5" xfId="29928"/>
    <cellStyle name="Normal 19 2 2 2 3 2 5 2" xfId="29929"/>
    <cellStyle name="Normal 19 2 2 2 3 2 6" xfId="29930"/>
    <cellStyle name="Normal 19 2 2 2 3 3" xfId="17675"/>
    <cellStyle name="Normal 19 2 2 2 3 3 2" xfId="17676"/>
    <cellStyle name="Normal 19 2 2 2 3 3 2 2" xfId="29931"/>
    <cellStyle name="Normal 19 2 2 2 3 3 2 2 2" xfId="29932"/>
    <cellStyle name="Normal 19 2 2 2 3 3 2 2 2 2" xfId="29933"/>
    <cellStyle name="Normal 19 2 2 2 3 3 2 2 3" xfId="29934"/>
    <cellStyle name="Normal 19 2 2 2 3 3 2 3" xfId="29935"/>
    <cellStyle name="Normal 19 2 2 2 3 3 2 3 2" xfId="29936"/>
    <cellStyle name="Normal 19 2 2 2 3 3 2 4" xfId="29937"/>
    <cellStyle name="Normal 19 2 2 2 3 3 3" xfId="29938"/>
    <cellStyle name="Normal 19 2 2 2 3 3 3 2" xfId="29939"/>
    <cellStyle name="Normal 19 2 2 2 3 3 3 2 2" xfId="29940"/>
    <cellStyle name="Normal 19 2 2 2 3 3 3 3" xfId="29941"/>
    <cellStyle name="Normal 19 2 2 2 3 3 4" xfId="29942"/>
    <cellStyle name="Normal 19 2 2 2 3 3 4 2" xfId="29943"/>
    <cellStyle name="Normal 19 2 2 2 3 3 5" xfId="29944"/>
    <cellStyle name="Normal 19 2 2 2 3 4" xfId="17677"/>
    <cellStyle name="Normal 19 2 2 2 3 4 2" xfId="29945"/>
    <cellStyle name="Normal 19 2 2 2 3 4 2 2" xfId="29946"/>
    <cellStyle name="Normal 19 2 2 2 3 4 2 2 2" xfId="29947"/>
    <cellStyle name="Normal 19 2 2 2 3 4 2 3" xfId="29948"/>
    <cellStyle name="Normal 19 2 2 2 3 4 3" xfId="29949"/>
    <cellStyle name="Normal 19 2 2 2 3 4 3 2" xfId="29950"/>
    <cellStyle name="Normal 19 2 2 2 3 4 4" xfId="29951"/>
    <cellStyle name="Normal 19 2 2 2 3 5" xfId="29952"/>
    <cellStyle name="Normal 19 2 2 2 3 5 2" xfId="29953"/>
    <cellStyle name="Normal 19 2 2 2 3 5 2 2" xfId="29954"/>
    <cellStyle name="Normal 19 2 2 2 3 5 3" xfId="29955"/>
    <cellStyle name="Normal 19 2 2 2 3 6" xfId="29956"/>
    <cellStyle name="Normal 19 2 2 2 3 6 2" xfId="29957"/>
    <cellStyle name="Normal 19 2 2 2 3 7" xfId="29958"/>
    <cellStyle name="Normal 19 2 2 2 4" xfId="17678"/>
    <cellStyle name="Normal 19 2 2 2 4 2" xfId="17679"/>
    <cellStyle name="Normal 19 2 2 2 4 2 2" xfId="17680"/>
    <cellStyle name="Normal 19 2 2 2 4 2 2 2" xfId="29959"/>
    <cellStyle name="Normal 19 2 2 2 4 2 2 2 2" xfId="29960"/>
    <cellStyle name="Normal 19 2 2 2 4 2 2 2 2 2" xfId="29961"/>
    <cellStyle name="Normal 19 2 2 2 4 2 2 2 3" xfId="29962"/>
    <cellStyle name="Normal 19 2 2 2 4 2 2 3" xfId="29963"/>
    <cellStyle name="Normal 19 2 2 2 4 2 2 3 2" xfId="29964"/>
    <cellStyle name="Normal 19 2 2 2 4 2 2 4" xfId="29965"/>
    <cellStyle name="Normal 19 2 2 2 4 2 3" xfId="29966"/>
    <cellStyle name="Normal 19 2 2 2 4 2 3 2" xfId="29967"/>
    <cellStyle name="Normal 19 2 2 2 4 2 3 2 2" xfId="29968"/>
    <cellStyle name="Normal 19 2 2 2 4 2 3 3" xfId="29969"/>
    <cellStyle name="Normal 19 2 2 2 4 2 4" xfId="29970"/>
    <cellStyle name="Normal 19 2 2 2 4 2 4 2" xfId="29971"/>
    <cellStyle name="Normal 19 2 2 2 4 2 5" xfId="29972"/>
    <cellStyle name="Normal 19 2 2 2 4 3" xfId="17681"/>
    <cellStyle name="Normal 19 2 2 2 4 3 2" xfId="29973"/>
    <cellStyle name="Normal 19 2 2 2 4 3 2 2" xfId="29974"/>
    <cellStyle name="Normal 19 2 2 2 4 3 2 2 2" xfId="29975"/>
    <cellStyle name="Normal 19 2 2 2 4 3 2 3" xfId="29976"/>
    <cellStyle name="Normal 19 2 2 2 4 3 3" xfId="29977"/>
    <cellStyle name="Normal 19 2 2 2 4 3 3 2" xfId="29978"/>
    <cellStyle name="Normal 19 2 2 2 4 3 4" xfId="29979"/>
    <cellStyle name="Normal 19 2 2 2 4 4" xfId="29980"/>
    <cellStyle name="Normal 19 2 2 2 4 4 2" xfId="29981"/>
    <cellStyle name="Normal 19 2 2 2 4 4 2 2" xfId="29982"/>
    <cellStyle name="Normal 19 2 2 2 4 4 3" xfId="29983"/>
    <cellStyle name="Normal 19 2 2 2 4 5" xfId="29984"/>
    <cellStyle name="Normal 19 2 2 2 4 5 2" xfId="29985"/>
    <cellStyle name="Normal 19 2 2 2 4 6" xfId="29986"/>
    <cellStyle name="Normal 19 2 2 2 5" xfId="17682"/>
    <cellStyle name="Normal 19 2 2 2 5 2" xfId="17683"/>
    <cellStyle name="Normal 19 2 2 2 5 2 2" xfId="29987"/>
    <cellStyle name="Normal 19 2 2 2 5 2 2 2" xfId="29988"/>
    <cellStyle name="Normal 19 2 2 2 5 2 2 2 2" xfId="29989"/>
    <cellStyle name="Normal 19 2 2 2 5 2 2 3" xfId="29990"/>
    <cellStyle name="Normal 19 2 2 2 5 2 3" xfId="29991"/>
    <cellStyle name="Normal 19 2 2 2 5 2 3 2" xfId="29992"/>
    <cellStyle name="Normal 19 2 2 2 5 2 4" xfId="29993"/>
    <cellStyle name="Normal 19 2 2 2 5 3" xfId="29994"/>
    <cellStyle name="Normal 19 2 2 2 5 3 2" xfId="29995"/>
    <cellStyle name="Normal 19 2 2 2 5 3 2 2" xfId="29996"/>
    <cellStyle name="Normal 19 2 2 2 5 3 3" xfId="29997"/>
    <cellStyle name="Normal 19 2 2 2 5 4" xfId="29998"/>
    <cellStyle name="Normal 19 2 2 2 5 4 2" xfId="29999"/>
    <cellStyle name="Normal 19 2 2 2 5 5" xfId="30000"/>
    <cellStyle name="Normal 19 2 2 2 6" xfId="17684"/>
    <cellStyle name="Normal 19 2 2 2 6 2" xfId="30001"/>
    <cellStyle name="Normal 19 2 2 2 6 2 2" xfId="30002"/>
    <cellStyle name="Normal 19 2 2 2 6 2 2 2" xfId="30003"/>
    <cellStyle name="Normal 19 2 2 2 6 2 3" xfId="30004"/>
    <cellStyle name="Normal 19 2 2 2 6 3" xfId="30005"/>
    <cellStyle name="Normal 19 2 2 2 6 3 2" xfId="30006"/>
    <cellStyle name="Normal 19 2 2 2 6 4" xfId="30007"/>
    <cellStyle name="Normal 19 2 2 2 7" xfId="30008"/>
    <cellStyle name="Normal 19 2 2 2 7 2" xfId="30009"/>
    <cellStyle name="Normal 19 2 2 2 7 2 2" xfId="30010"/>
    <cellStyle name="Normal 19 2 2 2 7 3" xfId="30011"/>
    <cellStyle name="Normal 19 2 2 2 8" xfId="30012"/>
    <cellStyle name="Normal 19 2 2 2 8 2" xfId="30013"/>
    <cellStyle name="Normal 19 2 2 2 9" xfId="30014"/>
    <cellStyle name="Normal 19 2 2 3" xfId="17685"/>
    <cellStyle name="Normal 19 2 2 3 2" xfId="17686"/>
    <cellStyle name="Normal 19 2 2 3 2 2" xfId="17687"/>
    <cellStyle name="Normal 19 2 2 3 2 2 2" xfId="17688"/>
    <cellStyle name="Normal 19 2 2 3 2 2 2 2" xfId="17689"/>
    <cellStyle name="Normal 19 2 2 3 2 2 2 2 2" xfId="30015"/>
    <cellStyle name="Normal 19 2 2 3 2 2 2 2 2 2" xfId="30016"/>
    <cellStyle name="Normal 19 2 2 3 2 2 2 2 2 2 2" xfId="30017"/>
    <cellStyle name="Normal 19 2 2 3 2 2 2 2 2 3" xfId="30018"/>
    <cellStyle name="Normal 19 2 2 3 2 2 2 2 3" xfId="30019"/>
    <cellStyle name="Normal 19 2 2 3 2 2 2 2 3 2" xfId="30020"/>
    <cellStyle name="Normal 19 2 2 3 2 2 2 2 4" xfId="30021"/>
    <cellStyle name="Normal 19 2 2 3 2 2 2 3" xfId="30022"/>
    <cellStyle name="Normal 19 2 2 3 2 2 2 3 2" xfId="30023"/>
    <cellStyle name="Normal 19 2 2 3 2 2 2 3 2 2" xfId="30024"/>
    <cellStyle name="Normal 19 2 2 3 2 2 2 3 3" xfId="30025"/>
    <cellStyle name="Normal 19 2 2 3 2 2 2 4" xfId="30026"/>
    <cellStyle name="Normal 19 2 2 3 2 2 2 4 2" xfId="30027"/>
    <cellStyle name="Normal 19 2 2 3 2 2 2 5" xfId="30028"/>
    <cellStyle name="Normal 19 2 2 3 2 2 3" xfId="17690"/>
    <cellStyle name="Normal 19 2 2 3 2 2 3 2" xfId="30029"/>
    <cellStyle name="Normal 19 2 2 3 2 2 3 2 2" xfId="30030"/>
    <cellStyle name="Normal 19 2 2 3 2 2 3 2 2 2" xfId="30031"/>
    <cellStyle name="Normal 19 2 2 3 2 2 3 2 3" xfId="30032"/>
    <cellStyle name="Normal 19 2 2 3 2 2 3 3" xfId="30033"/>
    <cellStyle name="Normal 19 2 2 3 2 2 3 3 2" xfId="30034"/>
    <cellStyle name="Normal 19 2 2 3 2 2 3 4" xfId="30035"/>
    <cellStyle name="Normal 19 2 2 3 2 2 4" xfId="30036"/>
    <cellStyle name="Normal 19 2 2 3 2 2 4 2" xfId="30037"/>
    <cellStyle name="Normal 19 2 2 3 2 2 4 2 2" xfId="30038"/>
    <cellStyle name="Normal 19 2 2 3 2 2 4 3" xfId="30039"/>
    <cellStyle name="Normal 19 2 2 3 2 2 5" xfId="30040"/>
    <cellStyle name="Normal 19 2 2 3 2 2 5 2" xfId="30041"/>
    <cellStyle name="Normal 19 2 2 3 2 2 6" xfId="30042"/>
    <cellStyle name="Normal 19 2 2 3 2 3" xfId="17691"/>
    <cellStyle name="Normal 19 2 2 3 2 3 2" xfId="17692"/>
    <cellStyle name="Normal 19 2 2 3 2 3 2 2" xfId="30043"/>
    <cellStyle name="Normal 19 2 2 3 2 3 2 2 2" xfId="30044"/>
    <cellStyle name="Normal 19 2 2 3 2 3 2 2 2 2" xfId="30045"/>
    <cellStyle name="Normal 19 2 2 3 2 3 2 2 3" xfId="30046"/>
    <cellStyle name="Normal 19 2 2 3 2 3 2 3" xfId="30047"/>
    <cellStyle name="Normal 19 2 2 3 2 3 2 3 2" xfId="30048"/>
    <cellStyle name="Normal 19 2 2 3 2 3 2 4" xfId="30049"/>
    <cellStyle name="Normal 19 2 2 3 2 3 3" xfId="30050"/>
    <cellStyle name="Normal 19 2 2 3 2 3 3 2" xfId="30051"/>
    <cellStyle name="Normal 19 2 2 3 2 3 3 2 2" xfId="30052"/>
    <cellStyle name="Normal 19 2 2 3 2 3 3 3" xfId="30053"/>
    <cellStyle name="Normal 19 2 2 3 2 3 4" xfId="30054"/>
    <cellStyle name="Normal 19 2 2 3 2 3 4 2" xfId="30055"/>
    <cellStyle name="Normal 19 2 2 3 2 3 5" xfId="30056"/>
    <cellStyle name="Normal 19 2 2 3 2 4" xfId="17693"/>
    <cellStyle name="Normal 19 2 2 3 2 4 2" xfId="30057"/>
    <cellStyle name="Normal 19 2 2 3 2 4 2 2" xfId="30058"/>
    <cellStyle name="Normal 19 2 2 3 2 4 2 2 2" xfId="30059"/>
    <cellStyle name="Normal 19 2 2 3 2 4 2 3" xfId="30060"/>
    <cellStyle name="Normal 19 2 2 3 2 4 3" xfId="30061"/>
    <cellStyle name="Normal 19 2 2 3 2 4 3 2" xfId="30062"/>
    <cellStyle name="Normal 19 2 2 3 2 4 4" xfId="30063"/>
    <cellStyle name="Normal 19 2 2 3 2 5" xfId="30064"/>
    <cellStyle name="Normal 19 2 2 3 2 5 2" xfId="30065"/>
    <cellStyle name="Normal 19 2 2 3 2 5 2 2" xfId="30066"/>
    <cellStyle name="Normal 19 2 2 3 2 5 3" xfId="30067"/>
    <cellStyle name="Normal 19 2 2 3 2 6" xfId="30068"/>
    <cellStyle name="Normal 19 2 2 3 2 6 2" xfId="30069"/>
    <cellStyle name="Normal 19 2 2 3 2 7" xfId="30070"/>
    <cellStyle name="Normal 19 2 2 3 3" xfId="17694"/>
    <cellStyle name="Normal 19 2 2 3 3 2" xfId="17695"/>
    <cellStyle name="Normal 19 2 2 3 3 2 2" xfId="17696"/>
    <cellStyle name="Normal 19 2 2 3 3 2 2 2" xfId="30071"/>
    <cellStyle name="Normal 19 2 2 3 3 2 2 2 2" xfId="30072"/>
    <cellStyle name="Normal 19 2 2 3 3 2 2 2 2 2" xfId="30073"/>
    <cellStyle name="Normal 19 2 2 3 3 2 2 2 3" xfId="30074"/>
    <cellStyle name="Normal 19 2 2 3 3 2 2 3" xfId="30075"/>
    <cellStyle name="Normal 19 2 2 3 3 2 2 3 2" xfId="30076"/>
    <cellStyle name="Normal 19 2 2 3 3 2 2 4" xfId="30077"/>
    <cellStyle name="Normal 19 2 2 3 3 2 3" xfId="30078"/>
    <cellStyle name="Normal 19 2 2 3 3 2 3 2" xfId="30079"/>
    <cellStyle name="Normal 19 2 2 3 3 2 3 2 2" xfId="30080"/>
    <cellStyle name="Normal 19 2 2 3 3 2 3 3" xfId="30081"/>
    <cellStyle name="Normal 19 2 2 3 3 2 4" xfId="30082"/>
    <cellStyle name="Normal 19 2 2 3 3 2 4 2" xfId="30083"/>
    <cellStyle name="Normal 19 2 2 3 3 2 5" xfId="30084"/>
    <cellStyle name="Normal 19 2 2 3 3 3" xfId="17697"/>
    <cellStyle name="Normal 19 2 2 3 3 3 2" xfId="30085"/>
    <cellStyle name="Normal 19 2 2 3 3 3 2 2" xfId="30086"/>
    <cellStyle name="Normal 19 2 2 3 3 3 2 2 2" xfId="30087"/>
    <cellStyle name="Normal 19 2 2 3 3 3 2 3" xfId="30088"/>
    <cellStyle name="Normal 19 2 2 3 3 3 3" xfId="30089"/>
    <cellStyle name="Normal 19 2 2 3 3 3 3 2" xfId="30090"/>
    <cellStyle name="Normal 19 2 2 3 3 3 4" xfId="30091"/>
    <cellStyle name="Normal 19 2 2 3 3 4" xfId="30092"/>
    <cellStyle name="Normal 19 2 2 3 3 4 2" xfId="30093"/>
    <cellStyle name="Normal 19 2 2 3 3 4 2 2" xfId="30094"/>
    <cellStyle name="Normal 19 2 2 3 3 4 3" xfId="30095"/>
    <cellStyle name="Normal 19 2 2 3 3 5" xfId="30096"/>
    <cellStyle name="Normal 19 2 2 3 3 5 2" xfId="30097"/>
    <cellStyle name="Normal 19 2 2 3 3 6" xfId="30098"/>
    <cellStyle name="Normal 19 2 2 3 4" xfId="17698"/>
    <cellStyle name="Normal 19 2 2 3 4 2" xfId="17699"/>
    <cellStyle name="Normal 19 2 2 3 4 2 2" xfId="30099"/>
    <cellStyle name="Normal 19 2 2 3 4 2 2 2" xfId="30100"/>
    <cellStyle name="Normal 19 2 2 3 4 2 2 2 2" xfId="30101"/>
    <cellStyle name="Normal 19 2 2 3 4 2 2 3" xfId="30102"/>
    <cellStyle name="Normal 19 2 2 3 4 2 3" xfId="30103"/>
    <cellStyle name="Normal 19 2 2 3 4 2 3 2" xfId="30104"/>
    <cellStyle name="Normal 19 2 2 3 4 2 4" xfId="30105"/>
    <cellStyle name="Normal 19 2 2 3 4 3" xfId="30106"/>
    <cellStyle name="Normal 19 2 2 3 4 3 2" xfId="30107"/>
    <cellStyle name="Normal 19 2 2 3 4 3 2 2" xfId="30108"/>
    <cellStyle name="Normal 19 2 2 3 4 3 3" xfId="30109"/>
    <cellStyle name="Normal 19 2 2 3 4 4" xfId="30110"/>
    <cellStyle name="Normal 19 2 2 3 4 4 2" xfId="30111"/>
    <cellStyle name="Normal 19 2 2 3 4 5" xfId="30112"/>
    <cellStyle name="Normal 19 2 2 3 5" xfId="17700"/>
    <cellStyle name="Normal 19 2 2 3 5 2" xfId="30113"/>
    <cellStyle name="Normal 19 2 2 3 5 2 2" xfId="30114"/>
    <cellStyle name="Normal 19 2 2 3 5 2 2 2" xfId="30115"/>
    <cellStyle name="Normal 19 2 2 3 5 2 3" xfId="30116"/>
    <cellStyle name="Normal 19 2 2 3 5 3" xfId="30117"/>
    <cellStyle name="Normal 19 2 2 3 5 3 2" xfId="30118"/>
    <cellStyle name="Normal 19 2 2 3 5 4" xfId="30119"/>
    <cellStyle name="Normal 19 2 2 3 6" xfId="30120"/>
    <cellStyle name="Normal 19 2 2 3 6 2" xfId="30121"/>
    <cellStyle name="Normal 19 2 2 3 6 2 2" xfId="30122"/>
    <cellStyle name="Normal 19 2 2 3 6 3" xfId="30123"/>
    <cellStyle name="Normal 19 2 2 3 7" xfId="30124"/>
    <cellStyle name="Normal 19 2 2 3 7 2" xfId="30125"/>
    <cellStyle name="Normal 19 2 2 3 8" xfId="30126"/>
    <cellStyle name="Normal 19 2 2 4" xfId="17701"/>
    <cellStyle name="Normal 19 2 2 4 2" xfId="17702"/>
    <cellStyle name="Normal 19 2 2 4 2 2" xfId="17703"/>
    <cellStyle name="Normal 19 2 2 4 2 2 2" xfId="17704"/>
    <cellStyle name="Normal 19 2 2 4 2 2 2 2" xfId="30127"/>
    <cellStyle name="Normal 19 2 2 4 2 2 2 2 2" xfId="30128"/>
    <cellStyle name="Normal 19 2 2 4 2 2 2 2 2 2" xfId="30129"/>
    <cellStyle name="Normal 19 2 2 4 2 2 2 2 3" xfId="30130"/>
    <cellStyle name="Normal 19 2 2 4 2 2 2 3" xfId="30131"/>
    <cellStyle name="Normal 19 2 2 4 2 2 2 3 2" xfId="30132"/>
    <cellStyle name="Normal 19 2 2 4 2 2 2 4" xfId="30133"/>
    <cellStyle name="Normal 19 2 2 4 2 2 3" xfId="30134"/>
    <cellStyle name="Normal 19 2 2 4 2 2 3 2" xfId="30135"/>
    <cellStyle name="Normal 19 2 2 4 2 2 3 2 2" xfId="30136"/>
    <cellStyle name="Normal 19 2 2 4 2 2 3 3" xfId="30137"/>
    <cellStyle name="Normal 19 2 2 4 2 2 4" xfId="30138"/>
    <cellStyle name="Normal 19 2 2 4 2 2 4 2" xfId="30139"/>
    <cellStyle name="Normal 19 2 2 4 2 2 5" xfId="30140"/>
    <cellStyle name="Normal 19 2 2 4 2 3" xfId="17705"/>
    <cellStyle name="Normal 19 2 2 4 2 3 2" xfId="30141"/>
    <cellStyle name="Normal 19 2 2 4 2 3 2 2" xfId="30142"/>
    <cellStyle name="Normal 19 2 2 4 2 3 2 2 2" xfId="30143"/>
    <cellStyle name="Normal 19 2 2 4 2 3 2 3" xfId="30144"/>
    <cellStyle name="Normal 19 2 2 4 2 3 3" xfId="30145"/>
    <cellStyle name="Normal 19 2 2 4 2 3 3 2" xfId="30146"/>
    <cellStyle name="Normal 19 2 2 4 2 3 4" xfId="30147"/>
    <cellStyle name="Normal 19 2 2 4 2 4" xfId="30148"/>
    <cellStyle name="Normal 19 2 2 4 2 4 2" xfId="30149"/>
    <cellStyle name="Normal 19 2 2 4 2 4 2 2" xfId="30150"/>
    <cellStyle name="Normal 19 2 2 4 2 4 3" xfId="30151"/>
    <cellStyle name="Normal 19 2 2 4 2 5" xfId="30152"/>
    <cellStyle name="Normal 19 2 2 4 2 5 2" xfId="30153"/>
    <cellStyle name="Normal 19 2 2 4 2 6" xfId="30154"/>
    <cellStyle name="Normal 19 2 2 4 3" xfId="17706"/>
    <cellStyle name="Normal 19 2 2 4 3 2" xfId="17707"/>
    <cellStyle name="Normal 19 2 2 4 3 2 2" xfId="30155"/>
    <cellStyle name="Normal 19 2 2 4 3 2 2 2" xfId="30156"/>
    <cellStyle name="Normal 19 2 2 4 3 2 2 2 2" xfId="30157"/>
    <cellStyle name="Normal 19 2 2 4 3 2 2 3" xfId="30158"/>
    <cellStyle name="Normal 19 2 2 4 3 2 3" xfId="30159"/>
    <cellStyle name="Normal 19 2 2 4 3 2 3 2" xfId="30160"/>
    <cellStyle name="Normal 19 2 2 4 3 2 4" xfId="30161"/>
    <cellStyle name="Normal 19 2 2 4 3 3" xfId="30162"/>
    <cellStyle name="Normal 19 2 2 4 3 3 2" xfId="30163"/>
    <cellStyle name="Normal 19 2 2 4 3 3 2 2" xfId="30164"/>
    <cellStyle name="Normal 19 2 2 4 3 3 3" xfId="30165"/>
    <cellStyle name="Normal 19 2 2 4 3 4" xfId="30166"/>
    <cellStyle name="Normal 19 2 2 4 3 4 2" xfId="30167"/>
    <cellStyle name="Normal 19 2 2 4 3 5" xfId="30168"/>
    <cellStyle name="Normal 19 2 2 4 4" xfId="17708"/>
    <cellStyle name="Normal 19 2 2 4 4 2" xfId="30169"/>
    <cellStyle name="Normal 19 2 2 4 4 2 2" xfId="30170"/>
    <cellStyle name="Normal 19 2 2 4 4 2 2 2" xfId="30171"/>
    <cellStyle name="Normal 19 2 2 4 4 2 3" xfId="30172"/>
    <cellStyle name="Normal 19 2 2 4 4 3" xfId="30173"/>
    <cellStyle name="Normal 19 2 2 4 4 3 2" xfId="30174"/>
    <cellStyle name="Normal 19 2 2 4 4 4" xfId="30175"/>
    <cellStyle name="Normal 19 2 2 4 5" xfId="30176"/>
    <cellStyle name="Normal 19 2 2 4 5 2" xfId="30177"/>
    <cellStyle name="Normal 19 2 2 4 5 2 2" xfId="30178"/>
    <cellStyle name="Normal 19 2 2 4 5 3" xfId="30179"/>
    <cellStyle name="Normal 19 2 2 4 6" xfId="30180"/>
    <cellStyle name="Normal 19 2 2 4 6 2" xfId="30181"/>
    <cellStyle name="Normal 19 2 2 4 7" xfId="30182"/>
    <cellStyle name="Normal 19 2 2 5" xfId="17709"/>
    <cellStyle name="Normal 19 2 2 5 2" xfId="17710"/>
    <cellStyle name="Normal 19 2 2 5 2 2" xfId="17711"/>
    <cellStyle name="Normal 19 2 2 5 2 2 2" xfId="30183"/>
    <cellStyle name="Normal 19 2 2 5 2 2 2 2" xfId="30184"/>
    <cellStyle name="Normal 19 2 2 5 2 2 2 2 2" xfId="30185"/>
    <cellStyle name="Normal 19 2 2 5 2 2 2 3" xfId="30186"/>
    <cellStyle name="Normal 19 2 2 5 2 2 3" xfId="30187"/>
    <cellStyle name="Normal 19 2 2 5 2 2 3 2" xfId="30188"/>
    <cellStyle name="Normal 19 2 2 5 2 2 4" xfId="30189"/>
    <cellStyle name="Normal 19 2 2 5 2 3" xfId="30190"/>
    <cellStyle name="Normal 19 2 2 5 2 3 2" xfId="30191"/>
    <cellStyle name="Normal 19 2 2 5 2 3 2 2" xfId="30192"/>
    <cellStyle name="Normal 19 2 2 5 2 3 3" xfId="30193"/>
    <cellStyle name="Normal 19 2 2 5 2 4" xfId="30194"/>
    <cellStyle name="Normal 19 2 2 5 2 4 2" xfId="30195"/>
    <cellStyle name="Normal 19 2 2 5 2 5" xfId="30196"/>
    <cellStyle name="Normal 19 2 2 5 3" xfId="17712"/>
    <cellStyle name="Normal 19 2 2 5 3 2" xfId="30197"/>
    <cellStyle name="Normal 19 2 2 5 3 2 2" xfId="30198"/>
    <cellStyle name="Normal 19 2 2 5 3 2 2 2" xfId="30199"/>
    <cellStyle name="Normal 19 2 2 5 3 2 3" xfId="30200"/>
    <cellStyle name="Normal 19 2 2 5 3 3" xfId="30201"/>
    <cellStyle name="Normal 19 2 2 5 3 3 2" xfId="30202"/>
    <cellStyle name="Normal 19 2 2 5 3 4" xfId="30203"/>
    <cellStyle name="Normal 19 2 2 5 4" xfId="30204"/>
    <cellStyle name="Normal 19 2 2 5 4 2" xfId="30205"/>
    <cellStyle name="Normal 19 2 2 5 4 2 2" xfId="30206"/>
    <cellStyle name="Normal 19 2 2 5 4 3" xfId="30207"/>
    <cellStyle name="Normal 19 2 2 5 5" xfId="30208"/>
    <cellStyle name="Normal 19 2 2 5 5 2" xfId="30209"/>
    <cellStyle name="Normal 19 2 2 5 6" xfId="30210"/>
    <cellStyle name="Normal 19 2 2 6" xfId="17713"/>
    <cellStyle name="Normal 19 2 2 6 2" xfId="17714"/>
    <cellStyle name="Normal 19 2 2 6 2 2" xfId="30211"/>
    <cellStyle name="Normal 19 2 2 6 2 2 2" xfId="30212"/>
    <cellStyle name="Normal 19 2 2 6 2 2 2 2" xfId="30213"/>
    <cellStyle name="Normal 19 2 2 6 2 2 3" xfId="30214"/>
    <cellStyle name="Normal 19 2 2 6 2 3" xfId="30215"/>
    <cellStyle name="Normal 19 2 2 6 2 3 2" xfId="30216"/>
    <cellStyle name="Normal 19 2 2 6 2 4" xfId="30217"/>
    <cellStyle name="Normal 19 2 2 6 3" xfId="30218"/>
    <cellStyle name="Normal 19 2 2 6 3 2" xfId="30219"/>
    <cellStyle name="Normal 19 2 2 6 3 2 2" xfId="30220"/>
    <cellStyle name="Normal 19 2 2 6 3 3" xfId="30221"/>
    <cellStyle name="Normal 19 2 2 6 4" xfId="30222"/>
    <cellStyle name="Normal 19 2 2 6 4 2" xfId="30223"/>
    <cellStyle name="Normal 19 2 2 6 5" xfId="30224"/>
    <cellStyle name="Normal 19 2 2 7" xfId="17715"/>
    <cellStyle name="Normal 19 2 2 7 2" xfId="30225"/>
    <cellStyle name="Normal 19 2 2 7 2 2" xfId="30226"/>
    <cellStyle name="Normal 19 2 2 7 2 2 2" xfId="30227"/>
    <cellStyle name="Normal 19 2 2 7 2 3" xfId="30228"/>
    <cellStyle name="Normal 19 2 2 7 3" xfId="30229"/>
    <cellStyle name="Normal 19 2 2 7 3 2" xfId="30230"/>
    <cellStyle name="Normal 19 2 2 7 4" xfId="30231"/>
    <cellStyle name="Normal 19 2 2 8" xfId="30232"/>
    <cellStyle name="Normal 19 2 2 8 2" xfId="30233"/>
    <cellStyle name="Normal 19 2 2 8 2 2" xfId="30234"/>
    <cellStyle name="Normal 19 2 2 8 3" xfId="30235"/>
    <cellStyle name="Normal 19 2 2 9" xfId="30236"/>
    <cellStyle name="Normal 19 2 2 9 2" xfId="30237"/>
    <cellStyle name="Normal 19 2 3" xfId="17716"/>
    <cellStyle name="Normal 19 2 3 2" xfId="17717"/>
    <cellStyle name="Normal 19 2 3 2 2" xfId="17718"/>
    <cellStyle name="Normal 19 2 3 2 2 2" xfId="17719"/>
    <cellStyle name="Normal 19 2 3 2 2 2 2" xfId="17720"/>
    <cellStyle name="Normal 19 2 3 2 2 2 2 2" xfId="30238"/>
    <cellStyle name="Normal 19 2 3 2 2 2 2 2 2" xfId="30239"/>
    <cellStyle name="Normal 19 2 3 2 2 2 2 2 2 2" xfId="30240"/>
    <cellStyle name="Normal 19 2 3 2 2 2 2 2 3" xfId="30241"/>
    <cellStyle name="Normal 19 2 3 2 2 2 2 3" xfId="30242"/>
    <cellStyle name="Normal 19 2 3 2 2 2 2 3 2" xfId="30243"/>
    <cellStyle name="Normal 19 2 3 2 2 2 2 4" xfId="30244"/>
    <cellStyle name="Normal 19 2 3 2 2 2 3" xfId="30245"/>
    <cellStyle name="Normal 19 2 3 2 2 2 3 2" xfId="30246"/>
    <cellStyle name="Normal 19 2 3 2 2 2 3 2 2" xfId="30247"/>
    <cellStyle name="Normal 19 2 3 2 2 2 3 3" xfId="30248"/>
    <cellStyle name="Normal 19 2 3 2 2 2 4" xfId="30249"/>
    <cellStyle name="Normal 19 2 3 2 2 2 4 2" xfId="30250"/>
    <cellStyle name="Normal 19 2 3 2 2 2 5" xfId="30251"/>
    <cellStyle name="Normal 19 2 3 2 2 3" xfId="17721"/>
    <cellStyle name="Normal 19 2 3 2 2 3 2" xfId="30252"/>
    <cellStyle name="Normal 19 2 3 2 2 3 2 2" xfId="30253"/>
    <cellStyle name="Normal 19 2 3 2 2 3 2 2 2" xfId="30254"/>
    <cellStyle name="Normal 19 2 3 2 2 3 2 3" xfId="30255"/>
    <cellStyle name="Normal 19 2 3 2 2 3 3" xfId="30256"/>
    <cellStyle name="Normal 19 2 3 2 2 3 3 2" xfId="30257"/>
    <cellStyle name="Normal 19 2 3 2 2 3 4" xfId="30258"/>
    <cellStyle name="Normal 19 2 3 2 2 4" xfId="30259"/>
    <cellStyle name="Normal 19 2 3 2 2 4 2" xfId="30260"/>
    <cellStyle name="Normal 19 2 3 2 2 4 2 2" xfId="30261"/>
    <cellStyle name="Normal 19 2 3 2 2 4 3" xfId="30262"/>
    <cellStyle name="Normal 19 2 3 2 2 5" xfId="30263"/>
    <cellStyle name="Normal 19 2 3 2 2 5 2" xfId="30264"/>
    <cellStyle name="Normal 19 2 3 2 2 6" xfId="30265"/>
    <cellStyle name="Normal 19 2 3 2 3" xfId="17722"/>
    <cellStyle name="Normal 19 2 3 2 3 2" xfId="17723"/>
    <cellStyle name="Normal 19 2 3 2 3 2 2" xfId="30266"/>
    <cellStyle name="Normal 19 2 3 2 3 2 2 2" xfId="30267"/>
    <cellStyle name="Normal 19 2 3 2 3 2 2 2 2" xfId="30268"/>
    <cellStyle name="Normal 19 2 3 2 3 2 2 3" xfId="30269"/>
    <cellStyle name="Normal 19 2 3 2 3 2 3" xfId="30270"/>
    <cellStyle name="Normal 19 2 3 2 3 2 3 2" xfId="30271"/>
    <cellStyle name="Normal 19 2 3 2 3 2 4" xfId="30272"/>
    <cellStyle name="Normal 19 2 3 2 3 3" xfId="30273"/>
    <cellStyle name="Normal 19 2 3 2 3 3 2" xfId="30274"/>
    <cellStyle name="Normal 19 2 3 2 3 3 2 2" xfId="30275"/>
    <cellStyle name="Normal 19 2 3 2 3 3 3" xfId="30276"/>
    <cellStyle name="Normal 19 2 3 2 3 4" xfId="30277"/>
    <cellStyle name="Normal 19 2 3 2 3 4 2" xfId="30278"/>
    <cellStyle name="Normal 19 2 3 2 3 5" xfId="30279"/>
    <cellStyle name="Normal 19 2 3 2 4" xfId="17724"/>
    <cellStyle name="Normal 19 2 3 2 4 2" xfId="30280"/>
    <cellStyle name="Normal 19 2 3 2 4 2 2" xfId="30281"/>
    <cellStyle name="Normal 19 2 3 2 4 2 2 2" xfId="30282"/>
    <cellStyle name="Normal 19 2 3 2 4 2 3" xfId="30283"/>
    <cellStyle name="Normal 19 2 3 2 4 3" xfId="30284"/>
    <cellStyle name="Normal 19 2 3 2 4 3 2" xfId="30285"/>
    <cellStyle name="Normal 19 2 3 2 4 4" xfId="30286"/>
    <cellStyle name="Normal 19 2 3 2 5" xfId="30287"/>
    <cellStyle name="Normal 19 2 3 2 5 2" xfId="30288"/>
    <cellStyle name="Normal 19 2 3 2 5 2 2" xfId="30289"/>
    <cellStyle name="Normal 19 2 3 2 5 3" xfId="30290"/>
    <cellStyle name="Normal 19 2 3 2 6" xfId="30291"/>
    <cellStyle name="Normal 19 2 3 2 6 2" xfId="30292"/>
    <cellStyle name="Normal 19 2 3 2 7" xfId="30293"/>
    <cellStyle name="Normal 19 2 3 3" xfId="17725"/>
    <cellStyle name="Normal 19 2 3 3 2" xfId="17726"/>
    <cellStyle name="Normal 19 2 3 3 2 2" xfId="17727"/>
    <cellStyle name="Normal 19 2 3 3 2 2 2" xfId="30294"/>
    <cellStyle name="Normal 19 2 3 3 2 2 2 2" xfId="30295"/>
    <cellStyle name="Normal 19 2 3 3 2 2 2 2 2" xfId="30296"/>
    <cellStyle name="Normal 19 2 3 3 2 2 2 3" xfId="30297"/>
    <cellStyle name="Normal 19 2 3 3 2 2 3" xfId="30298"/>
    <cellStyle name="Normal 19 2 3 3 2 2 3 2" xfId="30299"/>
    <cellStyle name="Normal 19 2 3 3 2 2 4" xfId="30300"/>
    <cellStyle name="Normal 19 2 3 3 2 3" xfId="30301"/>
    <cellStyle name="Normal 19 2 3 3 2 3 2" xfId="30302"/>
    <cellStyle name="Normal 19 2 3 3 2 3 2 2" xfId="30303"/>
    <cellStyle name="Normal 19 2 3 3 2 3 3" xfId="30304"/>
    <cellStyle name="Normal 19 2 3 3 2 4" xfId="30305"/>
    <cellStyle name="Normal 19 2 3 3 2 4 2" xfId="30306"/>
    <cellStyle name="Normal 19 2 3 3 2 5" xfId="30307"/>
    <cellStyle name="Normal 19 2 3 3 3" xfId="17728"/>
    <cellStyle name="Normal 19 2 3 3 3 2" xfId="30308"/>
    <cellStyle name="Normal 19 2 3 3 3 2 2" xfId="30309"/>
    <cellStyle name="Normal 19 2 3 3 3 2 2 2" xfId="30310"/>
    <cellStyle name="Normal 19 2 3 3 3 2 3" xfId="30311"/>
    <cellStyle name="Normal 19 2 3 3 3 3" xfId="30312"/>
    <cellStyle name="Normal 19 2 3 3 3 3 2" xfId="30313"/>
    <cellStyle name="Normal 19 2 3 3 3 4" xfId="30314"/>
    <cellStyle name="Normal 19 2 3 3 4" xfId="30315"/>
    <cellStyle name="Normal 19 2 3 3 4 2" xfId="30316"/>
    <cellStyle name="Normal 19 2 3 3 4 2 2" xfId="30317"/>
    <cellStyle name="Normal 19 2 3 3 4 3" xfId="30318"/>
    <cellStyle name="Normal 19 2 3 3 5" xfId="30319"/>
    <cellStyle name="Normal 19 2 3 3 5 2" xfId="30320"/>
    <cellStyle name="Normal 19 2 3 3 6" xfId="30321"/>
    <cellStyle name="Normal 19 2 3 4" xfId="17729"/>
    <cellStyle name="Normal 19 2 3 4 2" xfId="17730"/>
    <cellStyle name="Normal 19 2 3 4 2 2" xfId="30322"/>
    <cellStyle name="Normal 19 2 3 4 2 2 2" xfId="30323"/>
    <cellStyle name="Normal 19 2 3 4 2 2 2 2" xfId="30324"/>
    <cellStyle name="Normal 19 2 3 4 2 2 3" xfId="30325"/>
    <cellStyle name="Normal 19 2 3 4 2 3" xfId="30326"/>
    <cellStyle name="Normal 19 2 3 4 2 3 2" xfId="30327"/>
    <cellStyle name="Normal 19 2 3 4 2 4" xfId="30328"/>
    <cellStyle name="Normal 19 2 3 4 3" xfId="30329"/>
    <cellStyle name="Normal 19 2 3 4 3 2" xfId="30330"/>
    <cellStyle name="Normal 19 2 3 4 3 2 2" xfId="30331"/>
    <cellStyle name="Normal 19 2 3 4 3 3" xfId="30332"/>
    <cellStyle name="Normal 19 2 3 4 4" xfId="30333"/>
    <cellStyle name="Normal 19 2 3 4 4 2" xfId="30334"/>
    <cellStyle name="Normal 19 2 3 4 5" xfId="30335"/>
    <cellStyle name="Normal 19 2 3 5" xfId="17731"/>
    <cellStyle name="Normal 19 2 3 5 2" xfId="30336"/>
    <cellStyle name="Normal 19 2 3 5 2 2" xfId="30337"/>
    <cellStyle name="Normal 19 2 3 5 2 2 2" xfId="30338"/>
    <cellStyle name="Normal 19 2 3 5 2 3" xfId="30339"/>
    <cellStyle name="Normal 19 2 3 5 3" xfId="30340"/>
    <cellStyle name="Normal 19 2 3 5 3 2" xfId="30341"/>
    <cellStyle name="Normal 19 2 3 5 4" xfId="30342"/>
    <cellStyle name="Normal 19 2 3 6" xfId="30343"/>
    <cellStyle name="Normal 19 2 3 6 2" xfId="30344"/>
    <cellStyle name="Normal 19 2 3 6 2 2" xfId="30345"/>
    <cellStyle name="Normal 19 2 3 6 3" xfId="30346"/>
    <cellStyle name="Normal 19 2 3 7" xfId="30347"/>
    <cellStyle name="Normal 19 2 3 7 2" xfId="30348"/>
    <cellStyle name="Normal 19 2 3 8" xfId="30349"/>
    <cellStyle name="Normal 19 2 4" xfId="17732"/>
    <cellStyle name="Normal 19 2 4 2" xfId="17733"/>
    <cellStyle name="Normal 19 2 4 2 2" xfId="17734"/>
    <cellStyle name="Normal 19 2 4 2 2 2" xfId="17735"/>
    <cellStyle name="Normal 19 2 4 2 2 2 2" xfId="30350"/>
    <cellStyle name="Normal 19 2 4 2 2 2 2 2" xfId="30351"/>
    <cellStyle name="Normal 19 2 4 2 2 2 2 2 2" xfId="30352"/>
    <cellStyle name="Normal 19 2 4 2 2 2 2 3" xfId="30353"/>
    <cellStyle name="Normal 19 2 4 2 2 2 3" xfId="30354"/>
    <cellStyle name="Normal 19 2 4 2 2 2 3 2" xfId="30355"/>
    <cellStyle name="Normal 19 2 4 2 2 2 4" xfId="30356"/>
    <cellStyle name="Normal 19 2 4 2 2 3" xfId="30357"/>
    <cellStyle name="Normal 19 2 4 2 2 3 2" xfId="30358"/>
    <cellStyle name="Normal 19 2 4 2 2 3 2 2" xfId="30359"/>
    <cellStyle name="Normal 19 2 4 2 2 3 3" xfId="30360"/>
    <cellStyle name="Normal 19 2 4 2 2 4" xfId="30361"/>
    <cellStyle name="Normal 19 2 4 2 2 4 2" xfId="30362"/>
    <cellStyle name="Normal 19 2 4 2 2 5" xfId="30363"/>
    <cellStyle name="Normal 19 2 4 2 3" xfId="17736"/>
    <cellStyle name="Normal 19 2 4 2 3 2" xfId="30364"/>
    <cellStyle name="Normal 19 2 4 2 3 2 2" xfId="30365"/>
    <cellStyle name="Normal 19 2 4 2 3 2 2 2" xfId="30366"/>
    <cellStyle name="Normal 19 2 4 2 3 2 3" xfId="30367"/>
    <cellStyle name="Normal 19 2 4 2 3 3" xfId="30368"/>
    <cellStyle name="Normal 19 2 4 2 3 3 2" xfId="30369"/>
    <cellStyle name="Normal 19 2 4 2 3 4" xfId="30370"/>
    <cellStyle name="Normal 19 2 4 2 4" xfId="30371"/>
    <cellStyle name="Normal 19 2 4 2 4 2" xfId="30372"/>
    <cellStyle name="Normal 19 2 4 2 4 2 2" xfId="30373"/>
    <cellStyle name="Normal 19 2 4 2 4 3" xfId="30374"/>
    <cellStyle name="Normal 19 2 4 2 5" xfId="30375"/>
    <cellStyle name="Normal 19 2 4 2 5 2" xfId="30376"/>
    <cellStyle name="Normal 19 2 4 2 6" xfId="30377"/>
    <cellStyle name="Normal 19 2 4 3" xfId="17737"/>
    <cellStyle name="Normal 19 2 4 3 2" xfId="17738"/>
    <cellStyle name="Normal 19 2 4 3 2 2" xfId="30378"/>
    <cellStyle name="Normal 19 2 4 3 2 2 2" xfId="30379"/>
    <cellStyle name="Normal 19 2 4 3 2 2 2 2" xfId="30380"/>
    <cellStyle name="Normal 19 2 4 3 2 2 3" xfId="30381"/>
    <cellStyle name="Normal 19 2 4 3 2 3" xfId="30382"/>
    <cellStyle name="Normal 19 2 4 3 2 3 2" xfId="30383"/>
    <cellStyle name="Normal 19 2 4 3 2 4" xfId="30384"/>
    <cellStyle name="Normal 19 2 4 3 3" xfId="30385"/>
    <cellStyle name="Normal 19 2 4 3 3 2" xfId="30386"/>
    <cellStyle name="Normal 19 2 4 3 3 2 2" xfId="30387"/>
    <cellStyle name="Normal 19 2 4 3 3 3" xfId="30388"/>
    <cellStyle name="Normal 19 2 4 3 4" xfId="30389"/>
    <cellStyle name="Normal 19 2 4 3 4 2" xfId="30390"/>
    <cellStyle name="Normal 19 2 4 3 5" xfId="30391"/>
    <cellStyle name="Normal 19 2 4 4" xfId="17739"/>
    <cellStyle name="Normal 19 2 4 4 2" xfId="30392"/>
    <cellStyle name="Normal 19 2 4 4 2 2" xfId="30393"/>
    <cellStyle name="Normal 19 2 4 4 2 2 2" xfId="30394"/>
    <cellStyle name="Normal 19 2 4 4 2 3" xfId="30395"/>
    <cellStyle name="Normal 19 2 4 4 3" xfId="30396"/>
    <cellStyle name="Normal 19 2 4 4 3 2" xfId="30397"/>
    <cellStyle name="Normal 19 2 4 4 4" xfId="30398"/>
    <cellStyle name="Normal 19 2 4 5" xfId="30399"/>
    <cellStyle name="Normal 19 2 4 5 2" xfId="30400"/>
    <cellStyle name="Normal 19 2 4 5 2 2" xfId="30401"/>
    <cellStyle name="Normal 19 2 4 5 3" xfId="30402"/>
    <cellStyle name="Normal 19 2 4 6" xfId="30403"/>
    <cellStyle name="Normal 19 2 4 6 2" xfId="30404"/>
    <cellStyle name="Normal 19 2 4 7" xfId="30405"/>
    <cellStyle name="Normal 19 2 5" xfId="17740"/>
    <cellStyle name="Normal 19 2 5 2" xfId="17741"/>
    <cellStyle name="Normal 19 2 5 2 2" xfId="17742"/>
    <cellStyle name="Normal 19 2 5 2 2 2" xfId="30406"/>
    <cellStyle name="Normal 19 2 5 2 2 2 2" xfId="30407"/>
    <cellStyle name="Normal 19 2 5 2 2 2 2 2" xfId="30408"/>
    <cellStyle name="Normal 19 2 5 2 2 2 3" xfId="30409"/>
    <cellStyle name="Normal 19 2 5 2 2 3" xfId="30410"/>
    <cellStyle name="Normal 19 2 5 2 2 3 2" xfId="30411"/>
    <cellStyle name="Normal 19 2 5 2 2 4" xfId="30412"/>
    <cellStyle name="Normal 19 2 5 2 3" xfId="30413"/>
    <cellStyle name="Normal 19 2 5 2 3 2" xfId="30414"/>
    <cellStyle name="Normal 19 2 5 2 3 2 2" xfId="30415"/>
    <cellStyle name="Normal 19 2 5 2 3 3" xfId="30416"/>
    <cellStyle name="Normal 19 2 5 2 4" xfId="30417"/>
    <cellStyle name="Normal 19 2 5 2 4 2" xfId="30418"/>
    <cellStyle name="Normal 19 2 5 2 5" xfId="30419"/>
    <cellStyle name="Normal 19 2 5 3" xfId="17743"/>
    <cellStyle name="Normal 19 2 5 3 2" xfId="30420"/>
    <cellStyle name="Normal 19 2 5 3 2 2" xfId="30421"/>
    <cellStyle name="Normal 19 2 5 3 2 2 2" xfId="30422"/>
    <cellStyle name="Normal 19 2 5 3 2 3" xfId="30423"/>
    <cellStyle name="Normal 19 2 5 3 3" xfId="30424"/>
    <cellStyle name="Normal 19 2 5 3 3 2" xfId="30425"/>
    <cellStyle name="Normal 19 2 5 3 4" xfId="30426"/>
    <cellStyle name="Normal 19 2 5 4" xfId="30427"/>
    <cellStyle name="Normal 19 2 5 4 2" xfId="30428"/>
    <cellStyle name="Normal 19 2 5 4 2 2" xfId="30429"/>
    <cellStyle name="Normal 19 2 5 4 3" xfId="30430"/>
    <cellStyle name="Normal 19 2 5 5" xfId="30431"/>
    <cellStyle name="Normal 19 2 5 5 2" xfId="30432"/>
    <cellStyle name="Normal 19 2 5 6" xfId="30433"/>
    <cellStyle name="Normal 19 2 6" xfId="17744"/>
    <cellStyle name="Normal 19 2 6 2" xfId="17745"/>
    <cellStyle name="Normal 19 2 6 2 2" xfId="30434"/>
    <cellStyle name="Normal 19 2 6 2 2 2" xfId="30435"/>
    <cellStyle name="Normal 19 2 6 2 2 2 2" xfId="30436"/>
    <cellStyle name="Normal 19 2 6 2 2 3" xfId="30437"/>
    <cellStyle name="Normal 19 2 6 2 3" xfId="30438"/>
    <cellStyle name="Normal 19 2 6 2 3 2" xfId="30439"/>
    <cellStyle name="Normal 19 2 6 2 4" xfId="30440"/>
    <cellStyle name="Normal 19 2 6 3" xfId="30441"/>
    <cellStyle name="Normal 19 2 6 3 2" xfId="30442"/>
    <cellStyle name="Normal 19 2 6 3 2 2" xfId="30443"/>
    <cellStyle name="Normal 19 2 6 3 3" xfId="30444"/>
    <cellStyle name="Normal 19 2 6 4" xfId="30445"/>
    <cellStyle name="Normal 19 2 6 4 2" xfId="30446"/>
    <cellStyle name="Normal 19 2 6 5" xfId="30447"/>
    <cellStyle name="Normal 19 2 7" xfId="17746"/>
    <cellStyle name="Normal 19 2 7 2" xfId="30448"/>
    <cellStyle name="Normal 19 2 7 2 2" xfId="30449"/>
    <cellStyle name="Normal 19 2 7 2 2 2" xfId="30450"/>
    <cellStyle name="Normal 19 2 7 2 3" xfId="30451"/>
    <cellStyle name="Normal 19 2 7 3" xfId="30452"/>
    <cellStyle name="Normal 19 2 7 3 2" xfId="30453"/>
    <cellStyle name="Normal 19 2 7 4" xfId="30454"/>
    <cellStyle name="Normal 19 2 8" xfId="30455"/>
    <cellStyle name="Normal 19 2 8 2" xfId="30456"/>
    <cellStyle name="Normal 19 2 8 2 2" xfId="30457"/>
    <cellStyle name="Normal 19 2 8 3" xfId="30458"/>
    <cellStyle name="Normal 19 2 9" xfId="30459"/>
    <cellStyle name="Normal 19 2 9 2" xfId="30460"/>
    <cellStyle name="Normal 19 3" xfId="9700"/>
    <cellStyle name="Normal 19 3 2" xfId="17747"/>
    <cellStyle name="Normal 19 3 2 2" xfId="17748"/>
    <cellStyle name="Normal 19 3 2 2 2" xfId="17749"/>
    <cellStyle name="Normal 19 3 2 2 2 2" xfId="17750"/>
    <cellStyle name="Normal 19 3 2 2 2 2 2" xfId="30461"/>
    <cellStyle name="Normal 19 3 2 2 2 2 2 2" xfId="30462"/>
    <cellStyle name="Normal 19 3 2 2 2 2 2 2 2" xfId="30463"/>
    <cellStyle name="Normal 19 3 2 2 2 2 2 3" xfId="30464"/>
    <cellStyle name="Normal 19 3 2 2 2 2 3" xfId="30465"/>
    <cellStyle name="Normal 19 3 2 2 2 2 3 2" xfId="30466"/>
    <cellStyle name="Normal 19 3 2 2 2 2 4" xfId="30467"/>
    <cellStyle name="Normal 19 3 2 2 2 3" xfId="30468"/>
    <cellStyle name="Normal 19 3 2 2 2 3 2" xfId="30469"/>
    <cellStyle name="Normal 19 3 2 2 2 3 2 2" xfId="30470"/>
    <cellStyle name="Normal 19 3 2 2 2 3 3" xfId="30471"/>
    <cellStyle name="Normal 19 3 2 2 2 4" xfId="30472"/>
    <cellStyle name="Normal 19 3 2 2 2 4 2" xfId="30473"/>
    <cellStyle name="Normal 19 3 2 2 2 5" xfId="30474"/>
    <cellStyle name="Normal 19 3 2 2 3" xfId="17751"/>
    <cellStyle name="Normal 19 3 2 2 3 2" xfId="30475"/>
    <cellStyle name="Normal 19 3 2 2 3 2 2" xfId="30476"/>
    <cellStyle name="Normal 19 3 2 2 3 2 2 2" xfId="30477"/>
    <cellStyle name="Normal 19 3 2 2 3 2 3" xfId="30478"/>
    <cellStyle name="Normal 19 3 2 2 3 3" xfId="30479"/>
    <cellStyle name="Normal 19 3 2 2 3 3 2" xfId="30480"/>
    <cellStyle name="Normal 19 3 2 2 3 4" xfId="30481"/>
    <cellStyle name="Normal 19 3 2 2 4" xfId="30482"/>
    <cellStyle name="Normal 19 3 2 2 4 2" xfId="30483"/>
    <cellStyle name="Normal 19 3 2 2 4 2 2" xfId="30484"/>
    <cellStyle name="Normal 19 3 2 2 4 3" xfId="30485"/>
    <cellStyle name="Normal 19 3 2 2 5" xfId="30486"/>
    <cellStyle name="Normal 19 3 2 2 5 2" xfId="30487"/>
    <cellStyle name="Normal 19 3 2 2 6" xfId="30488"/>
    <cellStyle name="Normal 19 3 2 3" xfId="17752"/>
    <cellStyle name="Normal 19 3 2 3 2" xfId="17753"/>
    <cellStyle name="Normal 19 3 2 3 2 2" xfId="30489"/>
    <cellStyle name="Normal 19 3 2 3 2 2 2" xfId="30490"/>
    <cellStyle name="Normal 19 3 2 3 2 2 2 2" xfId="30491"/>
    <cellStyle name="Normal 19 3 2 3 2 2 3" xfId="30492"/>
    <cellStyle name="Normal 19 3 2 3 2 3" xfId="30493"/>
    <cellStyle name="Normal 19 3 2 3 2 3 2" xfId="30494"/>
    <cellStyle name="Normal 19 3 2 3 2 4" xfId="30495"/>
    <cellStyle name="Normal 19 3 2 3 3" xfId="30496"/>
    <cellStyle name="Normal 19 3 2 3 3 2" xfId="30497"/>
    <cellStyle name="Normal 19 3 2 3 3 2 2" xfId="30498"/>
    <cellStyle name="Normal 19 3 2 3 3 3" xfId="30499"/>
    <cellStyle name="Normal 19 3 2 3 4" xfId="30500"/>
    <cellStyle name="Normal 19 3 2 3 4 2" xfId="30501"/>
    <cellStyle name="Normal 19 3 2 3 5" xfId="30502"/>
    <cellStyle name="Normal 19 3 2 4" xfId="17754"/>
    <cellStyle name="Normal 19 3 2 4 2" xfId="30503"/>
    <cellStyle name="Normal 19 3 2 4 2 2" xfId="30504"/>
    <cellStyle name="Normal 19 3 2 4 2 2 2" xfId="30505"/>
    <cellStyle name="Normal 19 3 2 4 2 3" xfId="30506"/>
    <cellStyle name="Normal 19 3 2 4 3" xfId="30507"/>
    <cellStyle name="Normal 19 3 2 4 3 2" xfId="30508"/>
    <cellStyle name="Normal 19 3 2 4 4" xfId="30509"/>
    <cellStyle name="Normal 19 3 2 5" xfId="30510"/>
    <cellStyle name="Normal 19 3 2 5 2" xfId="30511"/>
    <cellStyle name="Normal 19 3 2 5 2 2" xfId="30512"/>
    <cellStyle name="Normal 19 3 2 5 3" xfId="30513"/>
    <cellStyle name="Normal 19 3 2 6" xfId="30514"/>
    <cellStyle name="Normal 19 3 2 6 2" xfId="30515"/>
    <cellStyle name="Normal 19 3 2 7" xfId="30516"/>
    <cellStyle name="Normal 19 3 3" xfId="17755"/>
    <cellStyle name="Normal 19 3 3 2" xfId="17756"/>
    <cellStyle name="Normal 19 3 3 2 2" xfId="17757"/>
    <cellStyle name="Normal 19 3 3 2 2 2" xfId="30517"/>
    <cellStyle name="Normal 19 3 3 2 2 2 2" xfId="30518"/>
    <cellStyle name="Normal 19 3 3 2 2 2 2 2" xfId="30519"/>
    <cellStyle name="Normal 19 3 3 2 2 2 3" xfId="30520"/>
    <cellStyle name="Normal 19 3 3 2 2 3" xfId="30521"/>
    <cellStyle name="Normal 19 3 3 2 2 3 2" xfId="30522"/>
    <cellStyle name="Normal 19 3 3 2 2 4" xfId="30523"/>
    <cellStyle name="Normal 19 3 3 2 3" xfId="30524"/>
    <cellStyle name="Normal 19 3 3 2 3 2" xfId="30525"/>
    <cellStyle name="Normal 19 3 3 2 3 2 2" xfId="30526"/>
    <cellStyle name="Normal 19 3 3 2 3 3" xfId="30527"/>
    <cellStyle name="Normal 19 3 3 2 4" xfId="30528"/>
    <cellStyle name="Normal 19 3 3 2 4 2" xfId="30529"/>
    <cellStyle name="Normal 19 3 3 2 5" xfId="30530"/>
    <cellStyle name="Normal 19 3 3 3" xfId="17758"/>
    <cellStyle name="Normal 19 3 3 3 2" xfId="30531"/>
    <cellStyle name="Normal 19 3 3 3 2 2" xfId="30532"/>
    <cellStyle name="Normal 19 3 3 3 2 2 2" xfId="30533"/>
    <cellStyle name="Normal 19 3 3 3 2 3" xfId="30534"/>
    <cellStyle name="Normal 19 3 3 3 3" xfId="30535"/>
    <cellStyle name="Normal 19 3 3 3 3 2" xfId="30536"/>
    <cellStyle name="Normal 19 3 3 3 4" xfId="30537"/>
    <cellStyle name="Normal 19 3 3 4" xfId="30538"/>
    <cellStyle name="Normal 19 3 3 4 2" xfId="30539"/>
    <cellStyle name="Normal 19 3 3 4 2 2" xfId="30540"/>
    <cellStyle name="Normal 19 3 3 4 3" xfId="30541"/>
    <cellStyle name="Normal 19 3 3 5" xfId="30542"/>
    <cellStyle name="Normal 19 3 3 5 2" xfId="30543"/>
    <cellStyle name="Normal 19 3 3 6" xfId="30544"/>
    <cellStyle name="Normal 19 3 4" xfId="17759"/>
    <cellStyle name="Normal 19 3 4 2" xfId="17760"/>
    <cellStyle name="Normal 19 3 4 2 2" xfId="30545"/>
    <cellStyle name="Normal 19 3 4 2 2 2" xfId="30546"/>
    <cellStyle name="Normal 19 3 4 2 2 2 2" xfId="30547"/>
    <cellStyle name="Normal 19 3 4 2 2 3" xfId="30548"/>
    <cellStyle name="Normal 19 3 4 2 3" xfId="30549"/>
    <cellStyle name="Normal 19 3 4 2 3 2" xfId="30550"/>
    <cellStyle name="Normal 19 3 4 2 4" xfId="30551"/>
    <cellStyle name="Normal 19 3 4 3" xfId="30552"/>
    <cellStyle name="Normal 19 3 4 3 2" xfId="30553"/>
    <cellStyle name="Normal 19 3 4 3 2 2" xfId="30554"/>
    <cellStyle name="Normal 19 3 4 3 3" xfId="30555"/>
    <cellStyle name="Normal 19 3 4 4" xfId="30556"/>
    <cellStyle name="Normal 19 3 4 4 2" xfId="30557"/>
    <cellStyle name="Normal 19 3 4 5" xfId="30558"/>
    <cellStyle name="Normal 19 3 5" xfId="17761"/>
    <cellStyle name="Normal 19 3 5 2" xfId="30559"/>
    <cellStyle name="Normal 19 3 5 2 2" xfId="30560"/>
    <cellStyle name="Normal 19 3 5 2 2 2" xfId="30561"/>
    <cellStyle name="Normal 19 3 5 2 3" xfId="30562"/>
    <cellStyle name="Normal 19 3 5 3" xfId="30563"/>
    <cellStyle name="Normal 19 3 5 3 2" xfId="30564"/>
    <cellStyle name="Normal 19 3 5 4" xfId="30565"/>
    <cellStyle name="Normal 19 3 6" xfId="30566"/>
    <cellStyle name="Normal 19 3 6 2" xfId="30567"/>
    <cellStyle name="Normal 19 3 6 2 2" xfId="30568"/>
    <cellStyle name="Normal 19 3 6 3" xfId="30569"/>
    <cellStyle name="Normal 19 3 7" xfId="30570"/>
    <cellStyle name="Normal 19 3 7 2" xfId="30571"/>
    <cellStyle name="Normal 19 3 8" xfId="30572"/>
    <cellStyle name="Normal 19 4" xfId="9701"/>
    <cellStyle name="Normal 19 4 2" xfId="17762"/>
    <cellStyle name="Normal 19 4 2 2" xfId="17763"/>
    <cellStyle name="Normal 19 4 2 2 2" xfId="17764"/>
    <cellStyle name="Normal 19 4 2 2 2 2" xfId="17765"/>
    <cellStyle name="Normal 19 4 2 2 2 2 2" xfId="30573"/>
    <cellStyle name="Normal 19 4 2 2 2 2 2 2" xfId="30574"/>
    <cellStyle name="Normal 19 4 2 2 2 2 2 2 2" xfId="30575"/>
    <cellStyle name="Normal 19 4 2 2 2 2 2 3" xfId="30576"/>
    <cellStyle name="Normal 19 4 2 2 2 2 3" xfId="30577"/>
    <cellStyle name="Normal 19 4 2 2 2 2 3 2" xfId="30578"/>
    <cellStyle name="Normal 19 4 2 2 2 2 4" xfId="30579"/>
    <cellStyle name="Normal 19 4 2 2 2 3" xfId="30580"/>
    <cellStyle name="Normal 19 4 2 2 2 3 2" xfId="30581"/>
    <cellStyle name="Normal 19 4 2 2 2 3 2 2" xfId="30582"/>
    <cellStyle name="Normal 19 4 2 2 2 3 3" xfId="30583"/>
    <cellStyle name="Normal 19 4 2 2 2 4" xfId="30584"/>
    <cellStyle name="Normal 19 4 2 2 2 4 2" xfId="30585"/>
    <cellStyle name="Normal 19 4 2 2 2 5" xfId="30586"/>
    <cellStyle name="Normal 19 4 2 2 3" xfId="17766"/>
    <cellStyle name="Normal 19 4 2 2 3 2" xfId="30587"/>
    <cellStyle name="Normal 19 4 2 2 3 2 2" xfId="30588"/>
    <cellStyle name="Normal 19 4 2 2 3 2 2 2" xfId="30589"/>
    <cellStyle name="Normal 19 4 2 2 3 2 3" xfId="30590"/>
    <cellStyle name="Normal 19 4 2 2 3 3" xfId="30591"/>
    <cellStyle name="Normal 19 4 2 2 3 3 2" xfId="30592"/>
    <cellStyle name="Normal 19 4 2 2 3 4" xfId="30593"/>
    <cellStyle name="Normal 19 4 2 2 4" xfId="30594"/>
    <cellStyle name="Normal 19 4 2 2 4 2" xfId="30595"/>
    <cellStyle name="Normal 19 4 2 2 4 2 2" xfId="30596"/>
    <cellStyle name="Normal 19 4 2 2 4 3" xfId="30597"/>
    <cellStyle name="Normal 19 4 2 2 5" xfId="30598"/>
    <cellStyle name="Normal 19 4 2 2 5 2" xfId="30599"/>
    <cellStyle name="Normal 19 4 2 2 6" xfId="30600"/>
    <cellStyle name="Normal 19 4 2 3" xfId="17767"/>
    <cellStyle name="Normal 19 4 2 3 2" xfId="17768"/>
    <cellStyle name="Normal 19 4 2 3 2 2" xfId="30601"/>
    <cellStyle name="Normal 19 4 2 3 2 2 2" xfId="30602"/>
    <cellStyle name="Normal 19 4 2 3 2 2 2 2" xfId="30603"/>
    <cellStyle name="Normal 19 4 2 3 2 2 3" xfId="30604"/>
    <cellStyle name="Normal 19 4 2 3 2 3" xfId="30605"/>
    <cellStyle name="Normal 19 4 2 3 2 3 2" xfId="30606"/>
    <cellStyle name="Normal 19 4 2 3 2 4" xfId="30607"/>
    <cellStyle name="Normal 19 4 2 3 3" xfId="30608"/>
    <cellStyle name="Normal 19 4 2 3 3 2" xfId="30609"/>
    <cellStyle name="Normal 19 4 2 3 3 2 2" xfId="30610"/>
    <cellStyle name="Normal 19 4 2 3 3 3" xfId="30611"/>
    <cellStyle name="Normal 19 4 2 3 4" xfId="30612"/>
    <cellStyle name="Normal 19 4 2 3 4 2" xfId="30613"/>
    <cellStyle name="Normal 19 4 2 3 5" xfId="30614"/>
    <cellStyle name="Normal 19 4 2 4" xfId="17769"/>
    <cellStyle name="Normal 19 4 2 4 2" xfId="30615"/>
    <cellStyle name="Normal 19 4 2 4 2 2" xfId="30616"/>
    <cellStyle name="Normal 19 4 2 4 2 2 2" xfId="30617"/>
    <cellStyle name="Normal 19 4 2 4 2 3" xfId="30618"/>
    <cellStyle name="Normal 19 4 2 4 3" xfId="30619"/>
    <cellStyle name="Normal 19 4 2 4 3 2" xfId="30620"/>
    <cellStyle name="Normal 19 4 2 4 4" xfId="30621"/>
    <cellStyle name="Normal 19 4 2 5" xfId="30622"/>
    <cellStyle name="Normal 19 4 2 5 2" xfId="30623"/>
    <cellStyle name="Normal 19 4 2 5 2 2" xfId="30624"/>
    <cellStyle name="Normal 19 4 2 5 3" xfId="30625"/>
    <cellStyle name="Normal 19 4 2 6" xfId="30626"/>
    <cellStyle name="Normal 19 4 2 6 2" xfId="30627"/>
    <cellStyle name="Normal 19 4 2 7" xfId="30628"/>
    <cellStyle name="Normal 19 4 3" xfId="17770"/>
    <cellStyle name="Normal 19 4 3 2" xfId="17771"/>
    <cellStyle name="Normal 19 4 3 2 2" xfId="17772"/>
    <cellStyle name="Normal 19 4 3 2 2 2" xfId="30629"/>
    <cellStyle name="Normal 19 4 3 2 2 2 2" xfId="30630"/>
    <cellStyle name="Normal 19 4 3 2 2 2 2 2" xfId="30631"/>
    <cellStyle name="Normal 19 4 3 2 2 2 3" xfId="30632"/>
    <cellStyle name="Normal 19 4 3 2 2 3" xfId="30633"/>
    <cellStyle name="Normal 19 4 3 2 2 3 2" xfId="30634"/>
    <cellStyle name="Normal 19 4 3 2 2 4" xfId="30635"/>
    <cellStyle name="Normal 19 4 3 2 3" xfId="30636"/>
    <cellStyle name="Normal 19 4 3 2 3 2" xfId="30637"/>
    <cellStyle name="Normal 19 4 3 2 3 2 2" xfId="30638"/>
    <cellStyle name="Normal 19 4 3 2 3 3" xfId="30639"/>
    <cellStyle name="Normal 19 4 3 2 4" xfId="30640"/>
    <cellStyle name="Normal 19 4 3 2 4 2" xfId="30641"/>
    <cellStyle name="Normal 19 4 3 2 5" xfId="30642"/>
    <cellStyle name="Normal 19 4 3 3" xfId="17773"/>
    <cellStyle name="Normal 19 4 3 3 2" xfId="30643"/>
    <cellStyle name="Normal 19 4 3 3 2 2" xfId="30644"/>
    <cellStyle name="Normal 19 4 3 3 2 2 2" xfId="30645"/>
    <cellStyle name="Normal 19 4 3 3 2 3" xfId="30646"/>
    <cellStyle name="Normal 19 4 3 3 3" xfId="30647"/>
    <cellStyle name="Normal 19 4 3 3 3 2" xfId="30648"/>
    <cellStyle name="Normal 19 4 3 3 4" xfId="30649"/>
    <cellStyle name="Normal 19 4 3 4" xfId="30650"/>
    <cellStyle name="Normal 19 4 3 4 2" xfId="30651"/>
    <cellStyle name="Normal 19 4 3 4 2 2" xfId="30652"/>
    <cellStyle name="Normal 19 4 3 4 3" xfId="30653"/>
    <cellStyle name="Normal 19 4 3 5" xfId="30654"/>
    <cellStyle name="Normal 19 4 3 5 2" xfId="30655"/>
    <cellStyle name="Normal 19 4 3 6" xfId="30656"/>
    <cellStyle name="Normal 19 4 4" xfId="17774"/>
    <cellStyle name="Normal 19 4 4 2" xfId="17775"/>
    <cellStyle name="Normal 19 4 4 2 2" xfId="30657"/>
    <cellStyle name="Normal 19 4 4 2 2 2" xfId="30658"/>
    <cellStyle name="Normal 19 4 4 2 2 2 2" xfId="30659"/>
    <cellStyle name="Normal 19 4 4 2 2 3" xfId="30660"/>
    <cellStyle name="Normal 19 4 4 2 3" xfId="30661"/>
    <cellStyle name="Normal 19 4 4 2 3 2" xfId="30662"/>
    <cellStyle name="Normal 19 4 4 2 4" xfId="30663"/>
    <cellStyle name="Normal 19 4 4 3" xfId="30664"/>
    <cellStyle name="Normal 19 4 4 3 2" xfId="30665"/>
    <cellStyle name="Normal 19 4 4 3 2 2" xfId="30666"/>
    <cellStyle name="Normal 19 4 4 3 3" xfId="30667"/>
    <cellStyle name="Normal 19 4 4 4" xfId="30668"/>
    <cellStyle name="Normal 19 4 4 4 2" xfId="30669"/>
    <cellStyle name="Normal 19 4 4 5" xfId="30670"/>
    <cellStyle name="Normal 19 4 5" xfId="17776"/>
    <cellStyle name="Normal 19 4 5 2" xfId="30671"/>
    <cellStyle name="Normal 19 4 5 2 2" xfId="30672"/>
    <cellStyle name="Normal 19 4 5 2 2 2" xfId="30673"/>
    <cellStyle name="Normal 19 4 5 2 3" xfId="30674"/>
    <cellStyle name="Normal 19 4 5 3" xfId="30675"/>
    <cellStyle name="Normal 19 4 5 3 2" xfId="30676"/>
    <cellStyle name="Normal 19 4 5 4" xfId="30677"/>
    <cellStyle name="Normal 19 4 6" xfId="30678"/>
    <cellStyle name="Normal 19 4 6 2" xfId="30679"/>
    <cellStyle name="Normal 19 4 6 2 2" xfId="30680"/>
    <cellStyle name="Normal 19 4 6 3" xfId="30681"/>
    <cellStyle name="Normal 19 4 7" xfId="30682"/>
    <cellStyle name="Normal 19 4 7 2" xfId="30683"/>
    <cellStyle name="Normal 19 4 8" xfId="30684"/>
    <cellStyle name="Normal 19 5" xfId="9702"/>
    <cellStyle name="Normal 19 5 2" xfId="17777"/>
    <cellStyle name="Normal 19 5 2 2" xfId="17778"/>
    <cellStyle name="Normal 19 5 2 2 2" xfId="17779"/>
    <cellStyle name="Normal 19 5 2 2 2 2" xfId="30685"/>
    <cellStyle name="Normal 19 5 2 2 2 2 2" xfId="30686"/>
    <cellStyle name="Normal 19 5 2 2 2 2 2 2" xfId="30687"/>
    <cellStyle name="Normal 19 5 2 2 2 2 3" xfId="30688"/>
    <cellStyle name="Normal 19 5 2 2 2 3" xfId="30689"/>
    <cellStyle name="Normal 19 5 2 2 2 3 2" xfId="30690"/>
    <cellStyle name="Normal 19 5 2 2 2 4" xfId="30691"/>
    <cellStyle name="Normal 19 5 2 2 3" xfId="30692"/>
    <cellStyle name="Normal 19 5 2 2 3 2" xfId="30693"/>
    <cellStyle name="Normal 19 5 2 2 3 2 2" xfId="30694"/>
    <cellStyle name="Normal 19 5 2 2 3 3" xfId="30695"/>
    <cellStyle name="Normal 19 5 2 2 4" xfId="30696"/>
    <cellStyle name="Normal 19 5 2 2 4 2" xfId="30697"/>
    <cellStyle name="Normal 19 5 2 2 5" xfId="30698"/>
    <cellStyle name="Normal 19 5 2 3" xfId="17780"/>
    <cellStyle name="Normal 19 5 2 3 2" xfId="30699"/>
    <cellStyle name="Normal 19 5 2 3 2 2" xfId="30700"/>
    <cellStyle name="Normal 19 5 2 3 2 2 2" xfId="30701"/>
    <cellStyle name="Normal 19 5 2 3 2 3" xfId="30702"/>
    <cellStyle name="Normal 19 5 2 3 3" xfId="30703"/>
    <cellStyle name="Normal 19 5 2 3 3 2" xfId="30704"/>
    <cellStyle name="Normal 19 5 2 3 4" xfId="30705"/>
    <cellStyle name="Normal 19 5 2 4" xfId="30706"/>
    <cellStyle name="Normal 19 5 2 4 2" xfId="30707"/>
    <cellStyle name="Normal 19 5 2 4 2 2" xfId="30708"/>
    <cellStyle name="Normal 19 5 2 4 3" xfId="30709"/>
    <cellStyle name="Normal 19 5 2 5" xfId="30710"/>
    <cellStyle name="Normal 19 5 2 5 2" xfId="30711"/>
    <cellStyle name="Normal 19 5 2 6" xfId="30712"/>
    <cellStyle name="Normal 19 5 3" xfId="17781"/>
    <cellStyle name="Normal 19 5 3 2" xfId="17782"/>
    <cellStyle name="Normal 19 5 3 2 2" xfId="30713"/>
    <cellStyle name="Normal 19 5 3 2 2 2" xfId="30714"/>
    <cellStyle name="Normal 19 5 3 2 2 2 2" xfId="30715"/>
    <cellStyle name="Normal 19 5 3 2 2 3" xfId="30716"/>
    <cellStyle name="Normal 19 5 3 2 3" xfId="30717"/>
    <cellStyle name="Normal 19 5 3 2 3 2" xfId="30718"/>
    <cellStyle name="Normal 19 5 3 2 4" xfId="30719"/>
    <cellStyle name="Normal 19 5 3 3" xfId="30720"/>
    <cellStyle name="Normal 19 5 3 3 2" xfId="30721"/>
    <cellStyle name="Normal 19 5 3 3 2 2" xfId="30722"/>
    <cellStyle name="Normal 19 5 3 3 3" xfId="30723"/>
    <cellStyle name="Normal 19 5 3 4" xfId="30724"/>
    <cellStyle name="Normal 19 5 3 4 2" xfId="30725"/>
    <cellStyle name="Normal 19 5 3 5" xfId="30726"/>
    <cellStyle name="Normal 19 5 4" xfId="17783"/>
    <cellStyle name="Normal 19 5 4 2" xfId="30727"/>
    <cellStyle name="Normal 19 5 4 2 2" xfId="30728"/>
    <cellStyle name="Normal 19 5 4 2 2 2" xfId="30729"/>
    <cellStyle name="Normal 19 5 4 2 3" xfId="30730"/>
    <cellStyle name="Normal 19 5 4 3" xfId="30731"/>
    <cellStyle name="Normal 19 5 4 3 2" xfId="30732"/>
    <cellStyle name="Normal 19 5 4 4" xfId="30733"/>
    <cellStyle name="Normal 19 5 5" xfId="30734"/>
    <cellStyle name="Normal 19 5 5 2" xfId="30735"/>
    <cellStyle name="Normal 19 5 5 2 2" xfId="30736"/>
    <cellStyle name="Normal 19 5 5 3" xfId="30737"/>
    <cellStyle name="Normal 19 5 6" xfId="30738"/>
    <cellStyle name="Normal 19 5 6 2" xfId="30739"/>
    <cellStyle name="Normal 19 5 7" xfId="30740"/>
    <cellStyle name="Normal 19 6" xfId="17784"/>
    <cellStyle name="Normal 19 6 2" xfId="17785"/>
    <cellStyle name="Normal 19 6 2 2" xfId="17786"/>
    <cellStyle name="Normal 19 6 2 2 2" xfId="30741"/>
    <cellStyle name="Normal 19 6 2 2 2 2" xfId="30742"/>
    <cellStyle name="Normal 19 6 2 2 2 2 2" xfId="30743"/>
    <cellStyle name="Normal 19 6 2 2 2 3" xfId="30744"/>
    <cellStyle name="Normal 19 6 2 2 3" xfId="30745"/>
    <cellStyle name="Normal 19 6 2 2 3 2" xfId="30746"/>
    <cellStyle name="Normal 19 6 2 2 4" xfId="30747"/>
    <cellStyle name="Normal 19 6 2 3" xfId="30748"/>
    <cellStyle name="Normal 19 6 2 3 2" xfId="30749"/>
    <cellStyle name="Normal 19 6 2 3 2 2" xfId="30750"/>
    <cellStyle name="Normal 19 6 2 3 3" xfId="30751"/>
    <cellStyle name="Normal 19 6 2 4" xfId="30752"/>
    <cellStyle name="Normal 19 6 2 4 2" xfId="30753"/>
    <cellStyle name="Normal 19 6 2 5" xfId="30754"/>
    <cellStyle name="Normal 19 6 3" xfId="17787"/>
    <cellStyle name="Normal 19 6 3 2" xfId="30755"/>
    <cellStyle name="Normal 19 6 3 2 2" xfId="30756"/>
    <cellStyle name="Normal 19 6 3 2 2 2" xfId="30757"/>
    <cellStyle name="Normal 19 6 3 2 3" xfId="30758"/>
    <cellStyle name="Normal 19 6 3 3" xfId="30759"/>
    <cellStyle name="Normal 19 6 3 3 2" xfId="30760"/>
    <cellStyle name="Normal 19 6 3 4" xfId="30761"/>
    <cellStyle name="Normal 19 6 4" xfId="30762"/>
    <cellStyle name="Normal 19 6 4 2" xfId="30763"/>
    <cellStyle name="Normal 19 6 4 2 2" xfId="30764"/>
    <cellStyle name="Normal 19 6 4 3" xfId="30765"/>
    <cellStyle name="Normal 19 6 5" xfId="30766"/>
    <cellStyle name="Normal 19 6 5 2" xfId="30767"/>
    <cellStyle name="Normal 19 6 6" xfId="30768"/>
    <cellStyle name="Normal 19 7" xfId="17788"/>
    <cellStyle name="Normal 19 7 2" xfId="17789"/>
    <cellStyle name="Normal 19 7 2 2" xfId="30769"/>
    <cellStyle name="Normal 19 7 2 2 2" xfId="30770"/>
    <cellStyle name="Normal 19 7 2 2 2 2" xfId="30771"/>
    <cellStyle name="Normal 19 7 2 2 3" xfId="30772"/>
    <cellStyle name="Normal 19 7 2 3" xfId="30773"/>
    <cellStyle name="Normal 19 7 2 3 2" xfId="30774"/>
    <cellStyle name="Normal 19 7 2 4" xfId="30775"/>
    <cellStyle name="Normal 19 7 3" xfId="30776"/>
    <cellStyle name="Normal 19 7 3 2" xfId="30777"/>
    <cellStyle name="Normal 19 7 3 2 2" xfId="30778"/>
    <cellStyle name="Normal 19 7 3 3" xfId="30779"/>
    <cellStyle name="Normal 19 7 4" xfId="30780"/>
    <cellStyle name="Normal 19 7 4 2" xfId="30781"/>
    <cellStyle name="Normal 19 7 5" xfId="30782"/>
    <cellStyle name="Normal 19 8" xfId="17790"/>
    <cellStyle name="Normal 19 8 2" xfId="30783"/>
    <cellStyle name="Normal 19 8 2 2" xfId="30784"/>
    <cellStyle name="Normal 19 8 2 2 2" xfId="30785"/>
    <cellStyle name="Normal 19 8 2 3" xfId="30786"/>
    <cellStyle name="Normal 19 8 3" xfId="30787"/>
    <cellStyle name="Normal 19 8 3 2" xfId="30788"/>
    <cellStyle name="Normal 19 8 4" xfId="30789"/>
    <cellStyle name="Normal 19 9" xfId="30790"/>
    <cellStyle name="Normal 19 9 2" xfId="30791"/>
    <cellStyle name="Normal 19 9 2 2" xfId="30792"/>
    <cellStyle name="Normal 19 9 3" xfId="30793"/>
    <cellStyle name="Normal 190" xfId="30794"/>
    <cellStyle name="Normal 190 2" xfId="30795"/>
    <cellStyle name="Normal 190 2 2" xfId="30796"/>
    <cellStyle name="Normal 190 2 2 2" xfId="30797"/>
    <cellStyle name="Normal 190 2 3" xfId="30798"/>
    <cellStyle name="Normal 190 3" xfId="30799"/>
    <cellStyle name="Normal 190 3 2" xfId="30800"/>
    <cellStyle name="Normal 190 4" xfId="30801"/>
    <cellStyle name="Normal 191" xfId="16668"/>
    <cellStyle name="Normal 191 2" xfId="19316"/>
    <cellStyle name="Normal 191 2 2" xfId="30802"/>
    <cellStyle name="Normal 191 2 2 2" xfId="30803"/>
    <cellStyle name="Normal 191 2 3" xfId="30804"/>
    <cellStyle name="Normal 191 3" xfId="30805"/>
    <cellStyle name="Normal 191 3 2" xfId="30806"/>
    <cellStyle name="Normal 191 4" xfId="30807"/>
    <cellStyle name="Normal 192" xfId="30808"/>
    <cellStyle name="Normal 192 2" xfId="30809"/>
    <cellStyle name="Normal 193" xfId="30810"/>
    <cellStyle name="Normal 193 2" xfId="30811"/>
    <cellStyle name="Normal 193 2 2" xfId="30812"/>
    <cellStyle name="Normal 193 2 2 2" xfId="30813"/>
    <cellStyle name="Normal 193 2 3" xfId="30814"/>
    <cellStyle name="Normal 193 3" xfId="30815"/>
    <cellStyle name="Normal 193 3 2" xfId="30816"/>
    <cellStyle name="Normal 193 4" xfId="30817"/>
    <cellStyle name="Normal 194" xfId="30818"/>
    <cellStyle name="Normal 194 2" xfId="30819"/>
    <cellStyle name="Normal 194 2 2" xfId="30820"/>
    <cellStyle name="Normal 194 2 2 2" xfId="30821"/>
    <cellStyle name="Normal 194 2 3" xfId="30822"/>
    <cellStyle name="Normal 194 3" xfId="30823"/>
    <cellStyle name="Normal 194 3 2" xfId="30824"/>
    <cellStyle name="Normal 194 4" xfId="30825"/>
    <cellStyle name="Normal 195" xfId="30826"/>
    <cellStyle name="Normal 195 2" xfId="30827"/>
    <cellStyle name="Normal 196" xfId="30828"/>
    <cellStyle name="Normal 196 2" xfId="30829"/>
    <cellStyle name="Normal 196 2 2" xfId="30830"/>
    <cellStyle name="Normal 196 2 2 2" xfId="30831"/>
    <cellStyle name="Normal 196 2 3" xfId="30832"/>
    <cellStyle name="Normal 196 3" xfId="30833"/>
    <cellStyle name="Normal 196 3 2" xfId="30834"/>
    <cellStyle name="Normal 196 4" xfId="30835"/>
    <cellStyle name="Normal 197" xfId="30836"/>
    <cellStyle name="Normal 197 2" xfId="30837"/>
    <cellStyle name="Normal 197 2 2" xfId="30838"/>
    <cellStyle name="Normal 197 2 2 2" xfId="30839"/>
    <cellStyle name="Normal 197 2 3" xfId="30840"/>
    <cellStyle name="Normal 197 3" xfId="30841"/>
    <cellStyle name="Normal 197 3 2" xfId="30842"/>
    <cellStyle name="Normal 197 4" xfId="30843"/>
    <cellStyle name="Normal 198" xfId="30844"/>
    <cellStyle name="Normal 198 2" xfId="30845"/>
    <cellStyle name="Normal 199" xfId="30846"/>
    <cellStyle name="Normal 199 2" xfId="30847"/>
    <cellStyle name="Normal 199 2 2" xfId="30848"/>
    <cellStyle name="Normal 199 3" xfId="30849"/>
    <cellStyle name="Normal 2" xfId="68"/>
    <cellStyle name="Normal 2 10" xfId="9703"/>
    <cellStyle name="Normal 2 10 2" xfId="9704"/>
    <cellStyle name="Normal 2 10 2 2" xfId="9705"/>
    <cellStyle name="Normal 2 10 2 3" xfId="19247"/>
    <cellStyle name="Normal 2 10 2 4" xfId="30850"/>
    <cellStyle name="Normal 2 10 2 5" xfId="30851"/>
    <cellStyle name="Normal 2 10 3" xfId="9706"/>
    <cellStyle name="Normal 2 10 3 2" xfId="19248"/>
    <cellStyle name="Normal 2 10 4" xfId="9707"/>
    <cellStyle name="Normal 2 10 5" xfId="19246"/>
    <cellStyle name="Normal 2 10 6" xfId="30852"/>
    <cellStyle name="Normal 2 10 7" xfId="30853"/>
    <cellStyle name="Normal 2 11" xfId="9708"/>
    <cellStyle name="Normal 2 11 2" xfId="17791"/>
    <cellStyle name="Normal 2 11 3" xfId="17792"/>
    <cellStyle name="Normal 2 12" xfId="9709"/>
    <cellStyle name="Normal 2 12 2" xfId="17793"/>
    <cellStyle name="Normal 2 12 3" xfId="17794"/>
    <cellStyle name="Normal 2 13" xfId="9710"/>
    <cellStyle name="Normal 2 13 2" xfId="17795"/>
    <cellStyle name="Normal 2 13 2 2" xfId="30854"/>
    <cellStyle name="Normal 2 13 3" xfId="17796"/>
    <cellStyle name="Normal 2 14" xfId="17797"/>
    <cellStyle name="Normal 2 14 2" xfId="17798"/>
    <cellStyle name="Normal 2 14 3" xfId="17799"/>
    <cellStyle name="Normal 2 14 4" xfId="30855"/>
    <cellStyle name="Normal 2 15" xfId="17800"/>
    <cellStyle name="Normal 2 15 2" xfId="17801"/>
    <cellStyle name="Normal 2 15 3" xfId="17802"/>
    <cellStyle name="Normal 2 16" xfId="17803"/>
    <cellStyle name="Normal 2 17" xfId="17804"/>
    <cellStyle name="Normal 2 18" xfId="17805"/>
    <cellStyle name="Normal 2 19" xfId="17806"/>
    <cellStyle name="Normal 2 19 2" xfId="17807"/>
    <cellStyle name="Normal 2 19 2 2" xfId="17808"/>
    <cellStyle name="Normal 2 19 2 2 2" xfId="17809"/>
    <cellStyle name="Normal 2 19 2 2 2 2" xfId="17810"/>
    <cellStyle name="Normal 2 19 2 2 2 2 2" xfId="30856"/>
    <cellStyle name="Normal 2 19 2 2 2 2 2 2" xfId="30857"/>
    <cellStyle name="Normal 2 19 2 2 2 2 2 2 2" xfId="30858"/>
    <cellStyle name="Normal 2 19 2 2 2 2 2 3" xfId="30859"/>
    <cellStyle name="Normal 2 19 2 2 2 2 3" xfId="30860"/>
    <cellStyle name="Normal 2 19 2 2 2 2 3 2" xfId="30861"/>
    <cellStyle name="Normal 2 19 2 2 2 2 4" xfId="30862"/>
    <cellStyle name="Normal 2 19 2 2 2 3" xfId="30863"/>
    <cellStyle name="Normal 2 19 2 2 2 3 2" xfId="30864"/>
    <cellStyle name="Normal 2 19 2 2 2 3 2 2" xfId="30865"/>
    <cellStyle name="Normal 2 19 2 2 2 3 3" xfId="30866"/>
    <cellStyle name="Normal 2 19 2 2 2 4" xfId="30867"/>
    <cellStyle name="Normal 2 19 2 2 2 4 2" xfId="30868"/>
    <cellStyle name="Normal 2 19 2 2 2 5" xfId="30869"/>
    <cellStyle name="Normal 2 19 2 2 3" xfId="17811"/>
    <cellStyle name="Normal 2 19 2 2 3 2" xfId="30870"/>
    <cellStyle name="Normal 2 19 2 2 3 2 2" xfId="30871"/>
    <cellStyle name="Normal 2 19 2 2 3 2 2 2" xfId="30872"/>
    <cellStyle name="Normal 2 19 2 2 3 2 3" xfId="30873"/>
    <cellStyle name="Normal 2 19 2 2 3 3" xfId="30874"/>
    <cellStyle name="Normal 2 19 2 2 3 3 2" xfId="30875"/>
    <cellStyle name="Normal 2 19 2 2 3 4" xfId="30876"/>
    <cellStyle name="Normal 2 19 2 2 4" xfId="30877"/>
    <cellStyle name="Normal 2 19 2 2 4 2" xfId="30878"/>
    <cellStyle name="Normal 2 19 2 2 4 2 2" xfId="30879"/>
    <cellStyle name="Normal 2 19 2 2 4 3" xfId="30880"/>
    <cellStyle name="Normal 2 19 2 2 5" xfId="30881"/>
    <cellStyle name="Normal 2 19 2 2 5 2" xfId="30882"/>
    <cellStyle name="Normal 2 19 2 2 6" xfId="30883"/>
    <cellStyle name="Normal 2 19 2 3" xfId="17812"/>
    <cellStyle name="Normal 2 19 2 3 2" xfId="17813"/>
    <cellStyle name="Normal 2 19 2 3 2 2" xfId="30884"/>
    <cellStyle name="Normal 2 19 2 3 2 2 2" xfId="30885"/>
    <cellStyle name="Normal 2 19 2 3 2 2 2 2" xfId="30886"/>
    <cellStyle name="Normal 2 19 2 3 2 2 3" xfId="30887"/>
    <cellStyle name="Normal 2 19 2 3 2 3" xfId="30888"/>
    <cellStyle name="Normal 2 19 2 3 2 3 2" xfId="30889"/>
    <cellStyle name="Normal 2 19 2 3 2 4" xfId="30890"/>
    <cellStyle name="Normal 2 19 2 3 3" xfId="30891"/>
    <cellStyle name="Normal 2 19 2 3 3 2" xfId="30892"/>
    <cellStyle name="Normal 2 19 2 3 3 2 2" xfId="30893"/>
    <cellStyle name="Normal 2 19 2 3 3 3" xfId="30894"/>
    <cellStyle name="Normal 2 19 2 3 4" xfId="30895"/>
    <cellStyle name="Normal 2 19 2 3 4 2" xfId="30896"/>
    <cellStyle name="Normal 2 19 2 3 5" xfId="30897"/>
    <cellStyle name="Normal 2 19 2 4" xfId="17814"/>
    <cellStyle name="Normal 2 19 2 4 2" xfId="30898"/>
    <cellStyle name="Normal 2 19 2 4 2 2" xfId="30899"/>
    <cellStyle name="Normal 2 19 2 4 2 2 2" xfId="30900"/>
    <cellStyle name="Normal 2 19 2 4 2 3" xfId="30901"/>
    <cellStyle name="Normal 2 19 2 4 3" xfId="30902"/>
    <cellStyle name="Normal 2 19 2 4 3 2" xfId="30903"/>
    <cellStyle name="Normal 2 19 2 4 4" xfId="30904"/>
    <cellStyle name="Normal 2 19 2 5" xfId="30905"/>
    <cellStyle name="Normal 2 19 2 5 2" xfId="30906"/>
    <cellStyle name="Normal 2 19 2 5 2 2" xfId="30907"/>
    <cellStyle name="Normal 2 19 2 5 3" xfId="30908"/>
    <cellStyle name="Normal 2 19 2 6" xfId="30909"/>
    <cellStyle name="Normal 2 19 2 6 2" xfId="30910"/>
    <cellStyle name="Normal 2 19 2 7" xfId="30911"/>
    <cellStyle name="Normal 2 19 3" xfId="17815"/>
    <cellStyle name="Normal 2 19 3 2" xfId="17816"/>
    <cellStyle name="Normal 2 19 3 2 2" xfId="17817"/>
    <cellStyle name="Normal 2 19 3 2 2 2" xfId="30912"/>
    <cellStyle name="Normal 2 19 3 2 2 2 2" xfId="30913"/>
    <cellStyle name="Normal 2 19 3 2 2 2 2 2" xfId="30914"/>
    <cellStyle name="Normal 2 19 3 2 2 2 3" xfId="30915"/>
    <cellStyle name="Normal 2 19 3 2 2 3" xfId="30916"/>
    <cellStyle name="Normal 2 19 3 2 2 3 2" xfId="30917"/>
    <cellStyle name="Normal 2 19 3 2 2 4" xfId="30918"/>
    <cellStyle name="Normal 2 19 3 2 3" xfId="30919"/>
    <cellStyle name="Normal 2 19 3 2 3 2" xfId="30920"/>
    <cellStyle name="Normal 2 19 3 2 3 2 2" xfId="30921"/>
    <cellStyle name="Normal 2 19 3 2 3 3" xfId="30922"/>
    <cellStyle name="Normal 2 19 3 2 4" xfId="30923"/>
    <cellStyle name="Normal 2 19 3 2 4 2" xfId="30924"/>
    <cellStyle name="Normal 2 19 3 2 5" xfId="30925"/>
    <cellStyle name="Normal 2 19 3 3" xfId="17818"/>
    <cellStyle name="Normal 2 19 3 3 2" xfId="30926"/>
    <cellStyle name="Normal 2 19 3 3 2 2" xfId="30927"/>
    <cellStyle name="Normal 2 19 3 3 2 2 2" xfId="30928"/>
    <cellStyle name="Normal 2 19 3 3 2 3" xfId="30929"/>
    <cellStyle name="Normal 2 19 3 3 3" xfId="30930"/>
    <cellStyle name="Normal 2 19 3 3 3 2" xfId="30931"/>
    <cellStyle name="Normal 2 19 3 3 4" xfId="30932"/>
    <cellStyle name="Normal 2 19 3 4" xfId="30933"/>
    <cellStyle name="Normal 2 19 3 4 2" xfId="30934"/>
    <cellStyle name="Normal 2 19 3 4 2 2" xfId="30935"/>
    <cellStyle name="Normal 2 19 3 4 3" xfId="30936"/>
    <cellStyle name="Normal 2 19 3 5" xfId="30937"/>
    <cellStyle name="Normal 2 19 3 5 2" xfId="30938"/>
    <cellStyle name="Normal 2 19 3 6" xfId="30939"/>
    <cellStyle name="Normal 2 19 4" xfId="17819"/>
    <cellStyle name="Normal 2 19 4 2" xfId="17820"/>
    <cellStyle name="Normal 2 19 4 2 2" xfId="30940"/>
    <cellStyle name="Normal 2 19 4 2 2 2" xfId="30941"/>
    <cellStyle name="Normal 2 19 4 2 2 2 2" xfId="30942"/>
    <cellStyle name="Normal 2 19 4 2 2 3" xfId="30943"/>
    <cellStyle name="Normal 2 19 4 2 3" xfId="30944"/>
    <cellStyle name="Normal 2 19 4 2 3 2" xfId="30945"/>
    <cellStyle name="Normal 2 19 4 2 4" xfId="30946"/>
    <cellStyle name="Normal 2 19 4 3" xfId="30947"/>
    <cellStyle name="Normal 2 19 4 3 2" xfId="30948"/>
    <cellStyle name="Normal 2 19 4 3 2 2" xfId="30949"/>
    <cellStyle name="Normal 2 19 4 3 3" xfId="30950"/>
    <cellStyle name="Normal 2 19 4 4" xfId="30951"/>
    <cellStyle name="Normal 2 19 4 4 2" xfId="30952"/>
    <cellStyle name="Normal 2 19 4 5" xfId="30953"/>
    <cellStyle name="Normal 2 19 5" xfId="17821"/>
    <cellStyle name="Normal 2 19 5 2" xfId="30954"/>
    <cellStyle name="Normal 2 19 5 2 2" xfId="30955"/>
    <cellStyle name="Normal 2 19 5 2 2 2" xfId="30956"/>
    <cellStyle name="Normal 2 19 5 2 3" xfId="30957"/>
    <cellStyle name="Normal 2 19 5 3" xfId="30958"/>
    <cellStyle name="Normal 2 19 5 3 2" xfId="30959"/>
    <cellStyle name="Normal 2 19 5 4" xfId="30960"/>
    <cellStyle name="Normal 2 19 6" xfId="30961"/>
    <cellStyle name="Normal 2 19 6 2" xfId="30962"/>
    <cellStyle name="Normal 2 19 6 2 2" xfId="30963"/>
    <cellStyle name="Normal 2 19 6 3" xfId="30964"/>
    <cellStyle name="Normal 2 19 7" xfId="30965"/>
    <cellStyle name="Normal 2 19 7 2" xfId="30966"/>
    <cellStyle name="Normal 2 19 8" xfId="30967"/>
    <cellStyle name="Normal 2 2" xfId="9711"/>
    <cellStyle name="Normal 2 2 2" xfId="9712"/>
    <cellStyle name="Normal 2 2 2 2" xfId="9713"/>
    <cellStyle name="Normal 2 2 2 2 2" xfId="30968"/>
    <cellStyle name="Normal 2 2 2 2 3" xfId="30969"/>
    <cellStyle name="Normal 2 2 2 3" xfId="9714"/>
    <cellStyle name="Normal 2 2 2 4" xfId="19250"/>
    <cellStyle name="Normal 2 2 2 5" xfId="30970"/>
    <cellStyle name="Normal 2 2 3" xfId="9715"/>
    <cellStyle name="Normal 2 2 3 2" xfId="19251"/>
    <cellStyle name="Normal 2 2 4" xfId="9716"/>
    <cellStyle name="Normal 2 2 4 2" xfId="30971"/>
    <cellStyle name="Normal 2 2 4 3" xfId="30972"/>
    <cellStyle name="Normal 2 2 4 4" xfId="30973"/>
    <cellStyle name="Normal 2 2 5" xfId="17822"/>
    <cellStyle name="Normal 2 2 6" xfId="19249"/>
    <cellStyle name="Normal 2 2 7" xfId="30974"/>
    <cellStyle name="Normal 2 2 8" xfId="30975"/>
    <cellStyle name="Normal 2 20" xfId="17823"/>
    <cellStyle name="Normal 2 20 2" xfId="17824"/>
    <cellStyle name="Normal 2 21" xfId="17825"/>
    <cellStyle name="Normal 2 22" xfId="17826"/>
    <cellStyle name="Normal 2 22 2" xfId="30976"/>
    <cellStyle name="Normal 2 22 2 2" xfId="30977"/>
    <cellStyle name="Normal 2 22 2 2 2" xfId="30978"/>
    <cellStyle name="Normal 2 22 2 3" xfId="30979"/>
    <cellStyle name="Normal 2 22 3" xfId="30980"/>
    <cellStyle name="Normal 2 22 3 2" xfId="30981"/>
    <cellStyle name="Normal 2 22 4" xfId="30982"/>
    <cellStyle name="Normal 2 23" xfId="17827"/>
    <cellStyle name="Normal 2 24" xfId="30983"/>
    <cellStyle name="Normal 2 25" xfId="30984"/>
    <cellStyle name="Normal 2 25 2" xfId="30985"/>
    <cellStyle name="Normal 2 26" xfId="30986"/>
    <cellStyle name="Normal 2 27" xfId="30987"/>
    <cellStyle name="Normal 2 28" xfId="30988"/>
    <cellStyle name="Normal 2 29" xfId="30989"/>
    <cellStyle name="Normal 2 3" xfId="9717"/>
    <cellStyle name="Normal 2 3 2" xfId="17828"/>
    <cellStyle name="Normal 2 3 2 2" xfId="30990"/>
    <cellStyle name="Normal 2 3 3" xfId="17829"/>
    <cellStyle name="Normal 2 3 4" xfId="17830"/>
    <cellStyle name="Normal 2 3 4 2" xfId="30991"/>
    <cellStyle name="Normal 2 3 5" xfId="30992"/>
    <cellStyle name="Normal 2 3 6" xfId="30993"/>
    <cellStyle name="Normal 2 4" xfId="9718"/>
    <cellStyle name="Normal 2 4 2" xfId="17831"/>
    <cellStyle name="Normal 2 4 3" xfId="17832"/>
    <cellStyle name="Normal 2 4 3 2" xfId="30994"/>
    <cellStyle name="Normal 2 4 4" xfId="30995"/>
    <cellStyle name="Normal 2 4 4 2" xfId="30996"/>
    <cellStyle name="Normal 2 4 4 2 2" xfId="30997"/>
    <cellStyle name="Normal 2 4 4 2 2 2" xfId="30998"/>
    <cellStyle name="Normal 2 4 4 2 3" xfId="30999"/>
    <cellStyle name="Normal 2 4 4 3" xfId="31000"/>
    <cellStyle name="Normal 2 4 4 3 2" xfId="31001"/>
    <cellStyle name="Normal 2 4 4 4" xfId="31002"/>
    <cellStyle name="Normal 2 5" xfId="9719"/>
    <cellStyle name="Normal 2 5 10" xfId="9720"/>
    <cellStyle name="Normal 2 5 10 2" xfId="9721"/>
    <cellStyle name="Normal 2 5 10 3" xfId="9722"/>
    <cellStyle name="Normal 2 5 10 4" xfId="9723"/>
    <cellStyle name="Normal 2 5 11" xfId="9724"/>
    <cellStyle name="Normal 2 5 12" xfId="9725"/>
    <cellStyle name="Normal 2 5 13" xfId="9726"/>
    <cellStyle name="Normal 2 5 14" xfId="19252"/>
    <cellStyle name="Normal 2 5 15" xfId="31003"/>
    <cellStyle name="Normal 2 5 16" xfId="31004"/>
    <cellStyle name="Normal 2 5 2" xfId="9727"/>
    <cellStyle name="Normal 2 5 2 2" xfId="9728"/>
    <cellStyle name="Normal 2 5 2 2 2" xfId="9729"/>
    <cellStyle name="Normal 2 5 2 2 2 2" xfId="9730"/>
    <cellStyle name="Normal 2 5 2 2 2 2 2" xfId="9731"/>
    <cellStyle name="Normal 2 5 2 2 2 2 3" xfId="9732"/>
    <cellStyle name="Normal 2 5 2 2 2 3" xfId="9733"/>
    <cellStyle name="Normal 2 5 2 2 2 4" xfId="9734"/>
    <cellStyle name="Normal 2 5 2 2 3" xfId="9735"/>
    <cellStyle name="Normal 2 5 2 2 3 2" xfId="9736"/>
    <cellStyle name="Normal 2 5 2 2 3 3" xfId="9737"/>
    <cellStyle name="Normal 2 5 2 2 4" xfId="9738"/>
    <cellStyle name="Normal 2 5 2 2 5" xfId="9739"/>
    <cellStyle name="Normal 2 5 2 3" xfId="9740"/>
    <cellStyle name="Normal 2 5 2 3 2" xfId="9741"/>
    <cellStyle name="Normal 2 5 2 3 2 2" xfId="9742"/>
    <cellStyle name="Normal 2 5 2 3 2 3" xfId="9743"/>
    <cellStyle name="Normal 2 5 2 3 3" xfId="9744"/>
    <cellStyle name="Normal 2 5 2 3 4" xfId="9745"/>
    <cellStyle name="Normal 2 5 2 4" xfId="9746"/>
    <cellStyle name="Normal 2 5 2 4 2" xfId="9747"/>
    <cellStyle name="Normal 2 5 2 4 3" xfId="9748"/>
    <cellStyle name="Normal 2 5 2 5" xfId="9749"/>
    <cellStyle name="Normal 2 5 2 6" xfId="9750"/>
    <cellStyle name="Normal 2 5 2 7" xfId="19253"/>
    <cellStyle name="Normal 2 5 3" xfId="9751"/>
    <cellStyle name="Normal 2 5 3 10" xfId="9752"/>
    <cellStyle name="Normal 2 5 3 11" xfId="9753"/>
    <cellStyle name="Normal 2 5 3 12" xfId="19254"/>
    <cellStyle name="Normal 2 5 3 2" xfId="9754"/>
    <cellStyle name="Normal 2 5 3 2 2" xfId="9755"/>
    <cellStyle name="Normal 2 5 3 2 2 2" xfId="9756"/>
    <cellStyle name="Normal 2 5 3 2 2 2 2" xfId="9757"/>
    <cellStyle name="Normal 2 5 3 2 2 2 2 2" xfId="9758"/>
    <cellStyle name="Normal 2 5 3 2 2 2 2 3" xfId="9759"/>
    <cellStyle name="Normal 2 5 3 2 2 2 2 4" xfId="9760"/>
    <cellStyle name="Normal 2 5 3 2 2 2 3" xfId="9761"/>
    <cellStyle name="Normal 2 5 3 2 2 2 3 2" xfId="9762"/>
    <cellStyle name="Normal 2 5 3 2 2 2 3 3" xfId="9763"/>
    <cellStyle name="Normal 2 5 3 2 2 2 3 4" xfId="9764"/>
    <cellStyle name="Normal 2 5 3 2 2 2 4" xfId="9765"/>
    <cellStyle name="Normal 2 5 3 2 2 2 5" xfId="9766"/>
    <cellStyle name="Normal 2 5 3 2 2 2 6" xfId="9767"/>
    <cellStyle name="Normal 2 5 3 2 2 3" xfId="9768"/>
    <cellStyle name="Normal 2 5 3 2 2 3 2" xfId="9769"/>
    <cellStyle name="Normal 2 5 3 2 2 3 3" xfId="9770"/>
    <cellStyle name="Normal 2 5 3 2 2 3 4" xfId="9771"/>
    <cellStyle name="Normal 2 5 3 2 2 4" xfId="9772"/>
    <cellStyle name="Normal 2 5 3 2 2 4 2" xfId="9773"/>
    <cellStyle name="Normal 2 5 3 2 2 4 3" xfId="9774"/>
    <cellStyle name="Normal 2 5 3 2 2 4 4" xfId="9775"/>
    <cellStyle name="Normal 2 5 3 2 2 5" xfId="9776"/>
    <cellStyle name="Normal 2 5 3 2 2 6" xfId="9777"/>
    <cellStyle name="Normal 2 5 3 2 2 7" xfId="9778"/>
    <cellStyle name="Normal 2 5 3 2 3" xfId="9779"/>
    <cellStyle name="Normal 2 5 3 2 3 2" xfId="9780"/>
    <cellStyle name="Normal 2 5 3 2 3 2 2" xfId="9781"/>
    <cellStyle name="Normal 2 5 3 2 3 2 3" xfId="9782"/>
    <cellStyle name="Normal 2 5 3 2 3 2 4" xfId="9783"/>
    <cellStyle name="Normal 2 5 3 2 3 3" xfId="9784"/>
    <cellStyle name="Normal 2 5 3 2 3 3 2" xfId="9785"/>
    <cellStyle name="Normal 2 5 3 2 3 3 3" xfId="9786"/>
    <cellStyle name="Normal 2 5 3 2 3 3 4" xfId="9787"/>
    <cellStyle name="Normal 2 5 3 2 3 4" xfId="9788"/>
    <cellStyle name="Normal 2 5 3 2 3 5" xfId="9789"/>
    <cellStyle name="Normal 2 5 3 2 3 6" xfId="9790"/>
    <cellStyle name="Normal 2 5 3 2 4" xfId="9791"/>
    <cellStyle name="Normal 2 5 3 2 4 2" xfId="9792"/>
    <cellStyle name="Normal 2 5 3 2 4 3" xfId="9793"/>
    <cellStyle name="Normal 2 5 3 2 4 4" xfId="9794"/>
    <cellStyle name="Normal 2 5 3 2 5" xfId="9795"/>
    <cellStyle name="Normal 2 5 3 2 5 2" xfId="9796"/>
    <cellStyle name="Normal 2 5 3 2 5 3" xfId="9797"/>
    <cellStyle name="Normal 2 5 3 2 5 4" xfId="9798"/>
    <cellStyle name="Normal 2 5 3 2 6" xfId="9799"/>
    <cellStyle name="Normal 2 5 3 2 7" xfId="9800"/>
    <cellStyle name="Normal 2 5 3 2 8" xfId="9801"/>
    <cellStyle name="Normal 2 5 3 3" xfId="9802"/>
    <cellStyle name="Normal 2 5 3 3 2" xfId="9803"/>
    <cellStyle name="Normal 2 5 3 3 2 2" xfId="9804"/>
    <cellStyle name="Normal 2 5 3 3 2 2 2" xfId="9805"/>
    <cellStyle name="Normal 2 5 3 3 2 2 3" xfId="9806"/>
    <cellStyle name="Normal 2 5 3 3 2 2 4" xfId="9807"/>
    <cellStyle name="Normal 2 5 3 3 2 3" xfId="9808"/>
    <cellStyle name="Normal 2 5 3 3 2 3 2" xfId="9809"/>
    <cellStyle name="Normal 2 5 3 3 2 3 3" xfId="9810"/>
    <cellStyle name="Normal 2 5 3 3 2 3 4" xfId="9811"/>
    <cellStyle name="Normal 2 5 3 3 2 4" xfId="9812"/>
    <cellStyle name="Normal 2 5 3 3 2 5" xfId="9813"/>
    <cellStyle name="Normal 2 5 3 3 2 6" xfId="9814"/>
    <cellStyle name="Normal 2 5 3 3 3" xfId="9815"/>
    <cellStyle name="Normal 2 5 3 3 3 2" xfId="9816"/>
    <cellStyle name="Normal 2 5 3 3 3 3" xfId="9817"/>
    <cellStyle name="Normal 2 5 3 3 3 4" xfId="9818"/>
    <cellStyle name="Normal 2 5 3 3 4" xfId="9819"/>
    <cellStyle name="Normal 2 5 3 3 4 2" xfId="9820"/>
    <cellStyle name="Normal 2 5 3 3 4 3" xfId="9821"/>
    <cellStyle name="Normal 2 5 3 3 4 4" xfId="9822"/>
    <cellStyle name="Normal 2 5 3 3 5" xfId="9823"/>
    <cellStyle name="Normal 2 5 3 3 6" xfId="9824"/>
    <cellStyle name="Normal 2 5 3 3 7" xfId="9825"/>
    <cellStyle name="Normal 2 5 3 4" xfId="9826"/>
    <cellStyle name="Normal 2 5 3 4 2" xfId="9827"/>
    <cellStyle name="Normal 2 5 3 4 2 2" xfId="9828"/>
    <cellStyle name="Normal 2 5 3 4 2 2 2" xfId="9829"/>
    <cellStyle name="Normal 2 5 3 4 2 2 3" xfId="9830"/>
    <cellStyle name="Normal 2 5 3 4 2 2 4" xfId="9831"/>
    <cellStyle name="Normal 2 5 3 4 2 3" xfId="9832"/>
    <cellStyle name="Normal 2 5 3 4 2 3 2" xfId="9833"/>
    <cellStyle name="Normal 2 5 3 4 2 3 3" xfId="9834"/>
    <cellStyle name="Normal 2 5 3 4 2 3 4" xfId="9835"/>
    <cellStyle name="Normal 2 5 3 4 2 4" xfId="9836"/>
    <cellStyle name="Normal 2 5 3 4 2 5" xfId="9837"/>
    <cellStyle name="Normal 2 5 3 4 2 6" xfId="9838"/>
    <cellStyle name="Normal 2 5 3 4 3" xfId="9839"/>
    <cellStyle name="Normal 2 5 3 4 3 2" xfId="9840"/>
    <cellStyle name="Normal 2 5 3 4 3 3" xfId="9841"/>
    <cellStyle name="Normal 2 5 3 4 3 4" xfId="9842"/>
    <cellStyle name="Normal 2 5 3 4 4" xfId="9843"/>
    <cellStyle name="Normal 2 5 3 4 4 2" xfId="9844"/>
    <cellStyle name="Normal 2 5 3 4 4 3" xfId="9845"/>
    <cellStyle name="Normal 2 5 3 4 4 4" xfId="9846"/>
    <cellStyle name="Normal 2 5 3 4 5" xfId="9847"/>
    <cellStyle name="Normal 2 5 3 4 6" xfId="9848"/>
    <cellStyle name="Normal 2 5 3 4 7" xfId="9849"/>
    <cellStyle name="Normal 2 5 3 5" xfId="9850"/>
    <cellStyle name="Normal 2 5 3 5 2" xfId="9851"/>
    <cellStyle name="Normal 2 5 3 5 2 2" xfId="9852"/>
    <cellStyle name="Normal 2 5 3 5 2 2 2" xfId="9853"/>
    <cellStyle name="Normal 2 5 3 5 2 2 3" xfId="9854"/>
    <cellStyle name="Normal 2 5 3 5 2 2 4" xfId="9855"/>
    <cellStyle name="Normal 2 5 3 5 2 3" xfId="9856"/>
    <cellStyle name="Normal 2 5 3 5 2 3 2" xfId="9857"/>
    <cellStyle name="Normal 2 5 3 5 2 3 3" xfId="9858"/>
    <cellStyle name="Normal 2 5 3 5 2 3 4" xfId="9859"/>
    <cellStyle name="Normal 2 5 3 5 2 4" xfId="9860"/>
    <cellStyle name="Normal 2 5 3 5 2 5" xfId="9861"/>
    <cellStyle name="Normal 2 5 3 5 2 6" xfId="9862"/>
    <cellStyle name="Normal 2 5 3 5 3" xfId="9863"/>
    <cellStyle name="Normal 2 5 3 5 3 2" xfId="9864"/>
    <cellStyle name="Normal 2 5 3 5 3 3" xfId="9865"/>
    <cellStyle name="Normal 2 5 3 5 3 4" xfId="9866"/>
    <cellStyle name="Normal 2 5 3 5 4" xfId="9867"/>
    <cellStyle name="Normal 2 5 3 5 4 2" xfId="9868"/>
    <cellStyle name="Normal 2 5 3 5 4 3" xfId="9869"/>
    <cellStyle name="Normal 2 5 3 5 4 4" xfId="9870"/>
    <cellStyle name="Normal 2 5 3 5 5" xfId="9871"/>
    <cellStyle name="Normal 2 5 3 5 6" xfId="9872"/>
    <cellStyle name="Normal 2 5 3 5 7" xfId="9873"/>
    <cellStyle name="Normal 2 5 3 6" xfId="9874"/>
    <cellStyle name="Normal 2 5 3 6 2" xfId="9875"/>
    <cellStyle name="Normal 2 5 3 6 2 2" xfId="9876"/>
    <cellStyle name="Normal 2 5 3 6 2 3" xfId="9877"/>
    <cellStyle name="Normal 2 5 3 6 2 4" xfId="9878"/>
    <cellStyle name="Normal 2 5 3 6 3" xfId="9879"/>
    <cellStyle name="Normal 2 5 3 6 3 2" xfId="9880"/>
    <cellStyle name="Normal 2 5 3 6 3 3" xfId="9881"/>
    <cellStyle name="Normal 2 5 3 6 3 4" xfId="9882"/>
    <cellStyle name="Normal 2 5 3 6 4" xfId="9883"/>
    <cellStyle name="Normal 2 5 3 6 5" xfId="9884"/>
    <cellStyle name="Normal 2 5 3 6 6" xfId="9885"/>
    <cellStyle name="Normal 2 5 3 7" xfId="9886"/>
    <cellStyle name="Normal 2 5 3 7 2" xfId="9887"/>
    <cellStyle name="Normal 2 5 3 7 3" xfId="9888"/>
    <cellStyle name="Normal 2 5 3 7 4" xfId="9889"/>
    <cellStyle name="Normal 2 5 3 8" xfId="9890"/>
    <cellStyle name="Normal 2 5 3 8 2" xfId="9891"/>
    <cellStyle name="Normal 2 5 3 8 3" xfId="9892"/>
    <cellStyle name="Normal 2 5 3 8 4" xfId="9893"/>
    <cellStyle name="Normal 2 5 3 9" xfId="9894"/>
    <cellStyle name="Normal 2 5 4" xfId="9895"/>
    <cellStyle name="Normal 2 5 4 2" xfId="9896"/>
    <cellStyle name="Normal 2 5 4 2 2" xfId="9897"/>
    <cellStyle name="Normal 2 5 4 2 2 2" xfId="9898"/>
    <cellStyle name="Normal 2 5 4 2 2 2 2" xfId="9899"/>
    <cellStyle name="Normal 2 5 4 2 2 2 3" xfId="9900"/>
    <cellStyle name="Normal 2 5 4 2 2 2 4" xfId="9901"/>
    <cellStyle name="Normal 2 5 4 2 2 3" xfId="9902"/>
    <cellStyle name="Normal 2 5 4 2 2 3 2" xfId="9903"/>
    <cellStyle name="Normal 2 5 4 2 2 3 3" xfId="9904"/>
    <cellStyle name="Normal 2 5 4 2 2 3 4" xfId="9905"/>
    <cellStyle name="Normal 2 5 4 2 2 4" xfId="9906"/>
    <cellStyle name="Normal 2 5 4 2 2 5" xfId="9907"/>
    <cellStyle name="Normal 2 5 4 2 2 6" xfId="9908"/>
    <cellStyle name="Normal 2 5 4 2 3" xfId="9909"/>
    <cellStyle name="Normal 2 5 4 2 3 2" xfId="9910"/>
    <cellStyle name="Normal 2 5 4 2 3 3" xfId="9911"/>
    <cellStyle name="Normal 2 5 4 2 3 4" xfId="9912"/>
    <cellStyle name="Normal 2 5 4 2 4" xfId="9913"/>
    <cellStyle name="Normal 2 5 4 2 4 2" xfId="9914"/>
    <cellStyle name="Normal 2 5 4 2 4 3" xfId="9915"/>
    <cellStyle name="Normal 2 5 4 2 4 4" xfId="9916"/>
    <cellStyle name="Normal 2 5 4 2 5" xfId="9917"/>
    <cellStyle name="Normal 2 5 4 2 6" xfId="9918"/>
    <cellStyle name="Normal 2 5 4 2 7" xfId="9919"/>
    <cellStyle name="Normal 2 5 4 3" xfId="9920"/>
    <cellStyle name="Normal 2 5 4 3 2" xfId="9921"/>
    <cellStyle name="Normal 2 5 4 3 2 2" xfId="9922"/>
    <cellStyle name="Normal 2 5 4 3 2 3" xfId="9923"/>
    <cellStyle name="Normal 2 5 4 3 2 4" xfId="9924"/>
    <cellStyle name="Normal 2 5 4 3 3" xfId="9925"/>
    <cellStyle name="Normal 2 5 4 3 3 2" xfId="9926"/>
    <cellStyle name="Normal 2 5 4 3 3 3" xfId="9927"/>
    <cellStyle name="Normal 2 5 4 3 3 4" xfId="9928"/>
    <cellStyle name="Normal 2 5 4 3 4" xfId="9929"/>
    <cellStyle name="Normal 2 5 4 3 5" xfId="9930"/>
    <cellStyle name="Normal 2 5 4 3 6" xfId="9931"/>
    <cellStyle name="Normal 2 5 4 4" xfId="9932"/>
    <cellStyle name="Normal 2 5 4 4 2" xfId="9933"/>
    <cellStyle name="Normal 2 5 4 4 3" xfId="9934"/>
    <cellStyle name="Normal 2 5 4 4 4" xfId="9935"/>
    <cellStyle name="Normal 2 5 4 5" xfId="9936"/>
    <cellStyle name="Normal 2 5 4 5 2" xfId="9937"/>
    <cellStyle name="Normal 2 5 4 5 3" xfId="9938"/>
    <cellStyle name="Normal 2 5 4 5 4" xfId="9939"/>
    <cellStyle name="Normal 2 5 4 6" xfId="9940"/>
    <cellStyle name="Normal 2 5 4 7" xfId="9941"/>
    <cellStyle name="Normal 2 5 4 8" xfId="9942"/>
    <cellStyle name="Normal 2 5 5" xfId="9943"/>
    <cellStyle name="Normal 2 5 5 2" xfId="9944"/>
    <cellStyle name="Normal 2 5 5 2 2" xfId="9945"/>
    <cellStyle name="Normal 2 5 5 2 2 2" xfId="9946"/>
    <cellStyle name="Normal 2 5 5 2 2 3" xfId="9947"/>
    <cellStyle name="Normal 2 5 5 2 2 4" xfId="9948"/>
    <cellStyle name="Normal 2 5 5 2 3" xfId="9949"/>
    <cellStyle name="Normal 2 5 5 2 3 2" xfId="9950"/>
    <cellStyle name="Normal 2 5 5 2 3 3" xfId="9951"/>
    <cellStyle name="Normal 2 5 5 2 3 4" xfId="9952"/>
    <cellStyle name="Normal 2 5 5 2 4" xfId="9953"/>
    <cellStyle name="Normal 2 5 5 2 5" xfId="9954"/>
    <cellStyle name="Normal 2 5 5 2 6" xfId="9955"/>
    <cellStyle name="Normal 2 5 5 3" xfId="9956"/>
    <cellStyle name="Normal 2 5 5 3 2" xfId="9957"/>
    <cellStyle name="Normal 2 5 5 3 3" xfId="9958"/>
    <cellStyle name="Normal 2 5 5 3 4" xfId="9959"/>
    <cellStyle name="Normal 2 5 5 4" xfId="9960"/>
    <cellStyle name="Normal 2 5 5 4 2" xfId="9961"/>
    <cellStyle name="Normal 2 5 5 4 3" xfId="9962"/>
    <cellStyle name="Normal 2 5 5 4 4" xfId="9963"/>
    <cellStyle name="Normal 2 5 5 5" xfId="9964"/>
    <cellStyle name="Normal 2 5 5 6" xfId="9965"/>
    <cellStyle name="Normal 2 5 5 7" xfId="9966"/>
    <cellStyle name="Normal 2 5 6" xfId="9967"/>
    <cellStyle name="Normal 2 5 6 2" xfId="9968"/>
    <cellStyle name="Normal 2 5 6 2 2" xfId="9969"/>
    <cellStyle name="Normal 2 5 6 2 2 2" xfId="9970"/>
    <cellStyle name="Normal 2 5 6 2 2 3" xfId="9971"/>
    <cellStyle name="Normal 2 5 6 2 2 4" xfId="9972"/>
    <cellStyle name="Normal 2 5 6 2 3" xfId="9973"/>
    <cellStyle name="Normal 2 5 6 2 3 2" xfId="9974"/>
    <cellStyle name="Normal 2 5 6 2 3 3" xfId="9975"/>
    <cellStyle name="Normal 2 5 6 2 3 4" xfId="9976"/>
    <cellStyle name="Normal 2 5 6 2 4" xfId="9977"/>
    <cellStyle name="Normal 2 5 6 2 5" xfId="9978"/>
    <cellStyle name="Normal 2 5 6 2 6" xfId="9979"/>
    <cellStyle name="Normal 2 5 6 3" xfId="9980"/>
    <cellStyle name="Normal 2 5 6 3 2" xfId="9981"/>
    <cellStyle name="Normal 2 5 6 3 3" xfId="9982"/>
    <cellStyle name="Normal 2 5 6 3 4" xfId="9983"/>
    <cellStyle name="Normal 2 5 6 4" xfId="9984"/>
    <cellStyle name="Normal 2 5 6 4 2" xfId="9985"/>
    <cellStyle name="Normal 2 5 6 4 3" xfId="9986"/>
    <cellStyle name="Normal 2 5 6 4 4" xfId="9987"/>
    <cellStyle name="Normal 2 5 6 5" xfId="9988"/>
    <cellStyle name="Normal 2 5 6 6" xfId="9989"/>
    <cellStyle name="Normal 2 5 6 7" xfId="9990"/>
    <cellStyle name="Normal 2 5 7" xfId="9991"/>
    <cellStyle name="Normal 2 5 7 2" xfId="9992"/>
    <cellStyle name="Normal 2 5 7 2 2" xfId="9993"/>
    <cellStyle name="Normal 2 5 7 2 2 2" xfId="9994"/>
    <cellStyle name="Normal 2 5 7 2 2 3" xfId="9995"/>
    <cellStyle name="Normal 2 5 7 2 2 4" xfId="9996"/>
    <cellStyle name="Normal 2 5 7 2 3" xfId="9997"/>
    <cellStyle name="Normal 2 5 7 2 3 2" xfId="9998"/>
    <cellStyle name="Normal 2 5 7 2 3 3" xfId="9999"/>
    <cellStyle name="Normal 2 5 7 2 3 4" xfId="10000"/>
    <cellStyle name="Normal 2 5 7 2 4" xfId="10001"/>
    <cellStyle name="Normal 2 5 7 2 5" xfId="10002"/>
    <cellStyle name="Normal 2 5 7 2 6" xfId="10003"/>
    <cellStyle name="Normal 2 5 7 3" xfId="10004"/>
    <cellStyle name="Normal 2 5 7 3 2" xfId="10005"/>
    <cellStyle name="Normal 2 5 7 3 3" xfId="10006"/>
    <cellStyle name="Normal 2 5 7 3 4" xfId="10007"/>
    <cellStyle name="Normal 2 5 7 4" xfId="10008"/>
    <cellStyle name="Normal 2 5 7 4 2" xfId="10009"/>
    <cellStyle name="Normal 2 5 7 4 3" xfId="10010"/>
    <cellStyle name="Normal 2 5 7 4 4" xfId="10011"/>
    <cellStyle name="Normal 2 5 7 5" xfId="10012"/>
    <cellStyle name="Normal 2 5 7 6" xfId="10013"/>
    <cellStyle name="Normal 2 5 7 7" xfId="10014"/>
    <cellStyle name="Normal 2 5 8" xfId="10015"/>
    <cellStyle name="Normal 2 5 8 2" xfId="10016"/>
    <cellStyle name="Normal 2 5 8 2 2" xfId="10017"/>
    <cellStyle name="Normal 2 5 8 2 3" xfId="10018"/>
    <cellStyle name="Normal 2 5 8 2 4" xfId="10019"/>
    <cellStyle name="Normal 2 5 8 3" xfId="10020"/>
    <cellStyle name="Normal 2 5 8 3 2" xfId="10021"/>
    <cellStyle name="Normal 2 5 8 3 3" xfId="10022"/>
    <cellStyle name="Normal 2 5 8 3 4" xfId="10023"/>
    <cellStyle name="Normal 2 5 8 4" xfId="10024"/>
    <cellStyle name="Normal 2 5 8 5" xfId="10025"/>
    <cellStyle name="Normal 2 5 8 6" xfId="10026"/>
    <cellStyle name="Normal 2 5 9" xfId="10027"/>
    <cellStyle name="Normal 2 5 9 2" xfId="10028"/>
    <cellStyle name="Normal 2 5 9 3" xfId="10029"/>
    <cellStyle name="Normal 2 5 9 4" xfId="10030"/>
    <cellStyle name="Normal 2 6" xfId="10031"/>
    <cellStyle name="Normal 2 6 2" xfId="10032"/>
    <cellStyle name="Normal 2 6 2 2" xfId="19255"/>
    <cellStyle name="Normal 2 6 3" xfId="17833"/>
    <cellStyle name="Normal 2 7" xfId="10033"/>
    <cellStyle name="Normal 2 7 2" xfId="10034"/>
    <cellStyle name="Normal 2 7 2 2" xfId="10035"/>
    <cellStyle name="Normal 2 7 2 3" xfId="19257"/>
    <cellStyle name="Normal 2 7 3" xfId="10036"/>
    <cellStyle name="Normal 2 7 3 2" xfId="19258"/>
    <cellStyle name="Normal 2 7 4" xfId="19256"/>
    <cellStyle name="Normal 2 8" xfId="10037"/>
    <cellStyle name="Normal 2 8 2" xfId="10038"/>
    <cellStyle name="Normal 2 8 2 2" xfId="19259"/>
    <cellStyle name="Normal 2 8 3" xfId="17834"/>
    <cellStyle name="Normal 2 9" xfId="10039"/>
    <cellStyle name="Normal 2 9 2" xfId="10040"/>
    <cellStyle name="Normal 2 9 2 2" xfId="10041"/>
    <cellStyle name="Normal 2 9 2 3" xfId="19261"/>
    <cellStyle name="Normal 2 9 3" xfId="10042"/>
    <cellStyle name="Normal 2 9 3 2" xfId="10043"/>
    <cellStyle name="Normal 2 9 3 2 2" xfId="10044"/>
    <cellStyle name="Normal 2 9 3 3" xfId="10045"/>
    <cellStyle name="Normal 2 9 3 4" xfId="10046"/>
    <cellStyle name="Normal 2 9 3 5" xfId="19262"/>
    <cellStyle name="Normal 2 9 4" xfId="10047"/>
    <cellStyle name="Normal 2 9 5" xfId="19260"/>
    <cellStyle name="Normal 20" xfId="10048"/>
    <cellStyle name="Normal 20 10" xfId="31005"/>
    <cellStyle name="Normal 20 10 2" xfId="31006"/>
    <cellStyle name="Normal 20 11" xfId="31007"/>
    <cellStyle name="Normal 20 12" xfId="31008"/>
    <cellStyle name="Normal 20 2" xfId="10049"/>
    <cellStyle name="Normal 20 2 2" xfId="17835"/>
    <cellStyle name="Normal 20 2 2 2" xfId="31009"/>
    <cellStyle name="Normal 20 2 3" xfId="17836"/>
    <cellStyle name="Normal 20 2 4" xfId="31010"/>
    <cellStyle name="Normal 20 3" xfId="17837"/>
    <cellStyle name="Normal 20 3 2" xfId="17838"/>
    <cellStyle name="Normal 20 3 2 2" xfId="17839"/>
    <cellStyle name="Normal 20 3 2 2 2" xfId="17840"/>
    <cellStyle name="Normal 20 3 2 2 2 2" xfId="17841"/>
    <cellStyle name="Normal 20 3 2 2 2 2 2" xfId="31011"/>
    <cellStyle name="Normal 20 3 2 2 2 2 2 2" xfId="31012"/>
    <cellStyle name="Normal 20 3 2 2 2 2 2 2 2" xfId="31013"/>
    <cellStyle name="Normal 20 3 2 2 2 2 2 3" xfId="31014"/>
    <cellStyle name="Normal 20 3 2 2 2 2 3" xfId="31015"/>
    <cellStyle name="Normal 20 3 2 2 2 2 3 2" xfId="31016"/>
    <cellStyle name="Normal 20 3 2 2 2 2 4" xfId="31017"/>
    <cellStyle name="Normal 20 3 2 2 2 3" xfId="31018"/>
    <cellStyle name="Normal 20 3 2 2 2 3 2" xfId="31019"/>
    <cellStyle name="Normal 20 3 2 2 2 3 2 2" xfId="31020"/>
    <cellStyle name="Normal 20 3 2 2 2 3 3" xfId="31021"/>
    <cellStyle name="Normal 20 3 2 2 2 4" xfId="31022"/>
    <cellStyle name="Normal 20 3 2 2 2 4 2" xfId="31023"/>
    <cellStyle name="Normal 20 3 2 2 2 5" xfId="31024"/>
    <cellStyle name="Normal 20 3 2 2 3" xfId="17842"/>
    <cellStyle name="Normal 20 3 2 2 3 2" xfId="31025"/>
    <cellStyle name="Normal 20 3 2 2 3 2 2" xfId="31026"/>
    <cellStyle name="Normal 20 3 2 2 3 2 2 2" xfId="31027"/>
    <cellStyle name="Normal 20 3 2 2 3 2 3" xfId="31028"/>
    <cellStyle name="Normal 20 3 2 2 3 3" xfId="31029"/>
    <cellStyle name="Normal 20 3 2 2 3 3 2" xfId="31030"/>
    <cellStyle name="Normal 20 3 2 2 3 4" xfId="31031"/>
    <cellStyle name="Normal 20 3 2 2 4" xfId="31032"/>
    <cellStyle name="Normal 20 3 2 2 4 2" xfId="31033"/>
    <cellStyle name="Normal 20 3 2 2 4 2 2" xfId="31034"/>
    <cellStyle name="Normal 20 3 2 2 4 3" xfId="31035"/>
    <cellStyle name="Normal 20 3 2 2 5" xfId="31036"/>
    <cellStyle name="Normal 20 3 2 2 5 2" xfId="31037"/>
    <cellStyle name="Normal 20 3 2 2 6" xfId="31038"/>
    <cellStyle name="Normal 20 3 2 3" xfId="17843"/>
    <cellStyle name="Normal 20 3 2 3 2" xfId="17844"/>
    <cellStyle name="Normal 20 3 2 3 2 2" xfId="31039"/>
    <cellStyle name="Normal 20 3 2 3 2 2 2" xfId="31040"/>
    <cellStyle name="Normal 20 3 2 3 2 2 2 2" xfId="31041"/>
    <cellStyle name="Normal 20 3 2 3 2 2 3" xfId="31042"/>
    <cellStyle name="Normal 20 3 2 3 2 3" xfId="31043"/>
    <cellStyle name="Normal 20 3 2 3 2 3 2" xfId="31044"/>
    <cellStyle name="Normal 20 3 2 3 2 4" xfId="31045"/>
    <cellStyle name="Normal 20 3 2 3 3" xfId="31046"/>
    <cellStyle name="Normal 20 3 2 3 3 2" xfId="31047"/>
    <cellStyle name="Normal 20 3 2 3 3 2 2" xfId="31048"/>
    <cellStyle name="Normal 20 3 2 3 3 3" xfId="31049"/>
    <cellStyle name="Normal 20 3 2 3 4" xfId="31050"/>
    <cellStyle name="Normal 20 3 2 3 4 2" xfId="31051"/>
    <cellStyle name="Normal 20 3 2 3 5" xfId="31052"/>
    <cellStyle name="Normal 20 3 2 4" xfId="17845"/>
    <cellStyle name="Normal 20 3 2 4 2" xfId="31053"/>
    <cellStyle name="Normal 20 3 2 4 2 2" xfId="31054"/>
    <cellStyle name="Normal 20 3 2 4 2 2 2" xfId="31055"/>
    <cellStyle name="Normal 20 3 2 4 2 3" xfId="31056"/>
    <cellStyle name="Normal 20 3 2 4 3" xfId="31057"/>
    <cellStyle name="Normal 20 3 2 4 3 2" xfId="31058"/>
    <cellStyle name="Normal 20 3 2 4 4" xfId="31059"/>
    <cellStyle name="Normal 20 3 2 5" xfId="31060"/>
    <cellStyle name="Normal 20 3 2 5 2" xfId="31061"/>
    <cellStyle name="Normal 20 3 2 5 2 2" xfId="31062"/>
    <cellStyle name="Normal 20 3 2 5 3" xfId="31063"/>
    <cellStyle name="Normal 20 3 2 6" xfId="31064"/>
    <cellStyle name="Normal 20 3 2 6 2" xfId="31065"/>
    <cellStyle name="Normal 20 3 2 7" xfId="31066"/>
    <cellStyle name="Normal 20 3 3" xfId="17846"/>
    <cellStyle name="Normal 20 3 3 2" xfId="17847"/>
    <cellStyle name="Normal 20 3 3 2 2" xfId="17848"/>
    <cellStyle name="Normal 20 3 3 2 2 2" xfId="31067"/>
    <cellStyle name="Normal 20 3 3 2 2 2 2" xfId="31068"/>
    <cellStyle name="Normal 20 3 3 2 2 2 2 2" xfId="31069"/>
    <cellStyle name="Normal 20 3 3 2 2 2 3" xfId="31070"/>
    <cellStyle name="Normal 20 3 3 2 2 3" xfId="31071"/>
    <cellStyle name="Normal 20 3 3 2 2 3 2" xfId="31072"/>
    <cellStyle name="Normal 20 3 3 2 2 4" xfId="31073"/>
    <cellStyle name="Normal 20 3 3 2 3" xfId="31074"/>
    <cellStyle name="Normal 20 3 3 2 3 2" xfId="31075"/>
    <cellStyle name="Normal 20 3 3 2 3 2 2" xfId="31076"/>
    <cellStyle name="Normal 20 3 3 2 3 3" xfId="31077"/>
    <cellStyle name="Normal 20 3 3 2 4" xfId="31078"/>
    <cellStyle name="Normal 20 3 3 2 4 2" xfId="31079"/>
    <cellStyle name="Normal 20 3 3 2 5" xfId="31080"/>
    <cellStyle name="Normal 20 3 3 3" xfId="17849"/>
    <cellStyle name="Normal 20 3 3 3 2" xfId="31081"/>
    <cellStyle name="Normal 20 3 3 3 2 2" xfId="31082"/>
    <cellStyle name="Normal 20 3 3 3 2 2 2" xfId="31083"/>
    <cellStyle name="Normal 20 3 3 3 2 3" xfId="31084"/>
    <cellStyle name="Normal 20 3 3 3 3" xfId="31085"/>
    <cellStyle name="Normal 20 3 3 3 3 2" xfId="31086"/>
    <cellStyle name="Normal 20 3 3 3 4" xfId="31087"/>
    <cellStyle name="Normal 20 3 3 4" xfId="31088"/>
    <cellStyle name="Normal 20 3 3 4 2" xfId="31089"/>
    <cellStyle name="Normal 20 3 3 4 2 2" xfId="31090"/>
    <cellStyle name="Normal 20 3 3 4 3" xfId="31091"/>
    <cellStyle name="Normal 20 3 3 5" xfId="31092"/>
    <cellStyle name="Normal 20 3 3 5 2" xfId="31093"/>
    <cellStyle name="Normal 20 3 3 6" xfId="31094"/>
    <cellStyle name="Normal 20 3 4" xfId="17850"/>
    <cellStyle name="Normal 20 3 4 2" xfId="17851"/>
    <cellStyle name="Normal 20 3 4 2 2" xfId="31095"/>
    <cellStyle name="Normal 20 3 4 2 2 2" xfId="31096"/>
    <cellStyle name="Normal 20 3 4 2 2 2 2" xfId="31097"/>
    <cellStyle name="Normal 20 3 4 2 2 3" xfId="31098"/>
    <cellStyle name="Normal 20 3 4 2 3" xfId="31099"/>
    <cellStyle name="Normal 20 3 4 2 3 2" xfId="31100"/>
    <cellStyle name="Normal 20 3 4 2 4" xfId="31101"/>
    <cellStyle name="Normal 20 3 4 3" xfId="31102"/>
    <cellStyle name="Normal 20 3 4 3 2" xfId="31103"/>
    <cellStyle name="Normal 20 3 4 3 2 2" xfId="31104"/>
    <cellStyle name="Normal 20 3 4 3 3" xfId="31105"/>
    <cellStyle name="Normal 20 3 4 4" xfId="31106"/>
    <cellStyle name="Normal 20 3 4 4 2" xfId="31107"/>
    <cellStyle name="Normal 20 3 4 5" xfId="31108"/>
    <cellStyle name="Normal 20 3 5" xfId="17852"/>
    <cellStyle name="Normal 20 3 5 2" xfId="31109"/>
    <cellStyle name="Normal 20 3 5 2 2" xfId="31110"/>
    <cellStyle name="Normal 20 3 5 2 2 2" xfId="31111"/>
    <cellStyle name="Normal 20 3 5 2 3" xfId="31112"/>
    <cellStyle name="Normal 20 3 5 3" xfId="31113"/>
    <cellStyle name="Normal 20 3 5 3 2" xfId="31114"/>
    <cellStyle name="Normal 20 3 5 4" xfId="31115"/>
    <cellStyle name="Normal 20 3 6" xfId="31116"/>
    <cellStyle name="Normal 20 3 6 2" xfId="31117"/>
    <cellStyle name="Normal 20 3 6 2 2" xfId="31118"/>
    <cellStyle name="Normal 20 3 6 3" xfId="31119"/>
    <cellStyle name="Normal 20 3 7" xfId="31120"/>
    <cellStyle name="Normal 20 3 7 2" xfId="31121"/>
    <cellStyle name="Normal 20 3 8" xfId="31122"/>
    <cellStyle name="Normal 20 4" xfId="17853"/>
    <cellStyle name="Normal 20 4 2" xfId="17854"/>
    <cellStyle name="Normal 20 4 2 2" xfId="17855"/>
    <cellStyle name="Normal 20 4 2 2 2" xfId="17856"/>
    <cellStyle name="Normal 20 4 2 2 2 2" xfId="17857"/>
    <cellStyle name="Normal 20 4 2 2 2 2 2" xfId="31123"/>
    <cellStyle name="Normal 20 4 2 2 2 2 2 2" xfId="31124"/>
    <cellStyle name="Normal 20 4 2 2 2 2 2 2 2" xfId="31125"/>
    <cellStyle name="Normal 20 4 2 2 2 2 2 3" xfId="31126"/>
    <cellStyle name="Normal 20 4 2 2 2 2 3" xfId="31127"/>
    <cellStyle name="Normal 20 4 2 2 2 2 3 2" xfId="31128"/>
    <cellStyle name="Normal 20 4 2 2 2 2 4" xfId="31129"/>
    <cellStyle name="Normal 20 4 2 2 2 3" xfId="31130"/>
    <cellStyle name="Normal 20 4 2 2 2 3 2" xfId="31131"/>
    <cellStyle name="Normal 20 4 2 2 2 3 2 2" xfId="31132"/>
    <cellStyle name="Normal 20 4 2 2 2 3 3" xfId="31133"/>
    <cellStyle name="Normal 20 4 2 2 2 4" xfId="31134"/>
    <cellStyle name="Normal 20 4 2 2 2 4 2" xfId="31135"/>
    <cellStyle name="Normal 20 4 2 2 2 5" xfId="31136"/>
    <cellStyle name="Normal 20 4 2 2 3" xfId="17858"/>
    <cellStyle name="Normal 20 4 2 2 3 2" xfId="31137"/>
    <cellStyle name="Normal 20 4 2 2 3 2 2" xfId="31138"/>
    <cellStyle name="Normal 20 4 2 2 3 2 2 2" xfId="31139"/>
    <cellStyle name="Normal 20 4 2 2 3 2 3" xfId="31140"/>
    <cellStyle name="Normal 20 4 2 2 3 3" xfId="31141"/>
    <cellStyle name="Normal 20 4 2 2 3 3 2" xfId="31142"/>
    <cellStyle name="Normal 20 4 2 2 3 4" xfId="31143"/>
    <cellStyle name="Normal 20 4 2 2 4" xfId="31144"/>
    <cellStyle name="Normal 20 4 2 2 4 2" xfId="31145"/>
    <cellStyle name="Normal 20 4 2 2 4 2 2" xfId="31146"/>
    <cellStyle name="Normal 20 4 2 2 4 3" xfId="31147"/>
    <cellStyle name="Normal 20 4 2 2 5" xfId="31148"/>
    <cellStyle name="Normal 20 4 2 2 5 2" xfId="31149"/>
    <cellStyle name="Normal 20 4 2 2 6" xfId="31150"/>
    <cellStyle name="Normal 20 4 2 3" xfId="17859"/>
    <cellStyle name="Normal 20 4 2 3 2" xfId="17860"/>
    <cellStyle name="Normal 20 4 2 3 2 2" xfId="31151"/>
    <cellStyle name="Normal 20 4 2 3 2 2 2" xfId="31152"/>
    <cellStyle name="Normal 20 4 2 3 2 2 2 2" xfId="31153"/>
    <cellStyle name="Normal 20 4 2 3 2 2 3" xfId="31154"/>
    <cellStyle name="Normal 20 4 2 3 2 3" xfId="31155"/>
    <cellStyle name="Normal 20 4 2 3 2 3 2" xfId="31156"/>
    <cellStyle name="Normal 20 4 2 3 2 4" xfId="31157"/>
    <cellStyle name="Normal 20 4 2 3 3" xfId="31158"/>
    <cellStyle name="Normal 20 4 2 3 3 2" xfId="31159"/>
    <cellStyle name="Normal 20 4 2 3 3 2 2" xfId="31160"/>
    <cellStyle name="Normal 20 4 2 3 3 3" xfId="31161"/>
    <cellStyle name="Normal 20 4 2 3 4" xfId="31162"/>
    <cellStyle name="Normal 20 4 2 3 4 2" xfId="31163"/>
    <cellStyle name="Normal 20 4 2 3 5" xfId="31164"/>
    <cellStyle name="Normal 20 4 2 4" xfId="17861"/>
    <cellStyle name="Normal 20 4 2 4 2" xfId="31165"/>
    <cellStyle name="Normal 20 4 2 4 2 2" xfId="31166"/>
    <cellStyle name="Normal 20 4 2 4 2 2 2" xfId="31167"/>
    <cellStyle name="Normal 20 4 2 4 2 3" xfId="31168"/>
    <cellStyle name="Normal 20 4 2 4 3" xfId="31169"/>
    <cellStyle name="Normal 20 4 2 4 3 2" xfId="31170"/>
    <cellStyle name="Normal 20 4 2 4 4" xfId="31171"/>
    <cellStyle name="Normal 20 4 2 5" xfId="31172"/>
    <cellStyle name="Normal 20 4 2 5 2" xfId="31173"/>
    <cellStyle name="Normal 20 4 2 5 2 2" xfId="31174"/>
    <cellStyle name="Normal 20 4 2 5 3" xfId="31175"/>
    <cellStyle name="Normal 20 4 2 6" xfId="31176"/>
    <cellStyle name="Normal 20 4 2 6 2" xfId="31177"/>
    <cellStyle name="Normal 20 4 2 7" xfId="31178"/>
    <cellStyle name="Normal 20 4 3" xfId="17862"/>
    <cellStyle name="Normal 20 4 3 2" xfId="17863"/>
    <cellStyle name="Normal 20 4 3 2 2" xfId="17864"/>
    <cellStyle name="Normal 20 4 3 2 2 2" xfId="31179"/>
    <cellStyle name="Normal 20 4 3 2 2 2 2" xfId="31180"/>
    <cellStyle name="Normal 20 4 3 2 2 2 2 2" xfId="31181"/>
    <cellStyle name="Normal 20 4 3 2 2 2 3" xfId="31182"/>
    <cellStyle name="Normal 20 4 3 2 2 3" xfId="31183"/>
    <cellStyle name="Normal 20 4 3 2 2 3 2" xfId="31184"/>
    <cellStyle name="Normal 20 4 3 2 2 4" xfId="31185"/>
    <cellStyle name="Normal 20 4 3 2 3" xfId="31186"/>
    <cellStyle name="Normal 20 4 3 2 3 2" xfId="31187"/>
    <cellStyle name="Normal 20 4 3 2 3 2 2" xfId="31188"/>
    <cellStyle name="Normal 20 4 3 2 3 3" xfId="31189"/>
    <cellStyle name="Normal 20 4 3 2 4" xfId="31190"/>
    <cellStyle name="Normal 20 4 3 2 4 2" xfId="31191"/>
    <cellStyle name="Normal 20 4 3 2 5" xfId="31192"/>
    <cellStyle name="Normal 20 4 3 3" xfId="17865"/>
    <cellStyle name="Normal 20 4 3 3 2" xfId="31193"/>
    <cellStyle name="Normal 20 4 3 3 2 2" xfId="31194"/>
    <cellStyle name="Normal 20 4 3 3 2 2 2" xfId="31195"/>
    <cellStyle name="Normal 20 4 3 3 2 3" xfId="31196"/>
    <cellStyle name="Normal 20 4 3 3 3" xfId="31197"/>
    <cellStyle name="Normal 20 4 3 3 3 2" xfId="31198"/>
    <cellStyle name="Normal 20 4 3 3 4" xfId="31199"/>
    <cellStyle name="Normal 20 4 3 4" xfId="31200"/>
    <cellStyle name="Normal 20 4 3 4 2" xfId="31201"/>
    <cellStyle name="Normal 20 4 3 4 2 2" xfId="31202"/>
    <cellStyle name="Normal 20 4 3 4 3" xfId="31203"/>
    <cellStyle name="Normal 20 4 3 5" xfId="31204"/>
    <cellStyle name="Normal 20 4 3 5 2" xfId="31205"/>
    <cellStyle name="Normal 20 4 3 6" xfId="31206"/>
    <cellStyle name="Normal 20 4 4" xfId="17866"/>
    <cellStyle name="Normal 20 4 4 2" xfId="17867"/>
    <cellStyle name="Normal 20 4 4 2 2" xfId="31207"/>
    <cellStyle name="Normal 20 4 4 2 2 2" xfId="31208"/>
    <cellStyle name="Normal 20 4 4 2 2 2 2" xfId="31209"/>
    <cellStyle name="Normal 20 4 4 2 2 3" xfId="31210"/>
    <cellStyle name="Normal 20 4 4 2 3" xfId="31211"/>
    <cellStyle name="Normal 20 4 4 2 3 2" xfId="31212"/>
    <cellStyle name="Normal 20 4 4 2 4" xfId="31213"/>
    <cellStyle name="Normal 20 4 4 3" xfId="31214"/>
    <cellStyle name="Normal 20 4 4 3 2" xfId="31215"/>
    <cellStyle name="Normal 20 4 4 3 2 2" xfId="31216"/>
    <cellStyle name="Normal 20 4 4 3 3" xfId="31217"/>
    <cellStyle name="Normal 20 4 4 4" xfId="31218"/>
    <cellStyle name="Normal 20 4 4 4 2" xfId="31219"/>
    <cellStyle name="Normal 20 4 4 5" xfId="31220"/>
    <cellStyle name="Normal 20 4 5" xfId="17868"/>
    <cellStyle name="Normal 20 4 5 2" xfId="31221"/>
    <cellStyle name="Normal 20 4 5 2 2" xfId="31222"/>
    <cellStyle name="Normal 20 4 5 2 2 2" xfId="31223"/>
    <cellStyle name="Normal 20 4 5 2 3" xfId="31224"/>
    <cellStyle name="Normal 20 4 5 3" xfId="31225"/>
    <cellStyle name="Normal 20 4 5 3 2" xfId="31226"/>
    <cellStyle name="Normal 20 4 5 4" xfId="31227"/>
    <cellStyle name="Normal 20 4 6" xfId="31228"/>
    <cellStyle name="Normal 20 4 6 2" xfId="31229"/>
    <cellStyle name="Normal 20 4 6 2 2" xfId="31230"/>
    <cellStyle name="Normal 20 4 6 3" xfId="31231"/>
    <cellStyle name="Normal 20 4 7" xfId="31232"/>
    <cellStyle name="Normal 20 4 7 2" xfId="31233"/>
    <cellStyle name="Normal 20 4 8" xfId="31234"/>
    <cellStyle name="Normal 20 5" xfId="17869"/>
    <cellStyle name="Normal 20 5 2" xfId="17870"/>
    <cellStyle name="Normal 20 5 2 2" xfId="17871"/>
    <cellStyle name="Normal 20 5 2 2 2" xfId="17872"/>
    <cellStyle name="Normal 20 5 2 2 2 2" xfId="31235"/>
    <cellStyle name="Normal 20 5 2 2 2 2 2" xfId="31236"/>
    <cellStyle name="Normal 20 5 2 2 2 2 2 2" xfId="31237"/>
    <cellStyle name="Normal 20 5 2 2 2 2 3" xfId="31238"/>
    <cellStyle name="Normal 20 5 2 2 2 3" xfId="31239"/>
    <cellStyle name="Normal 20 5 2 2 2 3 2" xfId="31240"/>
    <cellStyle name="Normal 20 5 2 2 2 4" xfId="31241"/>
    <cellStyle name="Normal 20 5 2 2 3" xfId="31242"/>
    <cellStyle name="Normal 20 5 2 2 3 2" xfId="31243"/>
    <cellStyle name="Normal 20 5 2 2 3 2 2" xfId="31244"/>
    <cellStyle name="Normal 20 5 2 2 3 3" xfId="31245"/>
    <cellStyle name="Normal 20 5 2 2 4" xfId="31246"/>
    <cellStyle name="Normal 20 5 2 2 4 2" xfId="31247"/>
    <cellStyle name="Normal 20 5 2 2 5" xfId="31248"/>
    <cellStyle name="Normal 20 5 2 3" xfId="17873"/>
    <cellStyle name="Normal 20 5 2 3 2" xfId="31249"/>
    <cellStyle name="Normal 20 5 2 3 2 2" xfId="31250"/>
    <cellStyle name="Normal 20 5 2 3 2 2 2" xfId="31251"/>
    <cellStyle name="Normal 20 5 2 3 2 3" xfId="31252"/>
    <cellStyle name="Normal 20 5 2 3 3" xfId="31253"/>
    <cellStyle name="Normal 20 5 2 3 3 2" xfId="31254"/>
    <cellStyle name="Normal 20 5 2 3 4" xfId="31255"/>
    <cellStyle name="Normal 20 5 2 4" xfId="31256"/>
    <cellStyle name="Normal 20 5 2 4 2" xfId="31257"/>
    <cellStyle name="Normal 20 5 2 4 2 2" xfId="31258"/>
    <cellStyle name="Normal 20 5 2 4 3" xfId="31259"/>
    <cellStyle name="Normal 20 5 2 5" xfId="31260"/>
    <cellStyle name="Normal 20 5 2 5 2" xfId="31261"/>
    <cellStyle name="Normal 20 5 2 6" xfId="31262"/>
    <cellStyle name="Normal 20 5 3" xfId="17874"/>
    <cellStyle name="Normal 20 5 3 2" xfId="17875"/>
    <cellStyle name="Normal 20 5 3 2 2" xfId="31263"/>
    <cellStyle name="Normal 20 5 3 2 2 2" xfId="31264"/>
    <cellStyle name="Normal 20 5 3 2 2 2 2" xfId="31265"/>
    <cellStyle name="Normal 20 5 3 2 2 3" xfId="31266"/>
    <cellStyle name="Normal 20 5 3 2 3" xfId="31267"/>
    <cellStyle name="Normal 20 5 3 2 3 2" xfId="31268"/>
    <cellStyle name="Normal 20 5 3 2 4" xfId="31269"/>
    <cellStyle name="Normal 20 5 3 3" xfId="31270"/>
    <cellStyle name="Normal 20 5 3 3 2" xfId="31271"/>
    <cellStyle name="Normal 20 5 3 3 2 2" xfId="31272"/>
    <cellStyle name="Normal 20 5 3 3 3" xfId="31273"/>
    <cellStyle name="Normal 20 5 3 4" xfId="31274"/>
    <cellStyle name="Normal 20 5 3 4 2" xfId="31275"/>
    <cellStyle name="Normal 20 5 3 5" xfId="31276"/>
    <cellStyle name="Normal 20 5 4" xfId="17876"/>
    <cellStyle name="Normal 20 5 4 2" xfId="31277"/>
    <cellStyle name="Normal 20 5 4 2 2" xfId="31278"/>
    <cellStyle name="Normal 20 5 4 2 2 2" xfId="31279"/>
    <cellStyle name="Normal 20 5 4 2 3" xfId="31280"/>
    <cellStyle name="Normal 20 5 4 3" xfId="31281"/>
    <cellStyle name="Normal 20 5 4 3 2" xfId="31282"/>
    <cellStyle name="Normal 20 5 4 4" xfId="31283"/>
    <cellStyle name="Normal 20 5 5" xfId="31284"/>
    <cellStyle name="Normal 20 5 5 2" xfId="31285"/>
    <cellStyle name="Normal 20 5 5 2 2" xfId="31286"/>
    <cellStyle name="Normal 20 5 5 3" xfId="31287"/>
    <cellStyle name="Normal 20 5 6" xfId="31288"/>
    <cellStyle name="Normal 20 5 6 2" xfId="31289"/>
    <cellStyle name="Normal 20 5 7" xfId="31290"/>
    <cellStyle name="Normal 20 6" xfId="17877"/>
    <cellStyle name="Normal 20 6 2" xfId="17878"/>
    <cellStyle name="Normal 20 6 2 2" xfId="17879"/>
    <cellStyle name="Normal 20 6 2 2 2" xfId="31291"/>
    <cellStyle name="Normal 20 6 2 2 2 2" xfId="31292"/>
    <cellStyle name="Normal 20 6 2 2 2 2 2" xfId="31293"/>
    <cellStyle name="Normal 20 6 2 2 2 3" xfId="31294"/>
    <cellStyle name="Normal 20 6 2 2 3" xfId="31295"/>
    <cellStyle name="Normal 20 6 2 2 3 2" xfId="31296"/>
    <cellStyle name="Normal 20 6 2 2 4" xfId="31297"/>
    <cellStyle name="Normal 20 6 2 3" xfId="31298"/>
    <cellStyle name="Normal 20 6 2 3 2" xfId="31299"/>
    <cellStyle name="Normal 20 6 2 3 2 2" xfId="31300"/>
    <cellStyle name="Normal 20 6 2 3 3" xfId="31301"/>
    <cellStyle name="Normal 20 6 2 4" xfId="31302"/>
    <cellStyle name="Normal 20 6 2 4 2" xfId="31303"/>
    <cellStyle name="Normal 20 6 2 5" xfId="31304"/>
    <cellStyle name="Normal 20 6 3" xfId="17880"/>
    <cellStyle name="Normal 20 6 3 2" xfId="31305"/>
    <cellStyle name="Normal 20 6 3 2 2" xfId="31306"/>
    <cellStyle name="Normal 20 6 3 2 2 2" xfId="31307"/>
    <cellStyle name="Normal 20 6 3 2 3" xfId="31308"/>
    <cellStyle name="Normal 20 6 3 3" xfId="31309"/>
    <cellStyle name="Normal 20 6 3 3 2" xfId="31310"/>
    <cellStyle name="Normal 20 6 3 4" xfId="31311"/>
    <cellStyle name="Normal 20 6 4" xfId="31312"/>
    <cellStyle name="Normal 20 6 4 2" xfId="31313"/>
    <cellStyle name="Normal 20 6 4 2 2" xfId="31314"/>
    <cellStyle name="Normal 20 6 4 3" xfId="31315"/>
    <cellStyle name="Normal 20 6 5" xfId="31316"/>
    <cellStyle name="Normal 20 6 5 2" xfId="31317"/>
    <cellStyle name="Normal 20 6 6" xfId="31318"/>
    <cellStyle name="Normal 20 7" xfId="17881"/>
    <cellStyle name="Normal 20 7 2" xfId="17882"/>
    <cellStyle name="Normal 20 7 2 2" xfId="31319"/>
    <cellStyle name="Normal 20 7 2 2 2" xfId="31320"/>
    <cellStyle name="Normal 20 7 2 2 2 2" xfId="31321"/>
    <cellStyle name="Normal 20 7 2 2 3" xfId="31322"/>
    <cellStyle name="Normal 20 7 2 3" xfId="31323"/>
    <cellStyle name="Normal 20 7 2 3 2" xfId="31324"/>
    <cellStyle name="Normal 20 7 2 4" xfId="31325"/>
    <cellStyle name="Normal 20 7 3" xfId="31326"/>
    <cellStyle name="Normal 20 7 3 2" xfId="31327"/>
    <cellStyle name="Normal 20 7 3 2 2" xfId="31328"/>
    <cellStyle name="Normal 20 7 3 3" xfId="31329"/>
    <cellStyle name="Normal 20 7 4" xfId="31330"/>
    <cellStyle name="Normal 20 7 4 2" xfId="31331"/>
    <cellStyle name="Normal 20 7 5" xfId="31332"/>
    <cellStyle name="Normal 20 8" xfId="17883"/>
    <cellStyle name="Normal 20 8 2" xfId="31333"/>
    <cellStyle name="Normal 20 8 2 2" xfId="31334"/>
    <cellStyle name="Normal 20 8 2 2 2" xfId="31335"/>
    <cellStyle name="Normal 20 8 2 3" xfId="31336"/>
    <cellStyle name="Normal 20 8 3" xfId="31337"/>
    <cellStyle name="Normal 20 8 3 2" xfId="31338"/>
    <cellStyle name="Normal 20 8 4" xfId="31339"/>
    <cellStyle name="Normal 20 9" xfId="31340"/>
    <cellStyle name="Normal 20 9 2" xfId="31341"/>
    <cellStyle name="Normal 20 9 2 2" xfId="31342"/>
    <cellStyle name="Normal 20 9 3" xfId="31343"/>
    <cellStyle name="Normal 200" xfId="31344"/>
    <cellStyle name="Normal 200 2" xfId="31345"/>
    <cellStyle name="Normal 200 2 2" xfId="31346"/>
    <cellStyle name="Normal 200 3" xfId="31347"/>
    <cellStyle name="Normal 201" xfId="31348"/>
    <cellStyle name="Normal 201 2" xfId="31349"/>
    <cellStyle name="Normal 201 2 2" xfId="31350"/>
    <cellStyle name="Normal 201 3" xfId="31351"/>
    <cellStyle name="Normal 202" xfId="31352"/>
    <cellStyle name="Normal 202 2" xfId="31353"/>
    <cellStyle name="Normal 203" xfId="31354"/>
    <cellStyle name="Normal 203 2" xfId="31355"/>
    <cellStyle name="Normal 203 2 2" xfId="31356"/>
    <cellStyle name="Normal 203 3" xfId="31357"/>
    <cellStyle name="Normal 204" xfId="31358"/>
    <cellStyle name="Normal 204 2" xfId="31359"/>
    <cellStyle name="Normal 204 2 2" xfId="31360"/>
    <cellStyle name="Normal 204 3" xfId="31361"/>
    <cellStyle name="Normal 205" xfId="31362"/>
    <cellStyle name="Normal 205 2" xfId="31363"/>
    <cellStyle name="Normal 206" xfId="31364"/>
    <cellStyle name="Normal 206 2" xfId="31365"/>
    <cellStyle name="Normal 206 2 2" xfId="31366"/>
    <cellStyle name="Normal 206 3" xfId="31367"/>
    <cellStyle name="Normal 207" xfId="31368"/>
    <cellStyle name="Normal 207 2" xfId="31369"/>
    <cellStyle name="Normal 207 2 2" xfId="31370"/>
    <cellStyle name="Normal 207 3" xfId="31371"/>
    <cellStyle name="Normal 208" xfId="31372"/>
    <cellStyle name="Normal 208 2" xfId="31373"/>
    <cellStyle name="Normal 208 2 2" xfId="31374"/>
    <cellStyle name="Normal 208 3" xfId="31375"/>
    <cellStyle name="Normal 209" xfId="31376"/>
    <cellStyle name="Normal 209 2" xfId="31377"/>
    <cellStyle name="Normal 209 2 2" xfId="31378"/>
    <cellStyle name="Normal 209 3" xfId="31379"/>
    <cellStyle name="Normal 21" xfId="10050"/>
    <cellStyle name="Normal 21 2" xfId="10051"/>
    <cellStyle name="Normal 21 2 2" xfId="19264"/>
    <cellStyle name="Normal 21 2 3" xfId="31380"/>
    <cellStyle name="Normal 21 3" xfId="10052"/>
    <cellStyle name="Normal 21 3 2" xfId="19265"/>
    <cellStyle name="Normal 21 4" xfId="19263"/>
    <cellStyle name="Normal 21 5" xfId="31381"/>
    <cellStyle name="Normal 210" xfId="31382"/>
    <cellStyle name="Normal 210 2" xfId="31383"/>
    <cellStyle name="Normal 210 2 2" xfId="31384"/>
    <cellStyle name="Normal 210 3" xfId="31385"/>
    <cellStyle name="Normal 211" xfId="31386"/>
    <cellStyle name="Normal 211 2" xfId="31387"/>
    <cellStyle name="Normal 212" xfId="31388"/>
    <cellStyle name="Normal 213" xfId="31389"/>
    <cellStyle name="Normal 213 2" xfId="31390"/>
    <cellStyle name="Normal 214" xfId="31391"/>
    <cellStyle name="Normal 214 2" xfId="31392"/>
    <cellStyle name="Normal 215" xfId="31393"/>
    <cellStyle name="Normal 216" xfId="31394"/>
    <cellStyle name="Normal 217" xfId="31395"/>
    <cellStyle name="Normal 218" xfId="31396"/>
    <cellStyle name="Normal 219" xfId="31397"/>
    <cellStyle name="Normal 22" xfId="10053"/>
    <cellStyle name="Normal 22 10" xfId="31398"/>
    <cellStyle name="Normal 22 10 2" xfId="31399"/>
    <cellStyle name="Normal 22 11" xfId="31400"/>
    <cellStyle name="Normal 22 12" xfId="31401"/>
    <cellStyle name="Normal 22 2" xfId="10054"/>
    <cellStyle name="Normal 22 2 10" xfId="31402"/>
    <cellStyle name="Normal 22 2 11" xfId="31403"/>
    <cellStyle name="Normal 22 2 2" xfId="17884"/>
    <cellStyle name="Normal 22 2 2 10" xfId="31404"/>
    <cellStyle name="Normal 22 2 2 2" xfId="17885"/>
    <cellStyle name="Normal 22 2 2 2 2" xfId="17886"/>
    <cellStyle name="Normal 22 2 2 2 2 2" xfId="17887"/>
    <cellStyle name="Normal 22 2 2 2 2 2 2" xfId="17888"/>
    <cellStyle name="Normal 22 2 2 2 2 2 2 2" xfId="17889"/>
    <cellStyle name="Normal 22 2 2 2 2 2 2 2 2" xfId="17890"/>
    <cellStyle name="Normal 22 2 2 2 2 2 2 2 2 2" xfId="17891"/>
    <cellStyle name="Normal 22 2 2 2 2 2 2 2 2 2 2" xfId="17892"/>
    <cellStyle name="Normal 22 2 2 2 2 2 2 2 2 2 2 2" xfId="31405"/>
    <cellStyle name="Normal 22 2 2 2 2 2 2 2 2 2 2 2 2" xfId="31406"/>
    <cellStyle name="Normal 22 2 2 2 2 2 2 2 2 2 2 2 2 2" xfId="31407"/>
    <cellStyle name="Normal 22 2 2 2 2 2 2 2 2 2 2 2 3" xfId="31408"/>
    <cellStyle name="Normal 22 2 2 2 2 2 2 2 2 2 2 3" xfId="31409"/>
    <cellStyle name="Normal 22 2 2 2 2 2 2 2 2 2 2 3 2" xfId="31410"/>
    <cellStyle name="Normal 22 2 2 2 2 2 2 2 2 2 2 4" xfId="31411"/>
    <cellStyle name="Normal 22 2 2 2 2 2 2 2 2 2 3" xfId="31412"/>
    <cellStyle name="Normal 22 2 2 2 2 2 2 2 2 2 3 2" xfId="31413"/>
    <cellStyle name="Normal 22 2 2 2 2 2 2 2 2 2 3 2 2" xfId="31414"/>
    <cellStyle name="Normal 22 2 2 2 2 2 2 2 2 2 3 3" xfId="31415"/>
    <cellStyle name="Normal 22 2 2 2 2 2 2 2 2 2 4" xfId="31416"/>
    <cellStyle name="Normal 22 2 2 2 2 2 2 2 2 2 4 2" xfId="31417"/>
    <cellStyle name="Normal 22 2 2 2 2 2 2 2 2 2 5" xfId="31418"/>
    <cellStyle name="Normal 22 2 2 2 2 2 2 2 2 3" xfId="17893"/>
    <cellStyle name="Normal 22 2 2 2 2 2 2 2 2 3 2" xfId="31419"/>
    <cellStyle name="Normal 22 2 2 2 2 2 2 2 2 3 2 2" xfId="31420"/>
    <cellStyle name="Normal 22 2 2 2 2 2 2 2 2 3 2 2 2" xfId="31421"/>
    <cellStyle name="Normal 22 2 2 2 2 2 2 2 2 3 2 3" xfId="31422"/>
    <cellStyle name="Normal 22 2 2 2 2 2 2 2 2 3 3" xfId="31423"/>
    <cellStyle name="Normal 22 2 2 2 2 2 2 2 2 3 3 2" xfId="31424"/>
    <cellStyle name="Normal 22 2 2 2 2 2 2 2 2 3 4" xfId="31425"/>
    <cellStyle name="Normal 22 2 2 2 2 2 2 2 2 4" xfId="31426"/>
    <cellStyle name="Normal 22 2 2 2 2 2 2 2 2 4 2" xfId="31427"/>
    <cellStyle name="Normal 22 2 2 2 2 2 2 2 2 4 2 2" xfId="31428"/>
    <cellStyle name="Normal 22 2 2 2 2 2 2 2 2 4 3" xfId="31429"/>
    <cellStyle name="Normal 22 2 2 2 2 2 2 2 2 5" xfId="31430"/>
    <cellStyle name="Normal 22 2 2 2 2 2 2 2 2 5 2" xfId="31431"/>
    <cellStyle name="Normal 22 2 2 2 2 2 2 2 2 6" xfId="31432"/>
    <cellStyle name="Normal 22 2 2 2 2 2 2 2 3" xfId="17894"/>
    <cellStyle name="Normal 22 2 2 2 2 2 2 2 3 2" xfId="17895"/>
    <cellStyle name="Normal 22 2 2 2 2 2 2 2 3 2 2" xfId="31433"/>
    <cellStyle name="Normal 22 2 2 2 2 2 2 2 3 2 2 2" xfId="31434"/>
    <cellStyle name="Normal 22 2 2 2 2 2 2 2 3 2 2 2 2" xfId="31435"/>
    <cellStyle name="Normal 22 2 2 2 2 2 2 2 3 2 2 3" xfId="31436"/>
    <cellStyle name="Normal 22 2 2 2 2 2 2 2 3 2 3" xfId="31437"/>
    <cellStyle name="Normal 22 2 2 2 2 2 2 2 3 2 3 2" xfId="31438"/>
    <cellStyle name="Normal 22 2 2 2 2 2 2 2 3 2 4" xfId="31439"/>
    <cellStyle name="Normal 22 2 2 2 2 2 2 2 3 3" xfId="31440"/>
    <cellStyle name="Normal 22 2 2 2 2 2 2 2 3 3 2" xfId="31441"/>
    <cellStyle name="Normal 22 2 2 2 2 2 2 2 3 3 2 2" xfId="31442"/>
    <cellStyle name="Normal 22 2 2 2 2 2 2 2 3 3 3" xfId="31443"/>
    <cellStyle name="Normal 22 2 2 2 2 2 2 2 3 4" xfId="31444"/>
    <cellStyle name="Normal 22 2 2 2 2 2 2 2 3 4 2" xfId="31445"/>
    <cellStyle name="Normal 22 2 2 2 2 2 2 2 3 5" xfId="31446"/>
    <cellStyle name="Normal 22 2 2 2 2 2 2 2 4" xfId="17896"/>
    <cellStyle name="Normal 22 2 2 2 2 2 2 2 4 2" xfId="31447"/>
    <cellStyle name="Normal 22 2 2 2 2 2 2 2 4 2 2" xfId="31448"/>
    <cellStyle name="Normal 22 2 2 2 2 2 2 2 4 2 2 2" xfId="31449"/>
    <cellStyle name="Normal 22 2 2 2 2 2 2 2 4 2 3" xfId="31450"/>
    <cellStyle name="Normal 22 2 2 2 2 2 2 2 4 3" xfId="31451"/>
    <cellStyle name="Normal 22 2 2 2 2 2 2 2 4 3 2" xfId="31452"/>
    <cellStyle name="Normal 22 2 2 2 2 2 2 2 4 4" xfId="31453"/>
    <cellStyle name="Normal 22 2 2 2 2 2 2 2 5" xfId="31454"/>
    <cellStyle name="Normal 22 2 2 2 2 2 2 2 5 2" xfId="31455"/>
    <cellStyle name="Normal 22 2 2 2 2 2 2 2 5 2 2" xfId="31456"/>
    <cellStyle name="Normal 22 2 2 2 2 2 2 2 5 3" xfId="31457"/>
    <cellStyle name="Normal 22 2 2 2 2 2 2 2 6" xfId="31458"/>
    <cellStyle name="Normal 22 2 2 2 2 2 2 2 6 2" xfId="31459"/>
    <cellStyle name="Normal 22 2 2 2 2 2 2 2 7" xfId="31460"/>
    <cellStyle name="Normal 22 2 2 2 2 2 2 3" xfId="17897"/>
    <cellStyle name="Normal 22 2 2 2 2 2 2 3 2" xfId="17898"/>
    <cellStyle name="Normal 22 2 2 2 2 2 2 3 2 2" xfId="17899"/>
    <cellStyle name="Normal 22 2 2 2 2 2 2 3 2 2 2" xfId="17900"/>
    <cellStyle name="Normal 22 2 2 2 2 2 2 3 2 2 2 2" xfId="31461"/>
    <cellStyle name="Normal 22 2 2 2 2 2 2 3 2 2 2 2 2" xfId="31462"/>
    <cellStyle name="Normal 22 2 2 2 2 2 2 3 2 2 2 2 2 2" xfId="31463"/>
    <cellStyle name="Normal 22 2 2 2 2 2 2 3 2 2 2 2 3" xfId="31464"/>
    <cellStyle name="Normal 22 2 2 2 2 2 2 3 2 2 2 3" xfId="31465"/>
    <cellStyle name="Normal 22 2 2 2 2 2 2 3 2 2 2 3 2" xfId="31466"/>
    <cellStyle name="Normal 22 2 2 2 2 2 2 3 2 2 2 4" xfId="31467"/>
    <cellStyle name="Normal 22 2 2 2 2 2 2 3 2 2 3" xfId="31468"/>
    <cellStyle name="Normal 22 2 2 2 2 2 2 3 2 2 3 2" xfId="31469"/>
    <cellStyle name="Normal 22 2 2 2 2 2 2 3 2 2 3 2 2" xfId="31470"/>
    <cellStyle name="Normal 22 2 2 2 2 2 2 3 2 2 3 3" xfId="31471"/>
    <cellStyle name="Normal 22 2 2 2 2 2 2 3 2 2 4" xfId="31472"/>
    <cellStyle name="Normal 22 2 2 2 2 2 2 3 2 2 4 2" xfId="31473"/>
    <cellStyle name="Normal 22 2 2 2 2 2 2 3 2 2 5" xfId="31474"/>
    <cellStyle name="Normal 22 2 2 2 2 2 2 3 2 3" xfId="17901"/>
    <cellStyle name="Normal 22 2 2 2 2 2 2 3 2 3 2" xfId="31475"/>
    <cellStyle name="Normal 22 2 2 2 2 2 2 3 2 3 2 2" xfId="31476"/>
    <cellStyle name="Normal 22 2 2 2 2 2 2 3 2 3 2 2 2" xfId="31477"/>
    <cellStyle name="Normal 22 2 2 2 2 2 2 3 2 3 2 3" xfId="31478"/>
    <cellStyle name="Normal 22 2 2 2 2 2 2 3 2 3 3" xfId="31479"/>
    <cellStyle name="Normal 22 2 2 2 2 2 2 3 2 3 3 2" xfId="31480"/>
    <cellStyle name="Normal 22 2 2 2 2 2 2 3 2 3 4" xfId="31481"/>
    <cellStyle name="Normal 22 2 2 2 2 2 2 3 2 4" xfId="31482"/>
    <cellStyle name="Normal 22 2 2 2 2 2 2 3 2 4 2" xfId="31483"/>
    <cellStyle name="Normal 22 2 2 2 2 2 2 3 2 4 2 2" xfId="31484"/>
    <cellStyle name="Normal 22 2 2 2 2 2 2 3 2 4 3" xfId="31485"/>
    <cellStyle name="Normal 22 2 2 2 2 2 2 3 2 5" xfId="31486"/>
    <cellStyle name="Normal 22 2 2 2 2 2 2 3 2 5 2" xfId="31487"/>
    <cellStyle name="Normal 22 2 2 2 2 2 2 3 2 6" xfId="31488"/>
    <cellStyle name="Normal 22 2 2 2 2 2 2 3 3" xfId="17902"/>
    <cellStyle name="Normal 22 2 2 2 2 2 2 3 3 2" xfId="17903"/>
    <cellStyle name="Normal 22 2 2 2 2 2 2 3 3 2 2" xfId="31489"/>
    <cellStyle name="Normal 22 2 2 2 2 2 2 3 3 2 2 2" xfId="31490"/>
    <cellStyle name="Normal 22 2 2 2 2 2 2 3 3 2 2 2 2" xfId="31491"/>
    <cellStyle name="Normal 22 2 2 2 2 2 2 3 3 2 2 3" xfId="31492"/>
    <cellStyle name="Normal 22 2 2 2 2 2 2 3 3 2 3" xfId="31493"/>
    <cellStyle name="Normal 22 2 2 2 2 2 2 3 3 2 3 2" xfId="31494"/>
    <cellStyle name="Normal 22 2 2 2 2 2 2 3 3 2 4" xfId="31495"/>
    <cellStyle name="Normal 22 2 2 2 2 2 2 3 3 3" xfId="31496"/>
    <cellStyle name="Normal 22 2 2 2 2 2 2 3 3 3 2" xfId="31497"/>
    <cellStyle name="Normal 22 2 2 2 2 2 2 3 3 3 2 2" xfId="31498"/>
    <cellStyle name="Normal 22 2 2 2 2 2 2 3 3 3 3" xfId="31499"/>
    <cellStyle name="Normal 22 2 2 2 2 2 2 3 3 4" xfId="31500"/>
    <cellStyle name="Normal 22 2 2 2 2 2 2 3 3 4 2" xfId="31501"/>
    <cellStyle name="Normal 22 2 2 2 2 2 2 3 3 5" xfId="31502"/>
    <cellStyle name="Normal 22 2 2 2 2 2 2 3 4" xfId="17904"/>
    <cellStyle name="Normal 22 2 2 2 2 2 2 3 4 2" xfId="31503"/>
    <cellStyle name="Normal 22 2 2 2 2 2 2 3 4 2 2" xfId="31504"/>
    <cellStyle name="Normal 22 2 2 2 2 2 2 3 4 2 2 2" xfId="31505"/>
    <cellStyle name="Normal 22 2 2 2 2 2 2 3 4 2 3" xfId="31506"/>
    <cellStyle name="Normal 22 2 2 2 2 2 2 3 4 3" xfId="31507"/>
    <cellStyle name="Normal 22 2 2 2 2 2 2 3 4 3 2" xfId="31508"/>
    <cellStyle name="Normal 22 2 2 2 2 2 2 3 4 4" xfId="31509"/>
    <cellStyle name="Normal 22 2 2 2 2 2 2 3 5" xfId="31510"/>
    <cellStyle name="Normal 22 2 2 2 2 2 2 3 5 2" xfId="31511"/>
    <cellStyle name="Normal 22 2 2 2 2 2 2 3 5 2 2" xfId="31512"/>
    <cellStyle name="Normal 22 2 2 2 2 2 2 3 5 3" xfId="31513"/>
    <cellStyle name="Normal 22 2 2 2 2 2 2 3 6" xfId="31514"/>
    <cellStyle name="Normal 22 2 2 2 2 2 2 3 6 2" xfId="31515"/>
    <cellStyle name="Normal 22 2 2 2 2 2 2 3 7" xfId="31516"/>
    <cellStyle name="Normal 22 2 2 2 2 2 2 4" xfId="17905"/>
    <cellStyle name="Normal 22 2 2 2 2 2 2 4 2" xfId="17906"/>
    <cellStyle name="Normal 22 2 2 2 2 2 2 4 2 2" xfId="17907"/>
    <cellStyle name="Normal 22 2 2 2 2 2 2 4 2 2 2" xfId="31517"/>
    <cellStyle name="Normal 22 2 2 2 2 2 2 4 2 2 2 2" xfId="31518"/>
    <cellStyle name="Normal 22 2 2 2 2 2 2 4 2 2 2 2 2" xfId="31519"/>
    <cellStyle name="Normal 22 2 2 2 2 2 2 4 2 2 2 3" xfId="31520"/>
    <cellStyle name="Normal 22 2 2 2 2 2 2 4 2 2 3" xfId="31521"/>
    <cellStyle name="Normal 22 2 2 2 2 2 2 4 2 2 3 2" xfId="31522"/>
    <cellStyle name="Normal 22 2 2 2 2 2 2 4 2 2 4" xfId="31523"/>
    <cellStyle name="Normal 22 2 2 2 2 2 2 4 2 3" xfId="31524"/>
    <cellStyle name="Normal 22 2 2 2 2 2 2 4 2 3 2" xfId="31525"/>
    <cellStyle name="Normal 22 2 2 2 2 2 2 4 2 3 2 2" xfId="31526"/>
    <cellStyle name="Normal 22 2 2 2 2 2 2 4 2 3 3" xfId="31527"/>
    <cellStyle name="Normal 22 2 2 2 2 2 2 4 2 4" xfId="31528"/>
    <cellStyle name="Normal 22 2 2 2 2 2 2 4 2 4 2" xfId="31529"/>
    <cellStyle name="Normal 22 2 2 2 2 2 2 4 2 5" xfId="31530"/>
    <cellStyle name="Normal 22 2 2 2 2 2 2 4 3" xfId="17908"/>
    <cellStyle name="Normal 22 2 2 2 2 2 2 4 3 2" xfId="31531"/>
    <cellStyle name="Normal 22 2 2 2 2 2 2 4 3 2 2" xfId="31532"/>
    <cellStyle name="Normal 22 2 2 2 2 2 2 4 3 2 2 2" xfId="31533"/>
    <cellStyle name="Normal 22 2 2 2 2 2 2 4 3 2 3" xfId="31534"/>
    <cellStyle name="Normal 22 2 2 2 2 2 2 4 3 3" xfId="31535"/>
    <cellStyle name="Normal 22 2 2 2 2 2 2 4 3 3 2" xfId="31536"/>
    <cellStyle name="Normal 22 2 2 2 2 2 2 4 3 4" xfId="31537"/>
    <cellStyle name="Normal 22 2 2 2 2 2 2 4 4" xfId="31538"/>
    <cellStyle name="Normal 22 2 2 2 2 2 2 4 4 2" xfId="31539"/>
    <cellStyle name="Normal 22 2 2 2 2 2 2 4 4 2 2" xfId="31540"/>
    <cellStyle name="Normal 22 2 2 2 2 2 2 4 4 3" xfId="31541"/>
    <cellStyle name="Normal 22 2 2 2 2 2 2 4 5" xfId="31542"/>
    <cellStyle name="Normal 22 2 2 2 2 2 2 4 5 2" xfId="31543"/>
    <cellStyle name="Normal 22 2 2 2 2 2 2 4 6" xfId="31544"/>
    <cellStyle name="Normal 22 2 2 2 2 2 2 5" xfId="17909"/>
    <cellStyle name="Normal 22 2 2 2 2 2 2 5 2" xfId="17910"/>
    <cellStyle name="Normal 22 2 2 2 2 2 2 5 2 2" xfId="31545"/>
    <cellStyle name="Normal 22 2 2 2 2 2 2 5 2 2 2" xfId="31546"/>
    <cellStyle name="Normal 22 2 2 2 2 2 2 5 2 2 2 2" xfId="31547"/>
    <cellStyle name="Normal 22 2 2 2 2 2 2 5 2 2 3" xfId="31548"/>
    <cellStyle name="Normal 22 2 2 2 2 2 2 5 2 3" xfId="31549"/>
    <cellStyle name="Normal 22 2 2 2 2 2 2 5 2 3 2" xfId="31550"/>
    <cellStyle name="Normal 22 2 2 2 2 2 2 5 2 4" xfId="31551"/>
    <cellStyle name="Normal 22 2 2 2 2 2 2 5 3" xfId="31552"/>
    <cellStyle name="Normal 22 2 2 2 2 2 2 5 3 2" xfId="31553"/>
    <cellStyle name="Normal 22 2 2 2 2 2 2 5 3 2 2" xfId="31554"/>
    <cellStyle name="Normal 22 2 2 2 2 2 2 5 3 3" xfId="31555"/>
    <cellStyle name="Normal 22 2 2 2 2 2 2 5 4" xfId="31556"/>
    <cellStyle name="Normal 22 2 2 2 2 2 2 5 4 2" xfId="31557"/>
    <cellStyle name="Normal 22 2 2 2 2 2 2 5 5" xfId="31558"/>
    <cellStyle name="Normal 22 2 2 2 2 2 2 6" xfId="17911"/>
    <cellStyle name="Normal 22 2 2 2 2 2 2 6 2" xfId="31559"/>
    <cellStyle name="Normal 22 2 2 2 2 2 2 6 2 2" xfId="31560"/>
    <cellStyle name="Normal 22 2 2 2 2 2 2 6 2 2 2" xfId="31561"/>
    <cellStyle name="Normal 22 2 2 2 2 2 2 6 2 3" xfId="31562"/>
    <cellStyle name="Normal 22 2 2 2 2 2 2 6 3" xfId="31563"/>
    <cellStyle name="Normal 22 2 2 2 2 2 2 6 3 2" xfId="31564"/>
    <cellStyle name="Normal 22 2 2 2 2 2 2 6 4" xfId="31565"/>
    <cellStyle name="Normal 22 2 2 2 2 2 2 7" xfId="31566"/>
    <cellStyle name="Normal 22 2 2 2 2 2 2 7 2" xfId="31567"/>
    <cellStyle name="Normal 22 2 2 2 2 2 2 7 2 2" xfId="31568"/>
    <cellStyle name="Normal 22 2 2 2 2 2 2 7 3" xfId="31569"/>
    <cellStyle name="Normal 22 2 2 2 2 2 2 8" xfId="31570"/>
    <cellStyle name="Normal 22 2 2 2 2 2 2 8 2" xfId="31571"/>
    <cellStyle name="Normal 22 2 2 2 2 2 2 9" xfId="31572"/>
    <cellStyle name="Normal 22 2 2 2 2 2 3" xfId="17912"/>
    <cellStyle name="Normal 22 2 2 2 2 2 3 2" xfId="17913"/>
    <cellStyle name="Normal 22 2 2 2 2 2 3 2 2" xfId="17914"/>
    <cellStyle name="Normal 22 2 2 2 2 2 3 2 2 2" xfId="17915"/>
    <cellStyle name="Normal 22 2 2 2 2 2 3 2 2 2 2" xfId="31573"/>
    <cellStyle name="Normal 22 2 2 2 2 2 3 2 2 2 2 2" xfId="31574"/>
    <cellStyle name="Normal 22 2 2 2 2 2 3 2 2 2 2 2 2" xfId="31575"/>
    <cellStyle name="Normal 22 2 2 2 2 2 3 2 2 2 2 3" xfId="31576"/>
    <cellStyle name="Normal 22 2 2 2 2 2 3 2 2 2 3" xfId="31577"/>
    <cellStyle name="Normal 22 2 2 2 2 2 3 2 2 2 3 2" xfId="31578"/>
    <cellStyle name="Normal 22 2 2 2 2 2 3 2 2 2 4" xfId="31579"/>
    <cellStyle name="Normal 22 2 2 2 2 2 3 2 2 3" xfId="31580"/>
    <cellStyle name="Normal 22 2 2 2 2 2 3 2 2 3 2" xfId="31581"/>
    <cellStyle name="Normal 22 2 2 2 2 2 3 2 2 3 2 2" xfId="31582"/>
    <cellStyle name="Normal 22 2 2 2 2 2 3 2 2 3 3" xfId="31583"/>
    <cellStyle name="Normal 22 2 2 2 2 2 3 2 2 4" xfId="31584"/>
    <cellStyle name="Normal 22 2 2 2 2 2 3 2 2 4 2" xfId="31585"/>
    <cellStyle name="Normal 22 2 2 2 2 2 3 2 2 5" xfId="31586"/>
    <cellStyle name="Normal 22 2 2 2 2 2 3 2 3" xfId="17916"/>
    <cellStyle name="Normal 22 2 2 2 2 2 3 2 3 2" xfId="31587"/>
    <cellStyle name="Normal 22 2 2 2 2 2 3 2 3 2 2" xfId="31588"/>
    <cellStyle name="Normal 22 2 2 2 2 2 3 2 3 2 2 2" xfId="31589"/>
    <cellStyle name="Normal 22 2 2 2 2 2 3 2 3 2 3" xfId="31590"/>
    <cellStyle name="Normal 22 2 2 2 2 2 3 2 3 3" xfId="31591"/>
    <cellStyle name="Normal 22 2 2 2 2 2 3 2 3 3 2" xfId="31592"/>
    <cellStyle name="Normal 22 2 2 2 2 2 3 2 3 4" xfId="31593"/>
    <cellStyle name="Normal 22 2 2 2 2 2 3 2 4" xfId="31594"/>
    <cellStyle name="Normal 22 2 2 2 2 2 3 2 4 2" xfId="31595"/>
    <cellStyle name="Normal 22 2 2 2 2 2 3 2 4 2 2" xfId="31596"/>
    <cellStyle name="Normal 22 2 2 2 2 2 3 2 4 3" xfId="31597"/>
    <cellStyle name="Normal 22 2 2 2 2 2 3 2 5" xfId="31598"/>
    <cellStyle name="Normal 22 2 2 2 2 2 3 2 5 2" xfId="31599"/>
    <cellStyle name="Normal 22 2 2 2 2 2 3 2 6" xfId="31600"/>
    <cellStyle name="Normal 22 2 2 2 2 2 3 3" xfId="17917"/>
    <cellStyle name="Normal 22 2 2 2 2 2 3 3 2" xfId="17918"/>
    <cellStyle name="Normal 22 2 2 2 2 2 3 3 2 2" xfId="31601"/>
    <cellStyle name="Normal 22 2 2 2 2 2 3 3 2 2 2" xfId="31602"/>
    <cellStyle name="Normal 22 2 2 2 2 2 3 3 2 2 2 2" xfId="31603"/>
    <cellStyle name="Normal 22 2 2 2 2 2 3 3 2 2 3" xfId="31604"/>
    <cellStyle name="Normal 22 2 2 2 2 2 3 3 2 3" xfId="31605"/>
    <cellStyle name="Normal 22 2 2 2 2 2 3 3 2 3 2" xfId="31606"/>
    <cellStyle name="Normal 22 2 2 2 2 2 3 3 2 4" xfId="31607"/>
    <cellStyle name="Normal 22 2 2 2 2 2 3 3 3" xfId="31608"/>
    <cellStyle name="Normal 22 2 2 2 2 2 3 3 3 2" xfId="31609"/>
    <cellStyle name="Normal 22 2 2 2 2 2 3 3 3 2 2" xfId="31610"/>
    <cellStyle name="Normal 22 2 2 2 2 2 3 3 3 3" xfId="31611"/>
    <cellStyle name="Normal 22 2 2 2 2 2 3 3 4" xfId="31612"/>
    <cellStyle name="Normal 22 2 2 2 2 2 3 3 4 2" xfId="31613"/>
    <cellStyle name="Normal 22 2 2 2 2 2 3 3 5" xfId="31614"/>
    <cellStyle name="Normal 22 2 2 2 2 2 3 4" xfId="17919"/>
    <cellStyle name="Normal 22 2 2 2 2 2 3 4 2" xfId="31615"/>
    <cellStyle name="Normal 22 2 2 2 2 2 3 4 2 2" xfId="31616"/>
    <cellStyle name="Normal 22 2 2 2 2 2 3 4 2 2 2" xfId="31617"/>
    <cellStyle name="Normal 22 2 2 2 2 2 3 4 2 3" xfId="31618"/>
    <cellStyle name="Normal 22 2 2 2 2 2 3 4 3" xfId="31619"/>
    <cellStyle name="Normal 22 2 2 2 2 2 3 4 3 2" xfId="31620"/>
    <cellStyle name="Normal 22 2 2 2 2 2 3 4 4" xfId="31621"/>
    <cellStyle name="Normal 22 2 2 2 2 2 3 5" xfId="31622"/>
    <cellStyle name="Normal 22 2 2 2 2 2 3 5 2" xfId="31623"/>
    <cellStyle name="Normal 22 2 2 2 2 2 3 5 2 2" xfId="31624"/>
    <cellStyle name="Normal 22 2 2 2 2 2 3 5 3" xfId="31625"/>
    <cellStyle name="Normal 22 2 2 2 2 2 3 6" xfId="31626"/>
    <cellStyle name="Normal 22 2 2 2 2 2 3 6 2" xfId="31627"/>
    <cellStyle name="Normal 22 2 2 2 2 2 3 7" xfId="31628"/>
    <cellStyle name="Normal 22 2 2 2 2 2 4" xfId="17920"/>
    <cellStyle name="Normal 22 2 2 2 2 2 4 2" xfId="17921"/>
    <cellStyle name="Normal 22 2 2 2 2 2 4 2 2" xfId="17922"/>
    <cellStyle name="Normal 22 2 2 2 2 2 4 2 2 2" xfId="31629"/>
    <cellStyle name="Normal 22 2 2 2 2 2 4 2 2 2 2" xfId="31630"/>
    <cellStyle name="Normal 22 2 2 2 2 2 4 2 2 2 2 2" xfId="31631"/>
    <cellStyle name="Normal 22 2 2 2 2 2 4 2 2 2 3" xfId="31632"/>
    <cellStyle name="Normal 22 2 2 2 2 2 4 2 2 3" xfId="31633"/>
    <cellStyle name="Normal 22 2 2 2 2 2 4 2 2 3 2" xfId="31634"/>
    <cellStyle name="Normal 22 2 2 2 2 2 4 2 2 4" xfId="31635"/>
    <cellStyle name="Normal 22 2 2 2 2 2 4 2 3" xfId="31636"/>
    <cellStyle name="Normal 22 2 2 2 2 2 4 2 3 2" xfId="31637"/>
    <cellStyle name="Normal 22 2 2 2 2 2 4 2 3 2 2" xfId="31638"/>
    <cellStyle name="Normal 22 2 2 2 2 2 4 2 3 3" xfId="31639"/>
    <cellStyle name="Normal 22 2 2 2 2 2 4 2 4" xfId="31640"/>
    <cellStyle name="Normal 22 2 2 2 2 2 4 2 4 2" xfId="31641"/>
    <cellStyle name="Normal 22 2 2 2 2 2 4 2 5" xfId="31642"/>
    <cellStyle name="Normal 22 2 2 2 2 2 4 3" xfId="17923"/>
    <cellStyle name="Normal 22 2 2 2 2 2 4 3 2" xfId="31643"/>
    <cellStyle name="Normal 22 2 2 2 2 2 4 3 2 2" xfId="31644"/>
    <cellStyle name="Normal 22 2 2 2 2 2 4 3 2 2 2" xfId="31645"/>
    <cellStyle name="Normal 22 2 2 2 2 2 4 3 2 3" xfId="31646"/>
    <cellStyle name="Normal 22 2 2 2 2 2 4 3 3" xfId="31647"/>
    <cellStyle name="Normal 22 2 2 2 2 2 4 3 3 2" xfId="31648"/>
    <cellStyle name="Normal 22 2 2 2 2 2 4 3 4" xfId="31649"/>
    <cellStyle name="Normal 22 2 2 2 2 2 4 4" xfId="31650"/>
    <cellStyle name="Normal 22 2 2 2 2 2 4 4 2" xfId="31651"/>
    <cellStyle name="Normal 22 2 2 2 2 2 4 4 2 2" xfId="31652"/>
    <cellStyle name="Normal 22 2 2 2 2 2 4 4 3" xfId="31653"/>
    <cellStyle name="Normal 22 2 2 2 2 2 4 5" xfId="31654"/>
    <cellStyle name="Normal 22 2 2 2 2 2 4 5 2" xfId="31655"/>
    <cellStyle name="Normal 22 2 2 2 2 2 4 6" xfId="31656"/>
    <cellStyle name="Normal 22 2 2 2 2 2 5" xfId="17924"/>
    <cellStyle name="Normal 22 2 2 2 2 2 5 2" xfId="17925"/>
    <cellStyle name="Normal 22 2 2 2 2 2 5 2 2" xfId="31657"/>
    <cellStyle name="Normal 22 2 2 2 2 2 5 2 2 2" xfId="31658"/>
    <cellStyle name="Normal 22 2 2 2 2 2 5 2 2 2 2" xfId="31659"/>
    <cellStyle name="Normal 22 2 2 2 2 2 5 2 2 3" xfId="31660"/>
    <cellStyle name="Normal 22 2 2 2 2 2 5 2 3" xfId="31661"/>
    <cellStyle name="Normal 22 2 2 2 2 2 5 2 3 2" xfId="31662"/>
    <cellStyle name="Normal 22 2 2 2 2 2 5 2 4" xfId="31663"/>
    <cellStyle name="Normal 22 2 2 2 2 2 5 3" xfId="31664"/>
    <cellStyle name="Normal 22 2 2 2 2 2 5 3 2" xfId="31665"/>
    <cellStyle name="Normal 22 2 2 2 2 2 5 3 2 2" xfId="31666"/>
    <cellStyle name="Normal 22 2 2 2 2 2 5 3 3" xfId="31667"/>
    <cellStyle name="Normal 22 2 2 2 2 2 5 4" xfId="31668"/>
    <cellStyle name="Normal 22 2 2 2 2 2 5 4 2" xfId="31669"/>
    <cellStyle name="Normal 22 2 2 2 2 2 5 5" xfId="31670"/>
    <cellStyle name="Normal 22 2 2 2 2 2 6" xfId="17926"/>
    <cellStyle name="Normal 22 2 2 2 2 2 6 2" xfId="31671"/>
    <cellStyle name="Normal 22 2 2 2 2 2 6 2 2" xfId="31672"/>
    <cellStyle name="Normal 22 2 2 2 2 2 6 2 2 2" xfId="31673"/>
    <cellStyle name="Normal 22 2 2 2 2 2 6 2 3" xfId="31674"/>
    <cellStyle name="Normal 22 2 2 2 2 2 6 3" xfId="31675"/>
    <cellStyle name="Normal 22 2 2 2 2 2 6 3 2" xfId="31676"/>
    <cellStyle name="Normal 22 2 2 2 2 2 6 4" xfId="31677"/>
    <cellStyle name="Normal 22 2 2 2 2 2 7" xfId="31678"/>
    <cellStyle name="Normal 22 2 2 2 2 2 7 2" xfId="31679"/>
    <cellStyle name="Normal 22 2 2 2 2 2 7 2 2" xfId="31680"/>
    <cellStyle name="Normal 22 2 2 2 2 2 7 3" xfId="31681"/>
    <cellStyle name="Normal 22 2 2 2 2 2 8" xfId="31682"/>
    <cellStyle name="Normal 22 2 2 2 2 2 8 2" xfId="31683"/>
    <cellStyle name="Normal 22 2 2 2 2 2 9" xfId="31684"/>
    <cellStyle name="Normal 22 2 2 2 2 3" xfId="17927"/>
    <cellStyle name="Normal 22 2 2 2 2 3 2" xfId="17928"/>
    <cellStyle name="Normal 22 2 2 2 2 3 2 2" xfId="17929"/>
    <cellStyle name="Normal 22 2 2 2 2 3 2 2 2" xfId="17930"/>
    <cellStyle name="Normal 22 2 2 2 2 3 2 2 2 2" xfId="31685"/>
    <cellStyle name="Normal 22 2 2 2 2 3 2 2 2 2 2" xfId="31686"/>
    <cellStyle name="Normal 22 2 2 2 2 3 2 2 2 2 2 2" xfId="31687"/>
    <cellStyle name="Normal 22 2 2 2 2 3 2 2 2 2 3" xfId="31688"/>
    <cellStyle name="Normal 22 2 2 2 2 3 2 2 2 3" xfId="31689"/>
    <cellStyle name="Normal 22 2 2 2 2 3 2 2 2 3 2" xfId="31690"/>
    <cellStyle name="Normal 22 2 2 2 2 3 2 2 2 4" xfId="31691"/>
    <cellStyle name="Normal 22 2 2 2 2 3 2 2 3" xfId="31692"/>
    <cellStyle name="Normal 22 2 2 2 2 3 2 2 3 2" xfId="31693"/>
    <cellStyle name="Normal 22 2 2 2 2 3 2 2 3 2 2" xfId="31694"/>
    <cellStyle name="Normal 22 2 2 2 2 3 2 2 3 3" xfId="31695"/>
    <cellStyle name="Normal 22 2 2 2 2 3 2 2 4" xfId="31696"/>
    <cellStyle name="Normal 22 2 2 2 2 3 2 2 4 2" xfId="31697"/>
    <cellStyle name="Normal 22 2 2 2 2 3 2 2 5" xfId="31698"/>
    <cellStyle name="Normal 22 2 2 2 2 3 2 3" xfId="17931"/>
    <cellStyle name="Normal 22 2 2 2 2 3 2 3 2" xfId="31699"/>
    <cellStyle name="Normal 22 2 2 2 2 3 2 3 2 2" xfId="31700"/>
    <cellStyle name="Normal 22 2 2 2 2 3 2 3 2 2 2" xfId="31701"/>
    <cellStyle name="Normal 22 2 2 2 2 3 2 3 2 3" xfId="31702"/>
    <cellStyle name="Normal 22 2 2 2 2 3 2 3 3" xfId="31703"/>
    <cellStyle name="Normal 22 2 2 2 2 3 2 3 3 2" xfId="31704"/>
    <cellStyle name="Normal 22 2 2 2 2 3 2 3 4" xfId="31705"/>
    <cellStyle name="Normal 22 2 2 2 2 3 2 4" xfId="31706"/>
    <cellStyle name="Normal 22 2 2 2 2 3 2 4 2" xfId="31707"/>
    <cellStyle name="Normal 22 2 2 2 2 3 2 4 2 2" xfId="31708"/>
    <cellStyle name="Normal 22 2 2 2 2 3 2 4 3" xfId="31709"/>
    <cellStyle name="Normal 22 2 2 2 2 3 2 5" xfId="31710"/>
    <cellStyle name="Normal 22 2 2 2 2 3 2 5 2" xfId="31711"/>
    <cellStyle name="Normal 22 2 2 2 2 3 2 6" xfId="31712"/>
    <cellStyle name="Normal 22 2 2 2 2 3 3" xfId="17932"/>
    <cellStyle name="Normal 22 2 2 2 2 3 3 2" xfId="17933"/>
    <cellStyle name="Normal 22 2 2 2 2 3 3 2 2" xfId="31713"/>
    <cellStyle name="Normal 22 2 2 2 2 3 3 2 2 2" xfId="31714"/>
    <cellStyle name="Normal 22 2 2 2 2 3 3 2 2 2 2" xfId="31715"/>
    <cellStyle name="Normal 22 2 2 2 2 3 3 2 2 3" xfId="31716"/>
    <cellStyle name="Normal 22 2 2 2 2 3 3 2 3" xfId="31717"/>
    <cellStyle name="Normal 22 2 2 2 2 3 3 2 3 2" xfId="31718"/>
    <cellStyle name="Normal 22 2 2 2 2 3 3 2 4" xfId="31719"/>
    <cellStyle name="Normal 22 2 2 2 2 3 3 3" xfId="31720"/>
    <cellStyle name="Normal 22 2 2 2 2 3 3 3 2" xfId="31721"/>
    <cellStyle name="Normal 22 2 2 2 2 3 3 3 2 2" xfId="31722"/>
    <cellStyle name="Normal 22 2 2 2 2 3 3 3 3" xfId="31723"/>
    <cellStyle name="Normal 22 2 2 2 2 3 3 4" xfId="31724"/>
    <cellStyle name="Normal 22 2 2 2 2 3 3 4 2" xfId="31725"/>
    <cellStyle name="Normal 22 2 2 2 2 3 3 5" xfId="31726"/>
    <cellStyle name="Normal 22 2 2 2 2 3 4" xfId="17934"/>
    <cellStyle name="Normal 22 2 2 2 2 3 4 2" xfId="31727"/>
    <cellStyle name="Normal 22 2 2 2 2 3 4 2 2" xfId="31728"/>
    <cellStyle name="Normal 22 2 2 2 2 3 4 2 2 2" xfId="31729"/>
    <cellStyle name="Normal 22 2 2 2 2 3 4 2 3" xfId="31730"/>
    <cellStyle name="Normal 22 2 2 2 2 3 4 3" xfId="31731"/>
    <cellStyle name="Normal 22 2 2 2 2 3 4 3 2" xfId="31732"/>
    <cellStyle name="Normal 22 2 2 2 2 3 4 4" xfId="31733"/>
    <cellStyle name="Normal 22 2 2 2 2 3 5" xfId="31734"/>
    <cellStyle name="Normal 22 2 2 2 2 3 5 2" xfId="31735"/>
    <cellStyle name="Normal 22 2 2 2 2 3 5 2 2" xfId="31736"/>
    <cellStyle name="Normal 22 2 2 2 2 3 5 3" xfId="31737"/>
    <cellStyle name="Normal 22 2 2 2 2 3 6" xfId="31738"/>
    <cellStyle name="Normal 22 2 2 2 2 3 6 2" xfId="31739"/>
    <cellStyle name="Normal 22 2 2 2 2 3 7" xfId="31740"/>
    <cellStyle name="Normal 22 2 2 2 2 4" xfId="17935"/>
    <cellStyle name="Normal 22 2 2 2 2 4 2" xfId="17936"/>
    <cellStyle name="Normal 22 2 2 2 2 4 2 2" xfId="17937"/>
    <cellStyle name="Normal 22 2 2 2 2 4 2 2 2" xfId="31741"/>
    <cellStyle name="Normal 22 2 2 2 2 4 2 2 2 2" xfId="31742"/>
    <cellStyle name="Normal 22 2 2 2 2 4 2 2 2 2 2" xfId="31743"/>
    <cellStyle name="Normal 22 2 2 2 2 4 2 2 2 3" xfId="31744"/>
    <cellStyle name="Normal 22 2 2 2 2 4 2 2 3" xfId="31745"/>
    <cellStyle name="Normal 22 2 2 2 2 4 2 2 3 2" xfId="31746"/>
    <cellStyle name="Normal 22 2 2 2 2 4 2 2 4" xfId="31747"/>
    <cellStyle name="Normal 22 2 2 2 2 4 2 3" xfId="31748"/>
    <cellStyle name="Normal 22 2 2 2 2 4 2 3 2" xfId="31749"/>
    <cellStyle name="Normal 22 2 2 2 2 4 2 3 2 2" xfId="31750"/>
    <cellStyle name="Normal 22 2 2 2 2 4 2 3 3" xfId="31751"/>
    <cellStyle name="Normal 22 2 2 2 2 4 2 4" xfId="31752"/>
    <cellStyle name="Normal 22 2 2 2 2 4 2 4 2" xfId="31753"/>
    <cellStyle name="Normal 22 2 2 2 2 4 2 5" xfId="31754"/>
    <cellStyle name="Normal 22 2 2 2 2 4 3" xfId="17938"/>
    <cellStyle name="Normal 22 2 2 2 2 4 3 2" xfId="31755"/>
    <cellStyle name="Normal 22 2 2 2 2 4 3 2 2" xfId="31756"/>
    <cellStyle name="Normal 22 2 2 2 2 4 3 2 2 2" xfId="31757"/>
    <cellStyle name="Normal 22 2 2 2 2 4 3 2 3" xfId="31758"/>
    <cellStyle name="Normal 22 2 2 2 2 4 3 3" xfId="31759"/>
    <cellStyle name="Normal 22 2 2 2 2 4 3 3 2" xfId="31760"/>
    <cellStyle name="Normal 22 2 2 2 2 4 3 4" xfId="31761"/>
    <cellStyle name="Normal 22 2 2 2 2 4 4" xfId="31762"/>
    <cellStyle name="Normal 22 2 2 2 2 4 4 2" xfId="31763"/>
    <cellStyle name="Normal 22 2 2 2 2 4 4 2 2" xfId="31764"/>
    <cellStyle name="Normal 22 2 2 2 2 4 4 3" xfId="31765"/>
    <cellStyle name="Normal 22 2 2 2 2 4 5" xfId="31766"/>
    <cellStyle name="Normal 22 2 2 2 2 4 5 2" xfId="31767"/>
    <cellStyle name="Normal 22 2 2 2 2 4 6" xfId="31768"/>
    <cellStyle name="Normal 22 2 2 2 2 5" xfId="17939"/>
    <cellStyle name="Normal 22 2 2 2 2 5 2" xfId="17940"/>
    <cellStyle name="Normal 22 2 2 2 2 5 2 2" xfId="31769"/>
    <cellStyle name="Normal 22 2 2 2 2 5 2 2 2" xfId="31770"/>
    <cellStyle name="Normal 22 2 2 2 2 5 2 2 2 2" xfId="31771"/>
    <cellStyle name="Normal 22 2 2 2 2 5 2 2 3" xfId="31772"/>
    <cellStyle name="Normal 22 2 2 2 2 5 2 3" xfId="31773"/>
    <cellStyle name="Normal 22 2 2 2 2 5 2 3 2" xfId="31774"/>
    <cellStyle name="Normal 22 2 2 2 2 5 2 4" xfId="31775"/>
    <cellStyle name="Normal 22 2 2 2 2 5 3" xfId="31776"/>
    <cellStyle name="Normal 22 2 2 2 2 5 3 2" xfId="31777"/>
    <cellStyle name="Normal 22 2 2 2 2 5 3 2 2" xfId="31778"/>
    <cellStyle name="Normal 22 2 2 2 2 5 3 3" xfId="31779"/>
    <cellStyle name="Normal 22 2 2 2 2 5 4" xfId="31780"/>
    <cellStyle name="Normal 22 2 2 2 2 5 4 2" xfId="31781"/>
    <cellStyle name="Normal 22 2 2 2 2 5 5" xfId="31782"/>
    <cellStyle name="Normal 22 2 2 2 2 6" xfId="17941"/>
    <cellStyle name="Normal 22 2 2 2 2 6 2" xfId="31783"/>
    <cellStyle name="Normal 22 2 2 2 2 6 2 2" xfId="31784"/>
    <cellStyle name="Normal 22 2 2 2 2 6 2 2 2" xfId="31785"/>
    <cellStyle name="Normal 22 2 2 2 2 6 2 3" xfId="31786"/>
    <cellStyle name="Normal 22 2 2 2 2 6 3" xfId="31787"/>
    <cellStyle name="Normal 22 2 2 2 2 6 3 2" xfId="31788"/>
    <cellStyle name="Normal 22 2 2 2 2 6 4" xfId="31789"/>
    <cellStyle name="Normal 22 2 2 2 2 7" xfId="31790"/>
    <cellStyle name="Normal 22 2 2 2 2 7 2" xfId="31791"/>
    <cellStyle name="Normal 22 2 2 2 2 7 2 2" xfId="31792"/>
    <cellStyle name="Normal 22 2 2 2 2 7 3" xfId="31793"/>
    <cellStyle name="Normal 22 2 2 2 2 8" xfId="31794"/>
    <cellStyle name="Normal 22 2 2 2 2 8 2" xfId="31795"/>
    <cellStyle name="Normal 22 2 2 2 2 9" xfId="31796"/>
    <cellStyle name="Normal 22 2 2 2 3" xfId="17942"/>
    <cellStyle name="Normal 22 2 2 2 3 2" xfId="17943"/>
    <cellStyle name="Normal 22 2 2 2 3 2 2" xfId="17944"/>
    <cellStyle name="Normal 22 2 2 2 3 2 2 2" xfId="17945"/>
    <cellStyle name="Normal 22 2 2 2 3 2 2 2 2" xfId="31797"/>
    <cellStyle name="Normal 22 2 2 2 3 2 2 2 2 2" xfId="31798"/>
    <cellStyle name="Normal 22 2 2 2 3 2 2 2 2 2 2" xfId="31799"/>
    <cellStyle name="Normal 22 2 2 2 3 2 2 2 2 3" xfId="31800"/>
    <cellStyle name="Normal 22 2 2 2 3 2 2 2 3" xfId="31801"/>
    <cellStyle name="Normal 22 2 2 2 3 2 2 2 3 2" xfId="31802"/>
    <cellStyle name="Normal 22 2 2 2 3 2 2 2 4" xfId="31803"/>
    <cellStyle name="Normal 22 2 2 2 3 2 2 3" xfId="31804"/>
    <cellStyle name="Normal 22 2 2 2 3 2 2 3 2" xfId="31805"/>
    <cellStyle name="Normal 22 2 2 2 3 2 2 3 2 2" xfId="31806"/>
    <cellStyle name="Normal 22 2 2 2 3 2 2 3 3" xfId="31807"/>
    <cellStyle name="Normal 22 2 2 2 3 2 2 4" xfId="31808"/>
    <cellStyle name="Normal 22 2 2 2 3 2 2 4 2" xfId="31809"/>
    <cellStyle name="Normal 22 2 2 2 3 2 2 5" xfId="31810"/>
    <cellStyle name="Normal 22 2 2 2 3 2 3" xfId="17946"/>
    <cellStyle name="Normal 22 2 2 2 3 2 3 2" xfId="31811"/>
    <cellStyle name="Normal 22 2 2 2 3 2 3 2 2" xfId="31812"/>
    <cellStyle name="Normal 22 2 2 2 3 2 3 2 2 2" xfId="31813"/>
    <cellStyle name="Normal 22 2 2 2 3 2 3 2 3" xfId="31814"/>
    <cellStyle name="Normal 22 2 2 2 3 2 3 3" xfId="31815"/>
    <cellStyle name="Normal 22 2 2 2 3 2 3 3 2" xfId="31816"/>
    <cellStyle name="Normal 22 2 2 2 3 2 3 4" xfId="31817"/>
    <cellStyle name="Normal 22 2 2 2 3 2 4" xfId="31818"/>
    <cellStyle name="Normal 22 2 2 2 3 2 4 2" xfId="31819"/>
    <cellStyle name="Normal 22 2 2 2 3 2 4 2 2" xfId="31820"/>
    <cellStyle name="Normal 22 2 2 2 3 2 4 3" xfId="31821"/>
    <cellStyle name="Normal 22 2 2 2 3 2 5" xfId="31822"/>
    <cellStyle name="Normal 22 2 2 2 3 2 5 2" xfId="31823"/>
    <cellStyle name="Normal 22 2 2 2 3 2 6" xfId="31824"/>
    <cellStyle name="Normal 22 2 2 2 3 3" xfId="17947"/>
    <cellStyle name="Normal 22 2 2 2 3 3 2" xfId="17948"/>
    <cellStyle name="Normal 22 2 2 2 3 3 2 2" xfId="31825"/>
    <cellStyle name="Normal 22 2 2 2 3 3 2 2 2" xfId="31826"/>
    <cellStyle name="Normal 22 2 2 2 3 3 2 2 2 2" xfId="31827"/>
    <cellStyle name="Normal 22 2 2 2 3 3 2 2 3" xfId="31828"/>
    <cellStyle name="Normal 22 2 2 2 3 3 2 3" xfId="31829"/>
    <cellStyle name="Normal 22 2 2 2 3 3 2 3 2" xfId="31830"/>
    <cellStyle name="Normal 22 2 2 2 3 3 2 4" xfId="31831"/>
    <cellStyle name="Normal 22 2 2 2 3 3 3" xfId="31832"/>
    <cellStyle name="Normal 22 2 2 2 3 3 3 2" xfId="31833"/>
    <cellStyle name="Normal 22 2 2 2 3 3 3 2 2" xfId="31834"/>
    <cellStyle name="Normal 22 2 2 2 3 3 3 3" xfId="31835"/>
    <cellStyle name="Normal 22 2 2 2 3 3 4" xfId="31836"/>
    <cellStyle name="Normal 22 2 2 2 3 3 4 2" xfId="31837"/>
    <cellStyle name="Normal 22 2 2 2 3 3 5" xfId="31838"/>
    <cellStyle name="Normal 22 2 2 2 3 4" xfId="17949"/>
    <cellStyle name="Normal 22 2 2 2 3 4 2" xfId="31839"/>
    <cellStyle name="Normal 22 2 2 2 3 4 2 2" xfId="31840"/>
    <cellStyle name="Normal 22 2 2 2 3 4 2 2 2" xfId="31841"/>
    <cellStyle name="Normal 22 2 2 2 3 4 2 3" xfId="31842"/>
    <cellStyle name="Normal 22 2 2 2 3 4 3" xfId="31843"/>
    <cellStyle name="Normal 22 2 2 2 3 4 3 2" xfId="31844"/>
    <cellStyle name="Normal 22 2 2 2 3 4 4" xfId="31845"/>
    <cellStyle name="Normal 22 2 2 2 3 5" xfId="31846"/>
    <cellStyle name="Normal 22 2 2 2 3 5 2" xfId="31847"/>
    <cellStyle name="Normal 22 2 2 2 3 5 2 2" xfId="31848"/>
    <cellStyle name="Normal 22 2 2 2 3 5 3" xfId="31849"/>
    <cellStyle name="Normal 22 2 2 2 3 6" xfId="31850"/>
    <cellStyle name="Normal 22 2 2 2 3 6 2" xfId="31851"/>
    <cellStyle name="Normal 22 2 2 2 3 7" xfId="31852"/>
    <cellStyle name="Normal 22 2 2 2 4" xfId="17950"/>
    <cellStyle name="Normal 22 2 2 2 4 2" xfId="17951"/>
    <cellStyle name="Normal 22 2 2 2 4 2 2" xfId="17952"/>
    <cellStyle name="Normal 22 2 2 2 4 2 2 2" xfId="31853"/>
    <cellStyle name="Normal 22 2 2 2 4 2 2 2 2" xfId="31854"/>
    <cellStyle name="Normal 22 2 2 2 4 2 2 2 2 2" xfId="31855"/>
    <cellStyle name="Normal 22 2 2 2 4 2 2 2 3" xfId="31856"/>
    <cellStyle name="Normal 22 2 2 2 4 2 2 3" xfId="31857"/>
    <cellStyle name="Normal 22 2 2 2 4 2 2 3 2" xfId="31858"/>
    <cellStyle name="Normal 22 2 2 2 4 2 2 4" xfId="31859"/>
    <cellStyle name="Normal 22 2 2 2 4 2 3" xfId="31860"/>
    <cellStyle name="Normal 22 2 2 2 4 2 3 2" xfId="31861"/>
    <cellStyle name="Normal 22 2 2 2 4 2 3 2 2" xfId="31862"/>
    <cellStyle name="Normal 22 2 2 2 4 2 3 3" xfId="31863"/>
    <cellStyle name="Normal 22 2 2 2 4 2 4" xfId="31864"/>
    <cellStyle name="Normal 22 2 2 2 4 2 4 2" xfId="31865"/>
    <cellStyle name="Normal 22 2 2 2 4 2 5" xfId="31866"/>
    <cellStyle name="Normal 22 2 2 2 4 3" xfId="17953"/>
    <cellStyle name="Normal 22 2 2 2 4 3 2" xfId="31867"/>
    <cellStyle name="Normal 22 2 2 2 4 3 2 2" xfId="31868"/>
    <cellStyle name="Normal 22 2 2 2 4 3 2 2 2" xfId="31869"/>
    <cellStyle name="Normal 22 2 2 2 4 3 2 3" xfId="31870"/>
    <cellStyle name="Normal 22 2 2 2 4 3 3" xfId="31871"/>
    <cellStyle name="Normal 22 2 2 2 4 3 3 2" xfId="31872"/>
    <cellStyle name="Normal 22 2 2 2 4 3 4" xfId="31873"/>
    <cellStyle name="Normal 22 2 2 2 4 4" xfId="31874"/>
    <cellStyle name="Normal 22 2 2 2 4 4 2" xfId="31875"/>
    <cellStyle name="Normal 22 2 2 2 4 4 2 2" xfId="31876"/>
    <cellStyle name="Normal 22 2 2 2 4 4 3" xfId="31877"/>
    <cellStyle name="Normal 22 2 2 2 4 5" xfId="31878"/>
    <cellStyle name="Normal 22 2 2 2 4 5 2" xfId="31879"/>
    <cellStyle name="Normal 22 2 2 2 4 6" xfId="31880"/>
    <cellStyle name="Normal 22 2 2 2 5" xfId="17954"/>
    <cellStyle name="Normal 22 2 2 2 5 2" xfId="17955"/>
    <cellStyle name="Normal 22 2 2 2 5 2 2" xfId="31881"/>
    <cellStyle name="Normal 22 2 2 2 5 2 2 2" xfId="31882"/>
    <cellStyle name="Normal 22 2 2 2 5 2 2 2 2" xfId="31883"/>
    <cellStyle name="Normal 22 2 2 2 5 2 2 3" xfId="31884"/>
    <cellStyle name="Normal 22 2 2 2 5 2 3" xfId="31885"/>
    <cellStyle name="Normal 22 2 2 2 5 2 3 2" xfId="31886"/>
    <cellStyle name="Normal 22 2 2 2 5 2 4" xfId="31887"/>
    <cellStyle name="Normal 22 2 2 2 5 3" xfId="31888"/>
    <cellStyle name="Normal 22 2 2 2 5 3 2" xfId="31889"/>
    <cellStyle name="Normal 22 2 2 2 5 3 2 2" xfId="31890"/>
    <cellStyle name="Normal 22 2 2 2 5 3 3" xfId="31891"/>
    <cellStyle name="Normal 22 2 2 2 5 4" xfId="31892"/>
    <cellStyle name="Normal 22 2 2 2 5 4 2" xfId="31893"/>
    <cellStyle name="Normal 22 2 2 2 5 5" xfId="31894"/>
    <cellStyle name="Normal 22 2 2 2 6" xfId="17956"/>
    <cellStyle name="Normal 22 2 2 2 6 2" xfId="31895"/>
    <cellStyle name="Normal 22 2 2 2 6 2 2" xfId="31896"/>
    <cellStyle name="Normal 22 2 2 2 6 2 2 2" xfId="31897"/>
    <cellStyle name="Normal 22 2 2 2 6 2 3" xfId="31898"/>
    <cellStyle name="Normal 22 2 2 2 6 3" xfId="31899"/>
    <cellStyle name="Normal 22 2 2 2 6 3 2" xfId="31900"/>
    <cellStyle name="Normal 22 2 2 2 6 4" xfId="31901"/>
    <cellStyle name="Normal 22 2 2 2 7" xfId="31902"/>
    <cellStyle name="Normal 22 2 2 2 7 2" xfId="31903"/>
    <cellStyle name="Normal 22 2 2 2 7 2 2" xfId="31904"/>
    <cellStyle name="Normal 22 2 2 2 7 3" xfId="31905"/>
    <cellStyle name="Normal 22 2 2 2 8" xfId="31906"/>
    <cellStyle name="Normal 22 2 2 2 8 2" xfId="31907"/>
    <cellStyle name="Normal 22 2 2 2 9" xfId="31908"/>
    <cellStyle name="Normal 22 2 2 3" xfId="17957"/>
    <cellStyle name="Normal 22 2 2 3 2" xfId="17958"/>
    <cellStyle name="Normal 22 2 2 3 2 2" xfId="17959"/>
    <cellStyle name="Normal 22 2 2 3 2 2 2" xfId="17960"/>
    <cellStyle name="Normal 22 2 2 3 2 2 2 2" xfId="17961"/>
    <cellStyle name="Normal 22 2 2 3 2 2 2 2 2" xfId="31909"/>
    <cellStyle name="Normal 22 2 2 3 2 2 2 2 2 2" xfId="31910"/>
    <cellStyle name="Normal 22 2 2 3 2 2 2 2 2 2 2" xfId="31911"/>
    <cellStyle name="Normal 22 2 2 3 2 2 2 2 2 3" xfId="31912"/>
    <cellStyle name="Normal 22 2 2 3 2 2 2 2 3" xfId="31913"/>
    <cellStyle name="Normal 22 2 2 3 2 2 2 2 3 2" xfId="31914"/>
    <cellStyle name="Normal 22 2 2 3 2 2 2 2 4" xfId="31915"/>
    <cellStyle name="Normal 22 2 2 3 2 2 2 3" xfId="31916"/>
    <cellStyle name="Normal 22 2 2 3 2 2 2 3 2" xfId="31917"/>
    <cellStyle name="Normal 22 2 2 3 2 2 2 3 2 2" xfId="31918"/>
    <cellStyle name="Normal 22 2 2 3 2 2 2 3 3" xfId="31919"/>
    <cellStyle name="Normal 22 2 2 3 2 2 2 4" xfId="31920"/>
    <cellStyle name="Normal 22 2 2 3 2 2 2 4 2" xfId="31921"/>
    <cellStyle name="Normal 22 2 2 3 2 2 2 5" xfId="31922"/>
    <cellStyle name="Normal 22 2 2 3 2 2 3" xfId="17962"/>
    <cellStyle name="Normal 22 2 2 3 2 2 3 2" xfId="31923"/>
    <cellStyle name="Normal 22 2 2 3 2 2 3 2 2" xfId="31924"/>
    <cellStyle name="Normal 22 2 2 3 2 2 3 2 2 2" xfId="31925"/>
    <cellStyle name="Normal 22 2 2 3 2 2 3 2 3" xfId="31926"/>
    <cellStyle name="Normal 22 2 2 3 2 2 3 3" xfId="31927"/>
    <cellStyle name="Normal 22 2 2 3 2 2 3 3 2" xfId="31928"/>
    <cellStyle name="Normal 22 2 2 3 2 2 3 4" xfId="31929"/>
    <cellStyle name="Normal 22 2 2 3 2 2 4" xfId="31930"/>
    <cellStyle name="Normal 22 2 2 3 2 2 4 2" xfId="31931"/>
    <cellStyle name="Normal 22 2 2 3 2 2 4 2 2" xfId="31932"/>
    <cellStyle name="Normal 22 2 2 3 2 2 4 3" xfId="31933"/>
    <cellStyle name="Normal 22 2 2 3 2 2 5" xfId="31934"/>
    <cellStyle name="Normal 22 2 2 3 2 2 5 2" xfId="31935"/>
    <cellStyle name="Normal 22 2 2 3 2 2 6" xfId="31936"/>
    <cellStyle name="Normal 22 2 2 3 2 3" xfId="17963"/>
    <cellStyle name="Normal 22 2 2 3 2 3 2" xfId="17964"/>
    <cellStyle name="Normal 22 2 2 3 2 3 2 2" xfId="31937"/>
    <cellStyle name="Normal 22 2 2 3 2 3 2 2 2" xfId="31938"/>
    <cellStyle name="Normal 22 2 2 3 2 3 2 2 2 2" xfId="31939"/>
    <cellStyle name="Normal 22 2 2 3 2 3 2 2 3" xfId="31940"/>
    <cellStyle name="Normal 22 2 2 3 2 3 2 3" xfId="31941"/>
    <cellStyle name="Normal 22 2 2 3 2 3 2 3 2" xfId="31942"/>
    <cellStyle name="Normal 22 2 2 3 2 3 2 4" xfId="31943"/>
    <cellStyle name="Normal 22 2 2 3 2 3 3" xfId="31944"/>
    <cellStyle name="Normal 22 2 2 3 2 3 3 2" xfId="31945"/>
    <cellStyle name="Normal 22 2 2 3 2 3 3 2 2" xfId="31946"/>
    <cellStyle name="Normal 22 2 2 3 2 3 3 3" xfId="31947"/>
    <cellStyle name="Normal 22 2 2 3 2 3 4" xfId="31948"/>
    <cellStyle name="Normal 22 2 2 3 2 3 4 2" xfId="31949"/>
    <cellStyle name="Normal 22 2 2 3 2 3 5" xfId="31950"/>
    <cellStyle name="Normal 22 2 2 3 2 4" xfId="17965"/>
    <cellStyle name="Normal 22 2 2 3 2 4 2" xfId="31951"/>
    <cellStyle name="Normal 22 2 2 3 2 4 2 2" xfId="31952"/>
    <cellStyle name="Normal 22 2 2 3 2 4 2 2 2" xfId="31953"/>
    <cellStyle name="Normal 22 2 2 3 2 4 2 3" xfId="31954"/>
    <cellStyle name="Normal 22 2 2 3 2 4 3" xfId="31955"/>
    <cellStyle name="Normal 22 2 2 3 2 4 3 2" xfId="31956"/>
    <cellStyle name="Normal 22 2 2 3 2 4 4" xfId="31957"/>
    <cellStyle name="Normal 22 2 2 3 2 5" xfId="31958"/>
    <cellStyle name="Normal 22 2 2 3 2 5 2" xfId="31959"/>
    <cellStyle name="Normal 22 2 2 3 2 5 2 2" xfId="31960"/>
    <cellStyle name="Normal 22 2 2 3 2 5 3" xfId="31961"/>
    <cellStyle name="Normal 22 2 2 3 2 6" xfId="31962"/>
    <cellStyle name="Normal 22 2 2 3 2 6 2" xfId="31963"/>
    <cellStyle name="Normal 22 2 2 3 2 7" xfId="31964"/>
    <cellStyle name="Normal 22 2 2 3 3" xfId="17966"/>
    <cellStyle name="Normal 22 2 2 3 3 2" xfId="17967"/>
    <cellStyle name="Normal 22 2 2 3 3 2 2" xfId="17968"/>
    <cellStyle name="Normal 22 2 2 3 3 2 2 2" xfId="31965"/>
    <cellStyle name="Normal 22 2 2 3 3 2 2 2 2" xfId="31966"/>
    <cellStyle name="Normal 22 2 2 3 3 2 2 2 2 2" xfId="31967"/>
    <cellStyle name="Normal 22 2 2 3 3 2 2 2 3" xfId="31968"/>
    <cellStyle name="Normal 22 2 2 3 3 2 2 3" xfId="31969"/>
    <cellStyle name="Normal 22 2 2 3 3 2 2 3 2" xfId="31970"/>
    <cellStyle name="Normal 22 2 2 3 3 2 2 4" xfId="31971"/>
    <cellStyle name="Normal 22 2 2 3 3 2 3" xfId="31972"/>
    <cellStyle name="Normal 22 2 2 3 3 2 3 2" xfId="31973"/>
    <cellStyle name="Normal 22 2 2 3 3 2 3 2 2" xfId="31974"/>
    <cellStyle name="Normal 22 2 2 3 3 2 3 3" xfId="31975"/>
    <cellStyle name="Normal 22 2 2 3 3 2 4" xfId="31976"/>
    <cellStyle name="Normal 22 2 2 3 3 2 4 2" xfId="31977"/>
    <cellStyle name="Normal 22 2 2 3 3 2 5" xfId="31978"/>
    <cellStyle name="Normal 22 2 2 3 3 3" xfId="17969"/>
    <cellStyle name="Normal 22 2 2 3 3 3 2" xfId="31979"/>
    <cellStyle name="Normal 22 2 2 3 3 3 2 2" xfId="31980"/>
    <cellStyle name="Normal 22 2 2 3 3 3 2 2 2" xfId="31981"/>
    <cellStyle name="Normal 22 2 2 3 3 3 2 3" xfId="31982"/>
    <cellStyle name="Normal 22 2 2 3 3 3 3" xfId="31983"/>
    <cellStyle name="Normal 22 2 2 3 3 3 3 2" xfId="31984"/>
    <cellStyle name="Normal 22 2 2 3 3 3 4" xfId="31985"/>
    <cellStyle name="Normal 22 2 2 3 3 4" xfId="31986"/>
    <cellStyle name="Normal 22 2 2 3 3 4 2" xfId="31987"/>
    <cellStyle name="Normal 22 2 2 3 3 4 2 2" xfId="31988"/>
    <cellStyle name="Normal 22 2 2 3 3 4 3" xfId="31989"/>
    <cellStyle name="Normal 22 2 2 3 3 5" xfId="31990"/>
    <cellStyle name="Normal 22 2 2 3 3 5 2" xfId="31991"/>
    <cellStyle name="Normal 22 2 2 3 3 6" xfId="31992"/>
    <cellStyle name="Normal 22 2 2 3 4" xfId="17970"/>
    <cellStyle name="Normal 22 2 2 3 4 2" xfId="17971"/>
    <cellStyle name="Normal 22 2 2 3 4 2 2" xfId="31993"/>
    <cellStyle name="Normal 22 2 2 3 4 2 2 2" xfId="31994"/>
    <cellStyle name="Normal 22 2 2 3 4 2 2 2 2" xfId="31995"/>
    <cellStyle name="Normal 22 2 2 3 4 2 2 3" xfId="31996"/>
    <cellStyle name="Normal 22 2 2 3 4 2 3" xfId="31997"/>
    <cellStyle name="Normal 22 2 2 3 4 2 3 2" xfId="31998"/>
    <cellStyle name="Normal 22 2 2 3 4 2 4" xfId="31999"/>
    <cellStyle name="Normal 22 2 2 3 4 3" xfId="32000"/>
    <cellStyle name="Normal 22 2 2 3 4 3 2" xfId="32001"/>
    <cellStyle name="Normal 22 2 2 3 4 3 2 2" xfId="32002"/>
    <cellStyle name="Normal 22 2 2 3 4 3 3" xfId="32003"/>
    <cellStyle name="Normal 22 2 2 3 4 4" xfId="32004"/>
    <cellStyle name="Normal 22 2 2 3 4 4 2" xfId="32005"/>
    <cellStyle name="Normal 22 2 2 3 4 5" xfId="32006"/>
    <cellStyle name="Normal 22 2 2 3 5" xfId="17972"/>
    <cellStyle name="Normal 22 2 2 3 5 2" xfId="32007"/>
    <cellStyle name="Normal 22 2 2 3 5 2 2" xfId="32008"/>
    <cellStyle name="Normal 22 2 2 3 5 2 2 2" xfId="32009"/>
    <cellStyle name="Normal 22 2 2 3 5 2 3" xfId="32010"/>
    <cellStyle name="Normal 22 2 2 3 5 3" xfId="32011"/>
    <cellStyle name="Normal 22 2 2 3 5 3 2" xfId="32012"/>
    <cellStyle name="Normal 22 2 2 3 5 4" xfId="32013"/>
    <cellStyle name="Normal 22 2 2 3 6" xfId="32014"/>
    <cellStyle name="Normal 22 2 2 3 6 2" xfId="32015"/>
    <cellStyle name="Normal 22 2 2 3 6 2 2" xfId="32016"/>
    <cellStyle name="Normal 22 2 2 3 6 3" xfId="32017"/>
    <cellStyle name="Normal 22 2 2 3 7" xfId="32018"/>
    <cellStyle name="Normal 22 2 2 3 7 2" xfId="32019"/>
    <cellStyle name="Normal 22 2 2 3 8" xfId="32020"/>
    <cellStyle name="Normal 22 2 2 4" xfId="17973"/>
    <cellStyle name="Normal 22 2 2 4 2" xfId="17974"/>
    <cellStyle name="Normal 22 2 2 4 2 2" xfId="17975"/>
    <cellStyle name="Normal 22 2 2 4 2 2 2" xfId="17976"/>
    <cellStyle name="Normal 22 2 2 4 2 2 2 2" xfId="32021"/>
    <cellStyle name="Normal 22 2 2 4 2 2 2 2 2" xfId="32022"/>
    <cellStyle name="Normal 22 2 2 4 2 2 2 2 2 2" xfId="32023"/>
    <cellStyle name="Normal 22 2 2 4 2 2 2 2 3" xfId="32024"/>
    <cellStyle name="Normal 22 2 2 4 2 2 2 3" xfId="32025"/>
    <cellStyle name="Normal 22 2 2 4 2 2 2 3 2" xfId="32026"/>
    <cellStyle name="Normal 22 2 2 4 2 2 2 4" xfId="32027"/>
    <cellStyle name="Normal 22 2 2 4 2 2 3" xfId="32028"/>
    <cellStyle name="Normal 22 2 2 4 2 2 3 2" xfId="32029"/>
    <cellStyle name="Normal 22 2 2 4 2 2 3 2 2" xfId="32030"/>
    <cellStyle name="Normal 22 2 2 4 2 2 3 3" xfId="32031"/>
    <cellStyle name="Normal 22 2 2 4 2 2 4" xfId="32032"/>
    <cellStyle name="Normal 22 2 2 4 2 2 4 2" xfId="32033"/>
    <cellStyle name="Normal 22 2 2 4 2 2 5" xfId="32034"/>
    <cellStyle name="Normal 22 2 2 4 2 3" xfId="17977"/>
    <cellStyle name="Normal 22 2 2 4 2 3 2" xfId="32035"/>
    <cellStyle name="Normal 22 2 2 4 2 3 2 2" xfId="32036"/>
    <cellStyle name="Normal 22 2 2 4 2 3 2 2 2" xfId="32037"/>
    <cellStyle name="Normal 22 2 2 4 2 3 2 3" xfId="32038"/>
    <cellStyle name="Normal 22 2 2 4 2 3 3" xfId="32039"/>
    <cellStyle name="Normal 22 2 2 4 2 3 3 2" xfId="32040"/>
    <cellStyle name="Normal 22 2 2 4 2 3 4" xfId="32041"/>
    <cellStyle name="Normal 22 2 2 4 2 4" xfId="32042"/>
    <cellStyle name="Normal 22 2 2 4 2 4 2" xfId="32043"/>
    <cellStyle name="Normal 22 2 2 4 2 4 2 2" xfId="32044"/>
    <cellStyle name="Normal 22 2 2 4 2 4 3" xfId="32045"/>
    <cellStyle name="Normal 22 2 2 4 2 5" xfId="32046"/>
    <cellStyle name="Normal 22 2 2 4 2 5 2" xfId="32047"/>
    <cellStyle name="Normal 22 2 2 4 2 6" xfId="32048"/>
    <cellStyle name="Normal 22 2 2 4 3" xfId="17978"/>
    <cellStyle name="Normal 22 2 2 4 3 2" xfId="17979"/>
    <cellStyle name="Normal 22 2 2 4 3 2 2" xfId="32049"/>
    <cellStyle name="Normal 22 2 2 4 3 2 2 2" xfId="32050"/>
    <cellStyle name="Normal 22 2 2 4 3 2 2 2 2" xfId="32051"/>
    <cellStyle name="Normal 22 2 2 4 3 2 2 3" xfId="32052"/>
    <cellStyle name="Normal 22 2 2 4 3 2 3" xfId="32053"/>
    <cellStyle name="Normal 22 2 2 4 3 2 3 2" xfId="32054"/>
    <cellStyle name="Normal 22 2 2 4 3 2 4" xfId="32055"/>
    <cellStyle name="Normal 22 2 2 4 3 3" xfId="32056"/>
    <cellStyle name="Normal 22 2 2 4 3 3 2" xfId="32057"/>
    <cellStyle name="Normal 22 2 2 4 3 3 2 2" xfId="32058"/>
    <cellStyle name="Normal 22 2 2 4 3 3 3" xfId="32059"/>
    <cellStyle name="Normal 22 2 2 4 3 4" xfId="32060"/>
    <cellStyle name="Normal 22 2 2 4 3 4 2" xfId="32061"/>
    <cellStyle name="Normal 22 2 2 4 3 5" xfId="32062"/>
    <cellStyle name="Normal 22 2 2 4 4" xfId="17980"/>
    <cellStyle name="Normal 22 2 2 4 4 2" xfId="32063"/>
    <cellStyle name="Normal 22 2 2 4 4 2 2" xfId="32064"/>
    <cellStyle name="Normal 22 2 2 4 4 2 2 2" xfId="32065"/>
    <cellStyle name="Normal 22 2 2 4 4 2 3" xfId="32066"/>
    <cellStyle name="Normal 22 2 2 4 4 3" xfId="32067"/>
    <cellStyle name="Normal 22 2 2 4 4 3 2" xfId="32068"/>
    <cellStyle name="Normal 22 2 2 4 4 4" xfId="32069"/>
    <cellStyle name="Normal 22 2 2 4 5" xfId="32070"/>
    <cellStyle name="Normal 22 2 2 4 5 2" xfId="32071"/>
    <cellStyle name="Normal 22 2 2 4 5 2 2" xfId="32072"/>
    <cellStyle name="Normal 22 2 2 4 5 3" xfId="32073"/>
    <cellStyle name="Normal 22 2 2 4 6" xfId="32074"/>
    <cellStyle name="Normal 22 2 2 4 6 2" xfId="32075"/>
    <cellStyle name="Normal 22 2 2 4 7" xfId="32076"/>
    <cellStyle name="Normal 22 2 2 5" xfId="17981"/>
    <cellStyle name="Normal 22 2 2 5 2" xfId="17982"/>
    <cellStyle name="Normal 22 2 2 5 2 2" xfId="17983"/>
    <cellStyle name="Normal 22 2 2 5 2 2 2" xfId="32077"/>
    <cellStyle name="Normal 22 2 2 5 2 2 2 2" xfId="32078"/>
    <cellStyle name="Normal 22 2 2 5 2 2 2 2 2" xfId="32079"/>
    <cellStyle name="Normal 22 2 2 5 2 2 2 3" xfId="32080"/>
    <cellStyle name="Normal 22 2 2 5 2 2 3" xfId="32081"/>
    <cellStyle name="Normal 22 2 2 5 2 2 3 2" xfId="32082"/>
    <cellStyle name="Normal 22 2 2 5 2 2 4" xfId="32083"/>
    <cellStyle name="Normal 22 2 2 5 2 3" xfId="32084"/>
    <cellStyle name="Normal 22 2 2 5 2 3 2" xfId="32085"/>
    <cellStyle name="Normal 22 2 2 5 2 3 2 2" xfId="32086"/>
    <cellStyle name="Normal 22 2 2 5 2 3 3" xfId="32087"/>
    <cellStyle name="Normal 22 2 2 5 2 4" xfId="32088"/>
    <cellStyle name="Normal 22 2 2 5 2 4 2" xfId="32089"/>
    <cellStyle name="Normal 22 2 2 5 2 5" xfId="32090"/>
    <cellStyle name="Normal 22 2 2 5 3" xfId="17984"/>
    <cellStyle name="Normal 22 2 2 5 3 2" xfId="32091"/>
    <cellStyle name="Normal 22 2 2 5 3 2 2" xfId="32092"/>
    <cellStyle name="Normal 22 2 2 5 3 2 2 2" xfId="32093"/>
    <cellStyle name="Normal 22 2 2 5 3 2 3" xfId="32094"/>
    <cellStyle name="Normal 22 2 2 5 3 3" xfId="32095"/>
    <cellStyle name="Normal 22 2 2 5 3 3 2" xfId="32096"/>
    <cellStyle name="Normal 22 2 2 5 3 4" xfId="32097"/>
    <cellStyle name="Normal 22 2 2 5 4" xfId="32098"/>
    <cellStyle name="Normal 22 2 2 5 4 2" xfId="32099"/>
    <cellStyle name="Normal 22 2 2 5 4 2 2" xfId="32100"/>
    <cellStyle name="Normal 22 2 2 5 4 3" xfId="32101"/>
    <cellStyle name="Normal 22 2 2 5 5" xfId="32102"/>
    <cellStyle name="Normal 22 2 2 5 5 2" xfId="32103"/>
    <cellStyle name="Normal 22 2 2 5 6" xfId="32104"/>
    <cellStyle name="Normal 22 2 2 6" xfId="17985"/>
    <cellStyle name="Normal 22 2 2 6 2" xfId="17986"/>
    <cellStyle name="Normal 22 2 2 6 2 2" xfId="32105"/>
    <cellStyle name="Normal 22 2 2 6 2 2 2" xfId="32106"/>
    <cellStyle name="Normal 22 2 2 6 2 2 2 2" xfId="32107"/>
    <cellStyle name="Normal 22 2 2 6 2 2 3" xfId="32108"/>
    <cellStyle name="Normal 22 2 2 6 2 3" xfId="32109"/>
    <cellStyle name="Normal 22 2 2 6 2 3 2" xfId="32110"/>
    <cellStyle name="Normal 22 2 2 6 2 4" xfId="32111"/>
    <cellStyle name="Normal 22 2 2 6 3" xfId="32112"/>
    <cellStyle name="Normal 22 2 2 6 3 2" xfId="32113"/>
    <cellStyle name="Normal 22 2 2 6 3 2 2" xfId="32114"/>
    <cellStyle name="Normal 22 2 2 6 3 3" xfId="32115"/>
    <cellStyle name="Normal 22 2 2 6 4" xfId="32116"/>
    <cellStyle name="Normal 22 2 2 6 4 2" xfId="32117"/>
    <cellStyle name="Normal 22 2 2 6 5" xfId="32118"/>
    <cellStyle name="Normal 22 2 2 7" xfId="17987"/>
    <cellStyle name="Normal 22 2 2 7 2" xfId="32119"/>
    <cellStyle name="Normal 22 2 2 7 2 2" xfId="32120"/>
    <cellStyle name="Normal 22 2 2 7 2 2 2" xfId="32121"/>
    <cellStyle name="Normal 22 2 2 7 2 3" xfId="32122"/>
    <cellStyle name="Normal 22 2 2 7 3" xfId="32123"/>
    <cellStyle name="Normal 22 2 2 7 3 2" xfId="32124"/>
    <cellStyle name="Normal 22 2 2 7 4" xfId="32125"/>
    <cellStyle name="Normal 22 2 2 8" xfId="32126"/>
    <cellStyle name="Normal 22 2 2 8 2" xfId="32127"/>
    <cellStyle name="Normal 22 2 2 8 2 2" xfId="32128"/>
    <cellStyle name="Normal 22 2 2 8 3" xfId="32129"/>
    <cellStyle name="Normal 22 2 2 9" xfId="32130"/>
    <cellStyle name="Normal 22 2 2 9 2" xfId="32131"/>
    <cellStyle name="Normal 22 2 3" xfId="17988"/>
    <cellStyle name="Normal 22 2 3 2" xfId="17989"/>
    <cellStyle name="Normal 22 2 3 2 2" xfId="17990"/>
    <cellStyle name="Normal 22 2 3 2 2 2" xfId="17991"/>
    <cellStyle name="Normal 22 2 3 2 2 2 2" xfId="17992"/>
    <cellStyle name="Normal 22 2 3 2 2 2 2 2" xfId="32132"/>
    <cellStyle name="Normal 22 2 3 2 2 2 2 2 2" xfId="32133"/>
    <cellStyle name="Normal 22 2 3 2 2 2 2 2 2 2" xfId="32134"/>
    <cellStyle name="Normal 22 2 3 2 2 2 2 2 3" xfId="32135"/>
    <cellStyle name="Normal 22 2 3 2 2 2 2 3" xfId="32136"/>
    <cellStyle name="Normal 22 2 3 2 2 2 2 3 2" xfId="32137"/>
    <cellStyle name="Normal 22 2 3 2 2 2 2 4" xfId="32138"/>
    <cellStyle name="Normal 22 2 3 2 2 2 3" xfId="32139"/>
    <cellStyle name="Normal 22 2 3 2 2 2 3 2" xfId="32140"/>
    <cellStyle name="Normal 22 2 3 2 2 2 3 2 2" xfId="32141"/>
    <cellStyle name="Normal 22 2 3 2 2 2 3 3" xfId="32142"/>
    <cellStyle name="Normal 22 2 3 2 2 2 4" xfId="32143"/>
    <cellStyle name="Normal 22 2 3 2 2 2 4 2" xfId="32144"/>
    <cellStyle name="Normal 22 2 3 2 2 2 5" xfId="32145"/>
    <cellStyle name="Normal 22 2 3 2 2 3" xfId="17993"/>
    <cellStyle name="Normal 22 2 3 2 2 3 2" xfId="32146"/>
    <cellStyle name="Normal 22 2 3 2 2 3 2 2" xfId="32147"/>
    <cellStyle name="Normal 22 2 3 2 2 3 2 2 2" xfId="32148"/>
    <cellStyle name="Normal 22 2 3 2 2 3 2 3" xfId="32149"/>
    <cellStyle name="Normal 22 2 3 2 2 3 3" xfId="32150"/>
    <cellStyle name="Normal 22 2 3 2 2 3 3 2" xfId="32151"/>
    <cellStyle name="Normal 22 2 3 2 2 3 4" xfId="32152"/>
    <cellStyle name="Normal 22 2 3 2 2 4" xfId="32153"/>
    <cellStyle name="Normal 22 2 3 2 2 4 2" xfId="32154"/>
    <cellStyle name="Normal 22 2 3 2 2 4 2 2" xfId="32155"/>
    <cellStyle name="Normal 22 2 3 2 2 4 3" xfId="32156"/>
    <cellStyle name="Normal 22 2 3 2 2 5" xfId="32157"/>
    <cellStyle name="Normal 22 2 3 2 2 5 2" xfId="32158"/>
    <cellStyle name="Normal 22 2 3 2 2 6" xfId="32159"/>
    <cellStyle name="Normal 22 2 3 2 3" xfId="17994"/>
    <cellStyle name="Normal 22 2 3 2 3 2" xfId="17995"/>
    <cellStyle name="Normal 22 2 3 2 3 2 2" xfId="32160"/>
    <cellStyle name="Normal 22 2 3 2 3 2 2 2" xfId="32161"/>
    <cellStyle name="Normal 22 2 3 2 3 2 2 2 2" xfId="32162"/>
    <cellStyle name="Normal 22 2 3 2 3 2 2 3" xfId="32163"/>
    <cellStyle name="Normal 22 2 3 2 3 2 3" xfId="32164"/>
    <cellStyle name="Normal 22 2 3 2 3 2 3 2" xfId="32165"/>
    <cellStyle name="Normal 22 2 3 2 3 2 4" xfId="32166"/>
    <cellStyle name="Normal 22 2 3 2 3 3" xfId="32167"/>
    <cellStyle name="Normal 22 2 3 2 3 3 2" xfId="32168"/>
    <cellStyle name="Normal 22 2 3 2 3 3 2 2" xfId="32169"/>
    <cellStyle name="Normal 22 2 3 2 3 3 3" xfId="32170"/>
    <cellStyle name="Normal 22 2 3 2 3 4" xfId="32171"/>
    <cellStyle name="Normal 22 2 3 2 3 4 2" xfId="32172"/>
    <cellStyle name="Normal 22 2 3 2 3 5" xfId="32173"/>
    <cellStyle name="Normal 22 2 3 2 4" xfId="17996"/>
    <cellStyle name="Normal 22 2 3 2 4 2" xfId="32174"/>
    <cellStyle name="Normal 22 2 3 2 4 2 2" xfId="32175"/>
    <cellStyle name="Normal 22 2 3 2 4 2 2 2" xfId="32176"/>
    <cellStyle name="Normal 22 2 3 2 4 2 3" xfId="32177"/>
    <cellStyle name="Normal 22 2 3 2 4 3" xfId="32178"/>
    <cellStyle name="Normal 22 2 3 2 4 3 2" xfId="32179"/>
    <cellStyle name="Normal 22 2 3 2 4 4" xfId="32180"/>
    <cellStyle name="Normal 22 2 3 2 5" xfId="32181"/>
    <cellStyle name="Normal 22 2 3 2 5 2" xfId="32182"/>
    <cellStyle name="Normal 22 2 3 2 5 2 2" xfId="32183"/>
    <cellStyle name="Normal 22 2 3 2 5 3" xfId="32184"/>
    <cellStyle name="Normal 22 2 3 2 6" xfId="32185"/>
    <cellStyle name="Normal 22 2 3 2 6 2" xfId="32186"/>
    <cellStyle name="Normal 22 2 3 2 7" xfId="32187"/>
    <cellStyle name="Normal 22 2 3 3" xfId="17997"/>
    <cellStyle name="Normal 22 2 3 3 2" xfId="17998"/>
    <cellStyle name="Normal 22 2 3 3 2 2" xfId="17999"/>
    <cellStyle name="Normal 22 2 3 3 2 2 2" xfId="32188"/>
    <cellStyle name="Normal 22 2 3 3 2 2 2 2" xfId="32189"/>
    <cellStyle name="Normal 22 2 3 3 2 2 2 2 2" xfId="32190"/>
    <cellStyle name="Normal 22 2 3 3 2 2 2 3" xfId="32191"/>
    <cellStyle name="Normal 22 2 3 3 2 2 3" xfId="32192"/>
    <cellStyle name="Normal 22 2 3 3 2 2 3 2" xfId="32193"/>
    <cellStyle name="Normal 22 2 3 3 2 2 4" xfId="32194"/>
    <cellStyle name="Normal 22 2 3 3 2 3" xfId="32195"/>
    <cellStyle name="Normal 22 2 3 3 2 3 2" xfId="32196"/>
    <cellStyle name="Normal 22 2 3 3 2 3 2 2" xfId="32197"/>
    <cellStyle name="Normal 22 2 3 3 2 3 3" xfId="32198"/>
    <cellStyle name="Normal 22 2 3 3 2 4" xfId="32199"/>
    <cellStyle name="Normal 22 2 3 3 2 4 2" xfId="32200"/>
    <cellStyle name="Normal 22 2 3 3 2 5" xfId="32201"/>
    <cellStyle name="Normal 22 2 3 3 3" xfId="18000"/>
    <cellStyle name="Normal 22 2 3 3 3 2" xfId="32202"/>
    <cellStyle name="Normal 22 2 3 3 3 2 2" xfId="32203"/>
    <cellStyle name="Normal 22 2 3 3 3 2 2 2" xfId="32204"/>
    <cellStyle name="Normal 22 2 3 3 3 2 3" xfId="32205"/>
    <cellStyle name="Normal 22 2 3 3 3 3" xfId="32206"/>
    <cellStyle name="Normal 22 2 3 3 3 3 2" xfId="32207"/>
    <cellStyle name="Normal 22 2 3 3 3 4" xfId="32208"/>
    <cellStyle name="Normal 22 2 3 3 4" xfId="32209"/>
    <cellStyle name="Normal 22 2 3 3 4 2" xfId="32210"/>
    <cellStyle name="Normal 22 2 3 3 4 2 2" xfId="32211"/>
    <cellStyle name="Normal 22 2 3 3 4 3" xfId="32212"/>
    <cellStyle name="Normal 22 2 3 3 5" xfId="32213"/>
    <cellStyle name="Normal 22 2 3 3 5 2" xfId="32214"/>
    <cellStyle name="Normal 22 2 3 3 6" xfId="32215"/>
    <cellStyle name="Normal 22 2 3 4" xfId="18001"/>
    <cellStyle name="Normal 22 2 3 4 2" xfId="18002"/>
    <cellStyle name="Normal 22 2 3 4 2 2" xfId="32216"/>
    <cellStyle name="Normal 22 2 3 4 2 2 2" xfId="32217"/>
    <cellStyle name="Normal 22 2 3 4 2 2 2 2" xfId="32218"/>
    <cellStyle name="Normal 22 2 3 4 2 2 3" xfId="32219"/>
    <cellStyle name="Normal 22 2 3 4 2 3" xfId="32220"/>
    <cellStyle name="Normal 22 2 3 4 2 3 2" xfId="32221"/>
    <cellStyle name="Normal 22 2 3 4 2 4" xfId="32222"/>
    <cellStyle name="Normal 22 2 3 4 3" xfId="32223"/>
    <cellStyle name="Normal 22 2 3 4 3 2" xfId="32224"/>
    <cellStyle name="Normal 22 2 3 4 3 2 2" xfId="32225"/>
    <cellStyle name="Normal 22 2 3 4 3 3" xfId="32226"/>
    <cellStyle name="Normal 22 2 3 4 4" xfId="32227"/>
    <cellStyle name="Normal 22 2 3 4 4 2" xfId="32228"/>
    <cellStyle name="Normal 22 2 3 4 5" xfId="32229"/>
    <cellStyle name="Normal 22 2 3 5" xfId="18003"/>
    <cellStyle name="Normal 22 2 3 5 2" xfId="32230"/>
    <cellStyle name="Normal 22 2 3 5 2 2" xfId="32231"/>
    <cellStyle name="Normal 22 2 3 5 2 2 2" xfId="32232"/>
    <cellStyle name="Normal 22 2 3 5 2 3" xfId="32233"/>
    <cellStyle name="Normal 22 2 3 5 3" xfId="32234"/>
    <cellStyle name="Normal 22 2 3 5 3 2" xfId="32235"/>
    <cellStyle name="Normal 22 2 3 5 4" xfId="32236"/>
    <cellStyle name="Normal 22 2 3 6" xfId="32237"/>
    <cellStyle name="Normal 22 2 3 6 2" xfId="32238"/>
    <cellStyle name="Normal 22 2 3 6 2 2" xfId="32239"/>
    <cellStyle name="Normal 22 2 3 6 3" xfId="32240"/>
    <cellStyle name="Normal 22 2 3 7" xfId="32241"/>
    <cellStyle name="Normal 22 2 3 7 2" xfId="32242"/>
    <cellStyle name="Normal 22 2 3 8" xfId="32243"/>
    <cellStyle name="Normal 22 2 4" xfId="18004"/>
    <cellStyle name="Normal 22 2 4 2" xfId="18005"/>
    <cellStyle name="Normal 22 2 4 2 2" xfId="18006"/>
    <cellStyle name="Normal 22 2 4 2 2 2" xfId="18007"/>
    <cellStyle name="Normal 22 2 4 2 2 2 2" xfId="32244"/>
    <cellStyle name="Normal 22 2 4 2 2 2 2 2" xfId="32245"/>
    <cellStyle name="Normal 22 2 4 2 2 2 2 2 2" xfId="32246"/>
    <cellStyle name="Normal 22 2 4 2 2 2 2 3" xfId="32247"/>
    <cellStyle name="Normal 22 2 4 2 2 2 3" xfId="32248"/>
    <cellStyle name="Normal 22 2 4 2 2 2 3 2" xfId="32249"/>
    <cellStyle name="Normal 22 2 4 2 2 2 4" xfId="32250"/>
    <cellStyle name="Normal 22 2 4 2 2 3" xfId="32251"/>
    <cellStyle name="Normal 22 2 4 2 2 3 2" xfId="32252"/>
    <cellStyle name="Normal 22 2 4 2 2 3 2 2" xfId="32253"/>
    <cellStyle name="Normal 22 2 4 2 2 3 3" xfId="32254"/>
    <cellStyle name="Normal 22 2 4 2 2 4" xfId="32255"/>
    <cellStyle name="Normal 22 2 4 2 2 4 2" xfId="32256"/>
    <cellStyle name="Normal 22 2 4 2 2 5" xfId="32257"/>
    <cellStyle name="Normal 22 2 4 2 3" xfId="18008"/>
    <cellStyle name="Normal 22 2 4 2 3 2" xfId="32258"/>
    <cellStyle name="Normal 22 2 4 2 3 2 2" xfId="32259"/>
    <cellStyle name="Normal 22 2 4 2 3 2 2 2" xfId="32260"/>
    <cellStyle name="Normal 22 2 4 2 3 2 3" xfId="32261"/>
    <cellStyle name="Normal 22 2 4 2 3 3" xfId="32262"/>
    <cellStyle name="Normal 22 2 4 2 3 3 2" xfId="32263"/>
    <cellStyle name="Normal 22 2 4 2 3 4" xfId="32264"/>
    <cellStyle name="Normal 22 2 4 2 4" xfId="32265"/>
    <cellStyle name="Normal 22 2 4 2 4 2" xfId="32266"/>
    <cellStyle name="Normal 22 2 4 2 4 2 2" xfId="32267"/>
    <cellStyle name="Normal 22 2 4 2 4 3" xfId="32268"/>
    <cellStyle name="Normal 22 2 4 2 5" xfId="32269"/>
    <cellStyle name="Normal 22 2 4 2 5 2" xfId="32270"/>
    <cellStyle name="Normal 22 2 4 2 6" xfId="32271"/>
    <cellStyle name="Normal 22 2 4 3" xfId="18009"/>
    <cellStyle name="Normal 22 2 4 3 2" xfId="18010"/>
    <cellStyle name="Normal 22 2 4 3 2 2" xfId="32272"/>
    <cellStyle name="Normal 22 2 4 3 2 2 2" xfId="32273"/>
    <cellStyle name="Normal 22 2 4 3 2 2 2 2" xfId="32274"/>
    <cellStyle name="Normal 22 2 4 3 2 2 3" xfId="32275"/>
    <cellStyle name="Normal 22 2 4 3 2 3" xfId="32276"/>
    <cellStyle name="Normal 22 2 4 3 2 3 2" xfId="32277"/>
    <cellStyle name="Normal 22 2 4 3 2 4" xfId="32278"/>
    <cellStyle name="Normal 22 2 4 3 3" xfId="32279"/>
    <cellStyle name="Normal 22 2 4 3 3 2" xfId="32280"/>
    <cellStyle name="Normal 22 2 4 3 3 2 2" xfId="32281"/>
    <cellStyle name="Normal 22 2 4 3 3 3" xfId="32282"/>
    <cellStyle name="Normal 22 2 4 3 4" xfId="32283"/>
    <cellStyle name="Normal 22 2 4 3 4 2" xfId="32284"/>
    <cellStyle name="Normal 22 2 4 3 5" xfId="32285"/>
    <cellStyle name="Normal 22 2 4 4" xfId="18011"/>
    <cellStyle name="Normal 22 2 4 4 2" xfId="32286"/>
    <cellStyle name="Normal 22 2 4 4 2 2" xfId="32287"/>
    <cellStyle name="Normal 22 2 4 4 2 2 2" xfId="32288"/>
    <cellStyle name="Normal 22 2 4 4 2 3" xfId="32289"/>
    <cellStyle name="Normal 22 2 4 4 3" xfId="32290"/>
    <cellStyle name="Normal 22 2 4 4 3 2" xfId="32291"/>
    <cellStyle name="Normal 22 2 4 4 4" xfId="32292"/>
    <cellStyle name="Normal 22 2 4 5" xfId="32293"/>
    <cellStyle name="Normal 22 2 4 5 2" xfId="32294"/>
    <cellStyle name="Normal 22 2 4 5 2 2" xfId="32295"/>
    <cellStyle name="Normal 22 2 4 5 3" xfId="32296"/>
    <cellStyle name="Normal 22 2 4 6" xfId="32297"/>
    <cellStyle name="Normal 22 2 4 6 2" xfId="32298"/>
    <cellStyle name="Normal 22 2 4 7" xfId="32299"/>
    <cellStyle name="Normal 22 2 5" xfId="18012"/>
    <cellStyle name="Normal 22 2 5 2" xfId="18013"/>
    <cellStyle name="Normal 22 2 5 2 2" xfId="18014"/>
    <cellStyle name="Normal 22 2 5 2 2 2" xfId="32300"/>
    <cellStyle name="Normal 22 2 5 2 2 2 2" xfId="32301"/>
    <cellStyle name="Normal 22 2 5 2 2 2 2 2" xfId="32302"/>
    <cellStyle name="Normal 22 2 5 2 2 2 3" xfId="32303"/>
    <cellStyle name="Normal 22 2 5 2 2 3" xfId="32304"/>
    <cellStyle name="Normal 22 2 5 2 2 3 2" xfId="32305"/>
    <cellStyle name="Normal 22 2 5 2 2 4" xfId="32306"/>
    <cellStyle name="Normal 22 2 5 2 3" xfId="32307"/>
    <cellStyle name="Normal 22 2 5 2 3 2" xfId="32308"/>
    <cellStyle name="Normal 22 2 5 2 3 2 2" xfId="32309"/>
    <cellStyle name="Normal 22 2 5 2 3 3" xfId="32310"/>
    <cellStyle name="Normal 22 2 5 2 4" xfId="32311"/>
    <cellStyle name="Normal 22 2 5 2 4 2" xfId="32312"/>
    <cellStyle name="Normal 22 2 5 2 5" xfId="32313"/>
    <cellStyle name="Normal 22 2 5 3" xfId="18015"/>
    <cellStyle name="Normal 22 2 5 3 2" xfId="32314"/>
    <cellStyle name="Normal 22 2 5 3 2 2" xfId="32315"/>
    <cellStyle name="Normal 22 2 5 3 2 2 2" xfId="32316"/>
    <cellStyle name="Normal 22 2 5 3 2 3" xfId="32317"/>
    <cellStyle name="Normal 22 2 5 3 3" xfId="32318"/>
    <cellStyle name="Normal 22 2 5 3 3 2" xfId="32319"/>
    <cellStyle name="Normal 22 2 5 3 4" xfId="32320"/>
    <cellStyle name="Normal 22 2 5 4" xfId="32321"/>
    <cellStyle name="Normal 22 2 5 4 2" xfId="32322"/>
    <cellStyle name="Normal 22 2 5 4 2 2" xfId="32323"/>
    <cellStyle name="Normal 22 2 5 4 3" xfId="32324"/>
    <cellStyle name="Normal 22 2 5 5" xfId="32325"/>
    <cellStyle name="Normal 22 2 5 5 2" xfId="32326"/>
    <cellStyle name="Normal 22 2 5 6" xfId="32327"/>
    <cellStyle name="Normal 22 2 6" xfId="18016"/>
    <cellStyle name="Normal 22 2 6 2" xfId="18017"/>
    <cellStyle name="Normal 22 2 6 2 2" xfId="32328"/>
    <cellStyle name="Normal 22 2 6 2 2 2" xfId="32329"/>
    <cellStyle name="Normal 22 2 6 2 2 2 2" xfId="32330"/>
    <cellStyle name="Normal 22 2 6 2 2 3" xfId="32331"/>
    <cellStyle name="Normal 22 2 6 2 3" xfId="32332"/>
    <cellStyle name="Normal 22 2 6 2 3 2" xfId="32333"/>
    <cellStyle name="Normal 22 2 6 2 4" xfId="32334"/>
    <cellStyle name="Normal 22 2 6 3" xfId="32335"/>
    <cellStyle name="Normal 22 2 6 3 2" xfId="32336"/>
    <cellStyle name="Normal 22 2 6 3 2 2" xfId="32337"/>
    <cellStyle name="Normal 22 2 6 3 3" xfId="32338"/>
    <cellStyle name="Normal 22 2 6 4" xfId="32339"/>
    <cellStyle name="Normal 22 2 6 4 2" xfId="32340"/>
    <cellStyle name="Normal 22 2 6 5" xfId="32341"/>
    <cellStyle name="Normal 22 2 7" xfId="18018"/>
    <cellStyle name="Normal 22 2 7 2" xfId="32342"/>
    <cellStyle name="Normal 22 2 7 2 2" xfId="32343"/>
    <cellStyle name="Normal 22 2 7 2 2 2" xfId="32344"/>
    <cellStyle name="Normal 22 2 7 2 3" xfId="32345"/>
    <cellStyle name="Normal 22 2 7 3" xfId="32346"/>
    <cellStyle name="Normal 22 2 7 3 2" xfId="32347"/>
    <cellStyle name="Normal 22 2 7 4" xfId="32348"/>
    <cellStyle name="Normal 22 2 8" xfId="32349"/>
    <cellStyle name="Normal 22 2 8 2" xfId="32350"/>
    <cellStyle name="Normal 22 2 8 2 2" xfId="32351"/>
    <cellStyle name="Normal 22 2 8 3" xfId="32352"/>
    <cellStyle name="Normal 22 2 9" xfId="32353"/>
    <cellStyle name="Normal 22 2 9 2" xfId="32354"/>
    <cellStyle name="Normal 22 3" xfId="10055"/>
    <cellStyle name="Normal 22 3 2" xfId="18019"/>
    <cellStyle name="Normal 22 3 2 2" xfId="18020"/>
    <cellStyle name="Normal 22 3 2 2 2" xfId="18021"/>
    <cellStyle name="Normal 22 3 2 2 2 2" xfId="18022"/>
    <cellStyle name="Normal 22 3 2 2 2 2 2" xfId="32355"/>
    <cellStyle name="Normal 22 3 2 2 2 2 2 2" xfId="32356"/>
    <cellStyle name="Normal 22 3 2 2 2 2 2 2 2" xfId="32357"/>
    <cellStyle name="Normal 22 3 2 2 2 2 2 3" xfId="32358"/>
    <cellStyle name="Normal 22 3 2 2 2 2 3" xfId="32359"/>
    <cellStyle name="Normal 22 3 2 2 2 2 3 2" xfId="32360"/>
    <cellStyle name="Normal 22 3 2 2 2 2 4" xfId="32361"/>
    <cellStyle name="Normal 22 3 2 2 2 3" xfId="32362"/>
    <cellStyle name="Normal 22 3 2 2 2 3 2" xfId="32363"/>
    <cellStyle name="Normal 22 3 2 2 2 3 2 2" xfId="32364"/>
    <cellStyle name="Normal 22 3 2 2 2 3 3" xfId="32365"/>
    <cellStyle name="Normal 22 3 2 2 2 4" xfId="32366"/>
    <cellStyle name="Normal 22 3 2 2 2 4 2" xfId="32367"/>
    <cellStyle name="Normal 22 3 2 2 2 5" xfId="32368"/>
    <cellStyle name="Normal 22 3 2 2 3" xfId="18023"/>
    <cellStyle name="Normal 22 3 2 2 3 2" xfId="32369"/>
    <cellStyle name="Normal 22 3 2 2 3 2 2" xfId="32370"/>
    <cellStyle name="Normal 22 3 2 2 3 2 2 2" xfId="32371"/>
    <cellStyle name="Normal 22 3 2 2 3 2 3" xfId="32372"/>
    <cellStyle name="Normal 22 3 2 2 3 3" xfId="32373"/>
    <cellStyle name="Normal 22 3 2 2 3 3 2" xfId="32374"/>
    <cellStyle name="Normal 22 3 2 2 3 4" xfId="32375"/>
    <cellStyle name="Normal 22 3 2 2 4" xfId="32376"/>
    <cellStyle name="Normal 22 3 2 2 4 2" xfId="32377"/>
    <cellStyle name="Normal 22 3 2 2 4 2 2" xfId="32378"/>
    <cellStyle name="Normal 22 3 2 2 4 3" xfId="32379"/>
    <cellStyle name="Normal 22 3 2 2 5" xfId="32380"/>
    <cellStyle name="Normal 22 3 2 2 5 2" xfId="32381"/>
    <cellStyle name="Normal 22 3 2 2 6" xfId="32382"/>
    <cellStyle name="Normal 22 3 2 3" xfId="18024"/>
    <cellStyle name="Normal 22 3 2 3 2" xfId="18025"/>
    <cellStyle name="Normal 22 3 2 3 2 2" xfId="32383"/>
    <cellStyle name="Normal 22 3 2 3 2 2 2" xfId="32384"/>
    <cellStyle name="Normal 22 3 2 3 2 2 2 2" xfId="32385"/>
    <cellStyle name="Normal 22 3 2 3 2 2 3" xfId="32386"/>
    <cellStyle name="Normal 22 3 2 3 2 3" xfId="32387"/>
    <cellStyle name="Normal 22 3 2 3 2 3 2" xfId="32388"/>
    <cellStyle name="Normal 22 3 2 3 2 4" xfId="32389"/>
    <cellStyle name="Normal 22 3 2 3 3" xfId="32390"/>
    <cellStyle name="Normal 22 3 2 3 3 2" xfId="32391"/>
    <cellStyle name="Normal 22 3 2 3 3 2 2" xfId="32392"/>
    <cellStyle name="Normal 22 3 2 3 3 3" xfId="32393"/>
    <cellStyle name="Normal 22 3 2 3 4" xfId="32394"/>
    <cellStyle name="Normal 22 3 2 3 4 2" xfId="32395"/>
    <cellStyle name="Normal 22 3 2 3 5" xfId="32396"/>
    <cellStyle name="Normal 22 3 2 4" xfId="18026"/>
    <cellStyle name="Normal 22 3 2 4 2" xfId="32397"/>
    <cellStyle name="Normal 22 3 2 4 2 2" xfId="32398"/>
    <cellStyle name="Normal 22 3 2 4 2 2 2" xfId="32399"/>
    <cellStyle name="Normal 22 3 2 4 2 3" xfId="32400"/>
    <cellStyle name="Normal 22 3 2 4 3" xfId="32401"/>
    <cellStyle name="Normal 22 3 2 4 3 2" xfId="32402"/>
    <cellStyle name="Normal 22 3 2 4 4" xfId="32403"/>
    <cellStyle name="Normal 22 3 2 5" xfId="32404"/>
    <cellStyle name="Normal 22 3 2 5 2" xfId="32405"/>
    <cellStyle name="Normal 22 3 2 5 2 2" xfId="32406"/>
    <cellStyle name="Normal 22 3 2 5 3" xfId="32407"/>
    <cellStyle name="Normal 22 3 2 6" xfId="32408"/>
    <cellStyle name="Normal 22 3 2 6 2" xfId="32409"/>
    <cellStyle name="Normal 22 3 2 7" xfId="32410"/>
    <cellStyle name="Normal 22 3 3" xfId="18027"/>
    <cellStyle name="Normal 22 3 3 2" xfId="18028"/>
    <cellStyle name="Normal 22 3 3 2 2" xfId="18029"/>
    <cellStyle name="Normal 22 3 3 2 2 2" xfId="32411"/>
    <cellStyle name="Normal 22 3 3 2 2 2 2" xfId="32412"/>
    <cellStyle name="Normal 22 3 3 2 2 2 2 2" xfId="32413"/>
    <cellStyle name="Normal 22 3 3 2 2 2 3" xfId="32414"/>
    <cellStyle name="Normal 22 3 3 2 2 3" xfId="32415"/>
    <cellStyle name="Normal 22 3 3 2 2 3 2" xfId="32416"/>
    <cellStyle name="Normal 22 3 3 2 2 4" xfId="32417"/>
    <cellStyle name="Normal 22 3 3 2 3" xfId="32418"/>
    <cellStyle name="Normal 22 3 3 2 3 2" xfId="32419"/>
    <cellStyle name="Normal 22 3 3 2 3 2 2" xfId="32420"/>
    <cellStyle name="Normal 22 3 3 2 3 3" xfId="32421"/>
    <cellStyle name="Normal 22 3 3 2 4" xfId="32422"/>
    <cellStyle name="Normal 22 3 3 2 4 2" xfId="32423"/>
    <cellStyle name="Normal 22 3 3 2 5" xfId="32424"/>
    <cellStyle name="Normal 22 3 3 3" xfId="18030"/>
    <cellStyle name="Normal 22 3 3 3 2" xfId="32425"/>
    <cellStyle name="Normal 22 3 3 3 2 2" xfId="32426"/>
    <cellStyle name="Normal 22 3 3 3 2 2 2" xfId="32427"/>
    <cellStyle name="Normal 22 3 3 3 2 3" xfId="32428"/>
    <cellStyle name="Normal 22 3 3 3 3" xfId="32429"/>
    <cellStyle name="Normal 22 3 3 3 3 2" xfId="32430"/>
    <cellStyle name="Normal 22 3 3 3 4" xfId="32431"/>
    <cellStyle name="Normal 22 3 3 4" xfId="32432"/>
    <cellStyle name="Normal 22 3 3 4 2" xfId="32433"/>
    <cellStyle name="Normal 22 3 3 4 2 2" xfId="32434"/>
    <cellStyle name="Normal 22 3 3 4 3" xfId="32435"/>
    <cellStyle name="Normal 22 3 3 5" xfId="32436"/>
    <cellStyle name="Normal 22 3 3 5 2" xfId="32437"/>
    <cellStyle name="Normal 22 3 3 6" xfId="32438"/>
    <cellStyle name="Normal 22 3 4" xfId="18031"/>
    <cellStyle name="Normal 22 3 4 2" xfId="18032"/>
    <cellStyle name="Normal 22 3 4 2 2" xfId="32439"/>
    <cellStyle name="Normal 22 3 4 2 2 2" xfId="32440"/>
    <cellStyle name="Normal 22 3 4 2 2 2 2" xfId="32441"/>
    <cellStyle name="Normal 22 3 4 2 2 3" xfId="32442"/>
    <cellStyle name="Normal 22 3 4 2 3" xfId="32443"/>
    <cellStyle name="Normal 22 3 4 2 3 2" xfId="32444"/>
    <cellStyle name="Normal 22 3 4 2 4" xfId="32445"/>
    <cellStyle name="Normal 22 3 4 3" xfId="32446"/>
    <cellStyle name="Normal 22 3 4 3 2" xfId="32447"/>
    <cellStyle name="Normal 22 3 4 3 2 2" xfId="32448"/>
    <cellStyle name="Normal 22 3 4 3 3" xfId="32449"/>
    <cellStyle name="Normal 22 3 4 4" xfId="32450"/>
    <cellStyle name="Normal 22 3 4 4 2" xfId="32451"/>
    <cellStyle name="Normal 22 3 4 5" xfId="32452"/>
    <cellStyle name="Normal 22 3 5" xfId="18033"/>
    <cellStyle name="Normal 22 3 5 2" xfId="32453"/>
    <cellStyle name="Normal 22 3 5 2 2" xfId="32454"/>
    <cellStyle name="Normal 22 3 5 2 2 2" xfId="32455"/>
    <cellStyle name="Normal 22 3 5 2 3" xfId="32456"/>
    <cellStyle name="Normal 22 3 5 3" xfId="32457"/>
    <cellStyle name="Normal 22 3 5 3 2" xfId="32458"/>
    <cellStyle name="Normal 22 3 5 4" xfId="32459"/>
    <cellStyle name="Normal 22 3 6" xfId="32460"/>
    <cellStyle name="Normal 22 3 6 2" xfId="32461"/>
    <cellStyle name="Normal 22 3 6 2 2" xfId="32462"/>
    <cellStyle name="Normal 22 3 6 3" xfId="32463"/>
    <cellStyle name="Normal 22 3 7" xfId="32464"/>
    <cellStyle name="Normal 22 3 7 2" xfId="32465"/>
    <cellStyle name="Normal 22 3 8" xfId="32466"/>
    <cellStyle name="Normal 22 4" xfId="18034"/>
    <cellStyle name="Normal 22 4 2" xfId="18035"/>
    <cellStyle name="Normal 22 4 2 2" xfId="18036"/>
    <cellStyle name="Normal 22 4 2 2 2" xfId="18037"/>
    <cellStyle name="Normal 22 4 2 2 2 2" xfId="18038"/>
    <cellStyle name="Normal 22 4 2 2 2 2 2" xfId="32467"/>
    <cellStyle name="Normal 22 4 2 2 2 2 2 2" xfId="32468"/>
    <cellStyle name="Normal 22 4 2 2 2 2 2 2 2" xfId="32469"/>
    <cellStyle name="Normal 22 4 2 2 2 2 2 3" xfId="32470"/>
    <cellStyle name="Normal 22 4 2 2 2 2 3" xfId="32471"/>
    <cellStyle name="Normal 22 4 2 2 2 2 3 2" xfId="32472"/>
    <cellStyle name="Normal 22 4 2 2 2 2 4" xfId="32473"/>
    <cellStyle name="Normal 22 4 2 2 2 3" xfId="32474"/>
    <cellStyle name="Normal 22 4 2 2 2 3 2" xfId="32475"/>
    <cellStyle name="Normal 22 4 2 2 2 3 2 2" xfId="32476"/>
    <cellStyle name="Normal 22 4 2 2 2 3 3" xfId="32477"/>
    <cellStyle name="Normal 22 4 2 2 2 4" xfId="32478"/>
    <cellStyle name="Normal 22 4 2 2 2 4 2" xfId="32479"/>
    <cellStyle name="Normal 22 4 2 2 2 5" xfId="32480"/>
    <cellStyle name="Normal 22 4 2 2 3" xfId="18039"/>
    <cellStyle name="Normal 22 4 2 2 3 2" xfId="32481"/>
    <cellStyle name="Normal 22 4 2 2 3 2 2" xfId="32482"/>
    <cellStyle name="Normal 22 4 2 2 3 2 2 2" xfId="32483"/>
    <cellStyle name="Normal 22 4 2 2 3 2 3" xfId="32484"/>
    <cellStyle name="Normal 22 4 2 2 3 3" xfId="32485"/>
    <cellStyle name="Normal 22 4 2 2 3 3 2" xfId="32486"/>
    <cellStyle name="Normal 22 4 2 2 3 4" xfId="32487"/>
    <cellStyle name="Normal 22 4 2 2 4" xfId="32488"/>
    <cellStyle name="Normal 22 4 2 2 4 2" xfId="32489"/>
    <cellStyle name="Normal 22 4 2 2 4 2 2" xfId="32490"/>
    <cellStyle name="Normal 22 4 2 2 4 3" xfId="32491"/>
    <cellStyle name="Normal 22 4 2 2 5" xfId="32492"/>
    <cellStyle name="Normal 22 4 2 2 5 2" xfId="32493"/>
    <cellStyle name="Normal 22 4 2 2 6" xfId="32494"/>
    <cellStyle name="Normal 22 4 2 3" xfId="18040"/>
    <cellStyle name="Normal 22 4 2 3 2" xfId="18041"/>
    <cellStyle name="Normal 22 4 2 3 2 2" xfId="32495"/>
    <cellStyle name="Normal 22 4 2 3 2 2 2" xfId="32496"/>
    <cellStyle name="Normal 22 4 2 3 2 2 2 2" xfId="32497"/>
    <cellStyle name="Normal 22 4 2 3 2 2 3" xfId="32498"/>
    <cellStyle name="Normal 22 4 2 3 2 3" xfId="32499"/>
    <cellStyle name="Normal 22 4 2 3 2 3 2" xfId="32500"/>
    <cellStyle name="Normal 22 4 2 3 2 4" xfId="32501"/>
    <cellStyle name="Normal 22 4 2 3 3" xfId="32502"/>
    <cellStyle name="Normal 22 4 2 3 3 2" xfId="32503"/>
    <cellStyle name="Normal 22 4 2 3 3 2 2" xfId="32504"/>
    <cellStyle name="Normal 22 4 2 3 3 3" xfId="32505"/>
    <cellStyle name="Normal 22 4 2 3 4" xfId="32506"/>
    <cellStyle name="Normal 22 4 2 3 4 2" xfId="32507"/>
    <cellStyle name="Normal 22 4 2 3 5" xfId="32508"/>
    <cellStyle name="Normal 22 4 2 4" xfId="18042"/>
    <cellStyle name="Normal 22 4 2 4 2" xfId="32509"/>
    <cellStyle name="Normal 22 4 2 4 2 2" xfId="32510"/>
    <cellStyle name="Normal 22 4 2 4 2 2 2" xfId="32511"/>
    <cellStyle name="Normal 22 4 2 4 2 3" xfId="32512"/>
    <cellStyle name="Normal 22 4 2 4 3" xfId="32513"/>
    <cellStyle name="Normal 22 4 2 4 3 2" xfId="32514"/>
    <cellStyle name="Normal 22 4 2 4 4" xfId="32515"/>
    <cellStyle name="Normal 22 4 2 5" xfId="32516"/>
    <cellStyle name="Normal 22 4 2 5 2" xfId="32517"/>
    <cellStyle name="Normal 22 4 2 5 2 2" xfId="32518"/>
    <cellStyle name="Normal 22 4 2 5 3" xfId="32519"/>
    <cellStyle name="Normal 22 4 2 6" xfId="32520"/>
    <cellStyle name="Normal 22 4 2 6 2" xfId="32521"/>
    <cellStyle name="Normal 22 4 2 7" xfId="32522"/>
    <cellStyle name="Normal 22 4 3" xfId="18043"/>
    <cellStyle name="Normal 22 4 3 2" xfId="18044"/>
    <cellStyle name="Normal 22 4 3 2 2" xfId="18045"/>
    <cellStyle name="Normal 22 4 3 2 2 2" xfId="32523"/>
    <cellStyle name="Normal 22 4 3 2 2 2 2" xfId="32524"/>
    <cellStyle name="Normal 22 4 3 2 2 2 2 2" xfId="32525"/>
    <cellStyle name="Normal 22 4 3 2 2 2 3" xfId="32526"/>
    <cellStyle name="Normal 22 4 3 2 2 3" xfId="32527"/>
    <cellStyle name="Normal 22 4 3 2 2 3 2" xfId="32528"/>
    <cellStyle name="Normal 22 4 3 2 2 4" xfId="32529"/>
    <cellStyle name="Normal 22 4 3 2 3" xfId="32530"/>
    <cellStyle name="Normal 22 4 3 2 3 2" xfId="32531"/>
    <cellStyle name="Normal 22 4 3 2 3 2 2" xfId="32532"/>
    <cellStyle name="Normal 22 4 3 2 3 3" xfId="32533"/>
    <cellStyle name="Normal 22 4 3 2 4" xfId="32534"/>
    <cellStyle name="Normal 22 4 3 2 4 2" xfId="32535"/>
    <cellStyle name="Normal 22 4 3 2 5" xfId="32536"/>
    <cellStyle name="Normal 22 4 3 3" xfId="18046"/>
    <cellStyle name="Normal 22 4 3 3 2" xfId="32537"/>
    <cellStyle name="Normal 22 4 3 3 2 2" xfId="32538"/>
    <cellStyle name="Normal 22 4 3 3 2 2 2" xfId="32539"/>
    <cellStyle name="Normal 22 4 3 3 2 3" xfId="32540"/>
    <cellStyle name="Normal 22 4 3 3 3" xfId="32541"/>
    <cellStyle name="Normal 22 4 3 3 3 2" xfId="32542"/>
    <cellStyle name="Normal 22 4 3 3 4" xfId="32543"/>
    <cellStyle name="Normal 22 4 3 4" xfId="32544"/>
    <cellStyle name="Normal 22 4 3 4 2" xfId="32545"/>
    <cellStyle name="Normal 22 4 3 4 2 2" xfId="32546"/>
    <cellStyle name="Normal 22 4 3 4 3" xfId="32547"/>
    <cellStyle name="Normal 22 4 3 5" xfId="32548"/>
    <cellStyle name="Normal 22 4 3 5 2" xfId="32549"/>
    <cellStyle name="Normal 22 4 3 6" xfId="32550"/>
    <cellStyle name="Normal 22 4 4" xfId="18047"/>
    <cellStyle name="Normal 22 4 4 2" xfId="18048"/>
    <cellStyle name="Normal 22 4 4 2 2" xfId="32551"/>
    <cellStyle name="Normal 22 4 4 2 2 2" xfId="32552"/>
    <cellStyle name="Normal 22 4 4 2 2 2 2" xfId="32553"/>
    <cellStyle name="Normal 22 4 4 2 2 3" xfId="32554"/>
    <cellStyle name="Normal 22 4 4 2 3" xfId="32555"/>
    <cellStyle name="Normal 22 4 4 2 3 2" xfId="32556"/>
    <cellStyle name="Normal 22 4 4 2 4" xfId="32557"/>
    <cellStyle name="Normal 22 4 4 3" xfId="32558"/>
    <cellStyle name="Normal 22 4 4 3 2" xfId="32559"/>
    <cellStyle name="Normal 22 4 4 3 2 2" xfId="32560"/>
    <cellStyle name="Normal 22 4 4 3 3" xfId="32561"/>
    <cellStyle name="Normal 22 4 4 4" xfId="32562"/>
    <cellStyle name="Normal 22 4 4 4 2" xfId="32563"/>
    <cellStyle name="Normal 22 4 4 5" xfId="32564"/>
    <cellStyle name="Normal 22 4 5" xfId="18049"/>
    <cellStyle name="Normal 22 4 5 2" xfId="32565"/>
    <cellStyle name="Normal 22 4 5 2 2" xfId="32566"/>
    <cellStyle name="Normal 22 4 5 2 2 2" xfId="32567"/>
    <cellStyle name="Normal 22 4 5 2 3" xfId="32568"/>
    <cellStyle name="Normal 22 4 5 3" xfId="32569"/>
    <cellStyle name="Normal 22 4 5 3 2" xfId="32570"/>
    <cellStyle name="Normal 22 4 5 4" xfId="32571"/>
    <cellStyle name="Normal 22 4 6" xfId="32572"/>
    <cellStyle name="Normal 22 4 6 2" xfId="32573"/>
    <cellStyle name="Normal 22 4 6 2 2" xfId="32574"/>
    <cellStyle name="Normal 22 4 6 3" xfId="32575"/>
    <cellStyle name="Normal 22 4 7" xfId="32576"/>
    <cellStyle name="Normal 22 4 7 2" xfId="32577"/>
    <cellStyle name="Normal 22 4 8" xfId="32578"/>
    <cellStyle name="Normal 22 5" xfId="18050"/>
    <cellStyle name="Normal 22 5 2" xfId="18051"/>
    <cellStyle name="Normal 22 5 2 2" xfId="18052"/>
    <cellStyle name="Normal 22 5 2 2 2" xfId="18053"/>
    <cellStyle name="Normal 22 5 2 2 2 2" xfId="32579"/>
    <cellStyle name="Normal 22 5 2 2 2 2 2" xfId="32580"/>
    <cellStyle name="Normal 22 5 2 2 2 2 2 2" xfId="32581"/>
    <cellStyle name="Normal 22 5 2 2 2 2 3" xfId="32582"/>
    <cellStyle name="Normal 22 5 2 2 2 3" xfId="32583"/>
    <cellStyle name="Normal 22 5 2 2 2 3 2" xfId="32584"/>
    <cellStyle name="Normal 22 5 2 2 2 4" xfId="32585"/>
    <cellStyle name="Normal 22 5 2 2 3" xfId="32586"/>
    <cellStyle name="Normal 22 5 2 2 3 2" xfId="32587"/>
    <cellStyle name="Normal 22 5 2 2 3 2 2" xfId="32588"/>
    <cellStyle name="Normal 22 5 2 2 3 3" xfId="32589"/>
    <cellStyle name="Normal 22 5 2 2 4" xfId="32590"/>
    <cellStyle name="Normal 22 5 2 2 4 2" xfId="32591"/>
    <cellStyle name="Normal 22 5 2 2 5" xfId="32592"/>
    <cellStyle name="Normal 22 5 2 3" xfId="18054"/>
    <cellStyle name="Normal 22 5 2 3 2" xfId="32593"/>
    <cellStyle name="Normal 22 5 2 3 2 2" xfId="32594"/>
    <cellStyle name="Normal 22 5 2 3 2 2 2" xfId="32595"/>
    <cellStyle name="Normal 22 5 2 3 2 3" xfId="32596"/>
    <cellStyle name="Normal 22 5 2 3 3" xfId="32597"/>
    <cellStyle name="Normal 22 5 2 3 3 2" xfId="32598"/>
    <cellStyle name="Normal 22 5 2 3 4" xfId="32599"/>
    <cellStyle name="Normal 22 5 2 4" xfId="32600"/>
    <cellStyle name="Normal 22 5 2 4 2" xfId="32601"/>
    <cellStyle name="Normal 22 5 2 4 2 2" xfId="32602"/>
    <cellStyle name="Normal 22 5 2 4 3" xfId="32603"/>
    <cellStyle name="Normal 22 5 2 5" xfId="32604"/>
    <cellStyle name="Normal 22 5 2 5 2" xfId="32605"/>
    <cellStyle name="Normal 22 5 2 6" xfId="32606"/>
    <cellStyle name="Normal 22 5 3" xfId="18055"/>
    <cellStyle name="Normal 22 5 3 2" xfId="18056"/>
    <cellStyle name="Normal 22 5 3 2 2" xfId="32607"/>
    <cellStyle name="Normal 22 5 3 2 2 2" xfId="32608"/>
    <cellStyle name="Normal 22 5 3 2 2 2 2" xfId="32609"/>
    <cellStyle name="Normal 22 5 3 2 2 3" xfId="32610"/>
    <cellStyle name="Normal 22 5 3 2 3" xfId="32611"/>
    <cellStyle name="Normal 22 5 3 2 3 2" xfId="32612"/>
    <cellStyle name="Normal 22 5 3 2 4" xfId="32613"/>
    <cellStyle name="Normal 22 5 3 3" xfId="32614"/>
    <cellStyle name="Normal 22 5 3 3 2" xfId="32615"/>
    <cellStyle name="Normal 22 5 3 3 2 2" xfId="32616"/>
    <cellStyle name="Normal 22 5 3 3 3" xfId="32617"/>
    <cellStyle name="Normal 22 5 3 4" xfId="32618"/>
    <cellStyle name="Normal 22 5 3 4 2" xfId="32619"/>
    <cellStyle name="Normal 22 5 3 5" xfId="32620"/>
    <cellStyle name="Normal 22 5 4" xfId="18057"/>
    <cellStyle name="Normal 22 5 4 2" xfId="32621"/>
    <cellStyle name="Normal 22 5 4 2 2" xfId="32622"/>
    <cellStyle name="Normal 22 5 4 2 2 2" xfId="32623"/>
    <cellStyle name="Normal 22 5 4 2 3" xfId="32624"/>
    <cellStyle name="Normal 22 5 4 3" xfId="32625"/>
    <cellStyle name="Normal 22 5 4 3 2" xfId="32626"/>
    <cellStyle name="Normal 22 5 4 4" xfId="32627"/>
    <cellStyle name="Normal 22 5 5" xfId="32628"/>
    <cellStyle name="Normal 22 5 5 2" xfId="32629"/>
    <cellStyle name="Normal 22 5 5 2 2" xfId="32630"/>
    <cellStyle name="Normal 22 5 5 3" xfId="32631"/>
    <cellStyle name="Normal 22 5 6" xfId="32632"/>
    <cellStyle name="Normal 22 5 6 2" xfId="32633"/>
    <cellStyle name="Normal 22 5 7" xfId="32634"/>
    <cellStyle name="Normal 22 6" xfId="18058"/>
    <cellStyle name="Normal 22 6 2" xfId="18059"/>
    <cellStyle name="Normal 22 6 2 2" xfId="18060"/>
    <cellStyle name="Normal 22 6 2 2 2" xfId="32635"/>
    <cellStyle name="Normal 22 6 2 2 2 2" xfId="32636"/>
    <cellStyle name="Normal 22 6 2 2 2 2 2" xfId="32637"/>
    <cellStyle name="Normal 22 6 2 2 2 3" xfId="32638"/>
    <cellStyle name="Normal 22 6 2 2 3" xfId="32639"/>
    <cellStyle name="Normal 22 6 2 2 3 2" xfId="32640"/>
    <cellStyle name="Normal 22 6 2 2 4" xfId="32641"/>
    <cellStyle name="Normal 22 6 2 3" xfId="32642"/>
    <cellStyle name="Normal 22 6 2 3 2" xfId="32643"/>
    <cellStyle name="Normal 22 6 2 3 2 2" xfId="32644"/>
    <cellStyle name="Normal 22 6 2 3 3" xfId="32645"/>
    <cellStyle name="Normal 22 6 2 4" xfId="32646"/>
    <cellStyle name="Normal 22 6 2 4 2" xfId="32647"/>
    <cellStyle name="Normal 22 6 2 5" xfId="32648"/>
    <cellStyle name="Normal 22 6 3" xfId="18061"/>
    <cellStyle name="Normal 22 6 3 2" xfId="32649"/>
    <cellStyle name="Normal 22 6 3 2 2" xfId="32650"/>
    <cellStyle name="Normal 22 6 3 2 2 2" xfId="32651"/>
    <cellStyle name="Normal 22 6 3 2 3" xfId="32652"/>
    <cellStyle name="Normal 22 6 3 3" xfId="32653"/>
    <cellStyle name="Normal 22 6 3 3 2" xfId="32654"/>
    <cellStyle name="Normal 22 6 3 4" xfId="32655"/>
    <cellStyle name="Normal 22 6 4" xfId="32656"/>
    <cellStyle name="Normal 22 6 4 2" xfId="32657"/>
    <cellStyle name="Normal 22 6 4 2 2" xfId="32658"/>
    <cellStyle name="Normal 22 6 4 3" xfId="32659"/>
    <cellStyle name="Normal 22 6 5" xfId="32660"/>
    <cellStyle name="Normal 22 6 5 2" xfId="32661"/>
    <cellStyle name="Normal 22 6 6" xfId="32662"/>
    <cellStyle name="Normal 22 7" xfId="18062"/>
    <cellStyle name="Normal 22 7 2" xfId="18063"/>
    <cellStyle name="Normal 22 7 2 2" xfId="32663"/>
    <cellStyle name="Normal 22 7 2 2 2" xfId="32664"/>
    <cellStyle name="Normal 22 7 2 2 2 2" xfId="32665"/>
    <cellStyle name="Normal 22 7 2 2 3" xfId="32666"/>
    <cellStyle name="Normal 22 7 2 3" xfId="32667"/>
    <cellStyle name="Normal 22 7 2 3 2" xfId="32668"/>
    <cellStyle name="Normal 22 7 2 4" xfId="32669"/>
    <cellStyle name="Normal 22 7 3" xfId="32670"/>
    <cellStyle name="Normal 22 7 3 2" xfId="32671"/>
    <cellStyle name="Normal 22 7 3 2 2" xfId="32672"/>
    <cellStyle name="Normal 22 7 3 3" xfId="32673"/>
    <cellStyle name="Normal 22 7 4" xfId="32674"/>
    <cellStyle name="Normal 22 7 4 2" xfId="32675"/>
    <cellStyle name="Normal 22 7 5" xfId="32676"/>
    <cellStyle name="Normal 22 8" xfId="18064"/>
    <cellStyle name="Normal 22 8 2" xfId="32677"/>
    <cellStyle name="Normal 22 8 2 2" xfId="32678"/>
    <cellStyle name="Normal 22 8 2 2 2" xfId="32679"/>
    <cellStyle name="Normal 22 8 2 3" xfId="32680"/>
    <cellStyle name="Normal 22 8 3" xfId="32681"/>
    <cellStyle name="Normal 22 8 3 2" xfId="32682"/>
    <cellStyle name="Normal 22 8 4" xfId="32683"/>
    <cellStyle name="Normal 22 9" xfId="32684"/>
    <cellStyle name="Normal 22 9 2" xfId="32685"/>
    <cellStyle name="Normal 22 9 2 2" xfId="32686"/>
    <cellStyle name="Normal 22 9 3" xfId="32687"/>
    <cellStyle name="Normal 220" xfId="32688"/>
    <cellStyle name="Normal 221" xfId="32689"/>
    <cellStyle name="Normal 222" xfId="32690"/>
    <cellStyle name="Normal 223" xfId="32691"/>
    <cellStyle name="Normal 224" xfId="32692"/>
    <cellStyle name="Normal 225" xfId="32693"/>
    <cellStyle name="Normal 226" xfId="32694"/>
    <cellStyle name="Normal 227" xfId="32695"/>
    <cellStyle name="Normal 228" xfId="32696"/>
    <cellStyle name="Normal 229" xfId="32697"/>
    <cellStyle name="Normal 23" xfId="10056"/>
    <cellStyle name="Normal 23 10" xfId="32698"/>
    <cellStyle name="Normal 23 11" xfId="32699"/>
    <cellStyle name="Normal 23 2" xfId="10057"/>
    <cellStyle name="Normal 23 2 2" xfId="18065"/>
    <cellStyle name="Normal 23 2 2 2" xfId="18066"/>
    <cellStyle name="Normal 23 2 2 2 2" xfId="18067"/>
    <cellStyle name="Normal 23 2 2 2 2 2" xfId="18068"/>
    <cellStyle name="Normal 23 2 2 2 2 2 2" xfId="32700"/>
    <cellStyle name="Normal 23 2 2 2 2 2 2 2" xfId="32701"/>
    <cellStyle name="Normal 23 2 2 2 2 2 2 2 2" xfId="32702"/>
    <cellStyle name="Normal 23 2 2 2 2 2 2 3" xfId="32703"/>
    <cellStyle name="Normal 23 2 2 2 2 2 3" xfId="32704"/>
    <cellStyle name="Normal 23 2 2 2 2 2 3 2" xfId="32705"/>
    <cellStyle name="Normal 23 2 2 2 2 2 4" xfId="32706"/>
    <cellStyle name="Normal 23 2 2 2 2 3" xfId="32707"/>
    <cellStyle name="Normal 23 2 2 2 2 3 2" xfId="32708"/>
    <cellStyle name="Normal 23 2 2 2 2 3 2 2" xfId="32709"/>
    <cellStyle name="Normal 23 2 2 2 2 3 3" xfId="32710"/>
    <cellStyle name="Normal 23 2 2 2 2 4" xfId="32711"/>
    <cellStyle name="Normal 23 2 2 2 2 4 2" xfId="32712"/>
    <cellStyle name="Normal 23 2 2 2 2 5" xfId="32713"/>
    <cellStyle name="Normal 23 2 2 2 3" xfId="18069"/>
    <cellStyle name="Normal 23 2 2 2 3 2" xfId="32714"/>
    <cellStyle name="Normal 23 2 2 2 3 2 2" xfId="32715"/>
    <cellStyle name="Normal 23 2 2 2 3 2 2 2" xfId="32716"/>
    <cellStyle name="Normal 23 2 2 2 3 2 3" xfId="32717"/>
    <cellStyle name="Normal 23 2 2 2 3 3" xfId="32718"/>
    <cellStyle name="Normal 23 2 2 2 3 3 2" xfId="32719"/>
    <cellStyle name="Normal 23 2 2 2 3 4" xfId="32720"/>
    <cellStyle name="Normal 23 2 2 2 4" xfId="32721"/>
    <cellStyle name="Normal 23 2 2 2 4 2" xfId="32722"/>
    <cellStyle name="Normal 23 2 2 2 4 2 2" xfId="32723"/>
    <cellStyle name="Normal 23 2 2 2 4 3" xfId="32724"/>
    <cellStyle name="Normal 23 2 2 2 5" xfId="32725"/>
    <cellStyle name="Normal 23 2 2 2 5 2" xfId="32726"/>
    <cellStyle name="Normal 23 2 2 2 6" xfId="32727"/>
    <cellStyle name="Normal 23 2 2 3" xfId="18070"/>
    <cellStyle name="Normal 23 2 2 3 2" xfId="18071"/>
    <cellStyle name="Normal 23 2 2 3 2 2" xfId="32728"/>
    <cellStyle name="Normal 23 2 2 3 2 2 2" xfId="32729"/>
    <cellStyle name="Normal 23 2 2 3 2 2 2 2" xfId="32730"/>
    <cellStyle name="Normal 23 2 2 3 2 2 3" xfId="32731"/>
    <cellStyle name="Normal 23 2 2 3 2 3" xfId="32732"/>
    <cellStyle name="Normal 23 2 2 3 2 3 2" xfId="32733"/>
    <cellStyle name="Normal 23 2 2 3 2 4" xfId="32734"/>
    <cellStyle name="Normal 23 2 2 3 3" xfId="32735"/>
    <cellStyle name="Normal 23 2 2 3 3 2" xfId="32736"/>
    <cellStyle name="Normal 23 2 2 3 3 2 2" xfId="32737"/>
    <cellStyle name="Normal 23 2 2 3 3 3" xfId="32738"/>
    <cellStyle name="Normal 23 2 2 3 4" xfId="32739"/>
    <cellStyle name="Normal 23 2 2 3 4 2" xfId="32740"/>
    <cellStyle name="Normal 23 2 2 3 5" xfId="32741"/>
    <cellStyle name="Normal 23 2 2 4" xfId="18072"/>
    <cellStyle name="Normal 23 2 2 4 2" xfId="32742"/>
    <cellStyle name="Normal 23 2 2 4 2 2" xfId="32743"/>
    <cellStyle name="Normal 23 2 2 4 2 2 2" xfId="32744"/>
    <cellStyle name="Normal 23 2 2 4 2 3" xfId="32745"/>
    <cellStyle name="Normal 23 2 2 4 3" xfId="32746"/>
    <cellStyle name="Normal 23 2 2 4 3 2" xfId="32747"/>
    <cellStyle name="Normal 23 2 2 4 4" xfId="32748"/>
    <cellStyle name="Normal 23 2 2 5" xfId="32749"/>
    <cellStyle name="Normal 23 2 2 5 2" xfId="32750"/>
    <cellStyle name="Normal 23 2 2 5 2 2" xfId="32751"/>
    <cellStyle name="Normal 23 2 2 5 3" xfId="32752"/>
    <cellStyle name="Normal 23 2 2 6" xfId="32753"/>
    <cellStyle name="Normal 23 2 2 6 2" xfId="32754"/>
    <cellStyle name="Normal 23 2 2 7" xfId="32755"/>
    <cellStyle name="Normal 23 2 3" xfId="18073"/>
    <cellStyle name="Normal 23 2 3 2" xfId="18074"/>
    <cellStyle name="Normal 23 2 3 2 2" xfId="18075"/>
    <cellStyle name="Normal 23 2 3 2 2 2" xfId="32756"/>
    <cellStyle name="Normal 23 2 3 2 2 2 2" xfId="32757"/>
    <cellStyle name="Normal 23 2 3 2 2 2 2 2" xfId="32758"/>
    <cellStyle name="Normal 23 2 3 2 2 2 3" xfId="32759"/>
    <cellStyle name="Normal 23 2 3 2 2 3" xfId="32760"/>
    <cellStyle name="Normal 23 2 3 2 2 3 2" xfId="32761"/>
    <cellStyle name="Normal 23 2 3 2 2 4" xfId="32762"/>
    <cellStyle name="Normal 23 2 3 2 3" xfId="32763"/>
    <cellStyle name="Normal 23 2 3 2 3 2" xfId="32764"/>
    <cellStyle name="Normal 23 2 3 2 3 2 2" xfId="32765"/>
    <cellStyle name="Normal 23 2 3 2 3 3" xfId="32766"/>
    <cellStyle name="Normal 23 2 3 2 4" xfId="32767"/>
    <cellStyle name="Normal 23 2 3 2 4 2" xfId="32768"/>
    <cellStyle name="Normal 23 2 3 2 5" xfId="32769"/>
    <cellStyle name="Normal 23 2 3 3" xfId="18076"/>
    <cellStyle name="Normal 23 2 3 3 2" xfId="32770"/>
    <cellStyle name="Normal 23 2 3 3 2 2" xfId="32771"/>
    <cellStyle name="Normal 23 2 3 3 2 2 2" xfId="32772"/>
    <cellStyle name="Normal 23 2 3 3 2 3" xfId="32773"/>
    <cellStyle name="Normal 23 2 3 3 3" xfId="32774"/>
    <cellStyle name="Normal 23 2 3 3 3 2" xfId="32775"/>
    <cellStyle name="Normal 23 2 3 3 4" xfId="32776"/>
    <cellStyle name="Normal 23 2 3 4" xfId="32777"/>
    <cellStyle name="Normal 23 2 3 4 2" xfId="32778"/>
    <cellStyle name="Normal 23 2 3 4 2 2" xfId="32779"/>
    <cellStyle name="Normal 23 2 3 4 3" xfId="32780"/>
    <cellStyle name="Normal 23 2 3 5" xfId="32781"/>
    <cellStyle name="Normal 23 2 3 5 2" xfId="32782"/>
    <cellStyle name="Normal 23 2 3 6" xfId="32783"/>
    <cellStyle name="Normal 23 2 4" xfId="18077"/>
    <cellStyle name="Normal 23 2 4 2" xfId="18078"/>
    <cellStyle name="Normal 23 2 4 2 2" xfId="32784"/>
    <cellStyle name="Normal 23 2 4 2 2 2" xfId="32785"/>
    <cellStyle name="Normal 23 2 4 2 2 2 2" xfId="32786"/>
    <cellStyle name="Normal 23 2 4 2 2 3" xfId="32787"/>
    <cellStyle name="Normal 23 2 4 2 3" xfId="32788"/>
    <cellStyle name="Normal 23 2 4 2 3 2" xfId="32789"/>
    <cellStyle name="Normal 23 2 4 2 4" xfId="32790"/>
    <cellStyle name="Normal 23 2 4 3" xfId="32791"/>
    <cellStyle name="Normal 23 2 4 3 2" xfId="32792"/>
    <cellStyle name="Normal 23 2 4 3 2 2" xfId="32793"/>
    <cellStyle name="Normal 23 2 4 3 3" xfId="32794"/>
    <cellStyle name="Normal 23 2 4 4" xfId="32795"/>
    <cellStyle name="Normal 23 2 4 4 2" xfId="32796"/>
    <cellStyle name="Normal 23 2 4 5" xfId="32797"/>
    <cellStyle name="Normal 23 2 5" xfId="18079"/>
    <cellStyle name="Normal 23 2 5 2" xfId="32798"/>
    <cellStyle name="Normal 23 2 5 2 2" xfId="32799"/>
    <cellStyle name="Normal 23 2 5 2 2 2" xfId="32800"/>
    <cellStyle name="Normal 23 2 5 2 3" xfId="32801"/>
    <cellStyle name="Normal 23 2 5 3" xfId="32802"/>
    <cellStyle name="Normal 23 2 5 3 2" xfId="32803"/>
    <cellStyle name="Normal 23 2 5 4" xfId="32804"/>
    <cellStyle name="Normal 23 2 6" xfId="32805"/>
    <cellStyle name="Normal 23 2 6 2" xfId="32806"/>
    <cellStyle name="Normal 23 2 6 2 2" xfId="32807"/>
    <cellStyle name="Normal 23 2 6 3" xfId="32808"/>
    <cellStyle name="Normal 23 2 7" xfId="32809"/>
    <cellStyle name="Normal 23 2 7 2" xfId="32810"/>
    <cellStyle name="Normal 23 2 8" xfId="32811"/>
    <cellStyle name="Normal 23 2 9" xfId="32812"/>
    <cellStyle name="Normal 23 3" xfId="10058"/>
    <cellStyle name="Normal 23 3 2" xfId="18080"/>
    <cellStyle name="Normal 23 3 2 2" xfId="18081"/>
    <cellStyle name="Normal 23 3 2 2 2" xfId="18082"/>
    <cellStyle name="Normal 23 3 2 2 2 2" xfId="18083"/>
    <cellStyle name="Normal 23 3 2 2 2 2 2" xfId="32813"/>
    <cellStyle name="Normal 23 3 2 2 2 2 2 2" xfId="32814"/>
    <cellStyle name="Normal 23 3 2 2 2 2 2 2 2" xfId="32815"/>
    <cellStyle name="Normal 23 3 2 2 2 2 2 3" xfId="32816"/>
    <cellStyle name="Normal 23 3 2 2 2 2 3" xfId="32817"/>
    <cellStyle name="Normal 23 3 2 2 2 2 3 2" xfId="32818"/>
    <cellStyle name="Normal 23 3 2 2 2 2 4" xfId="32819"/>
    <cellStyle name="Normal 23 3 2 2 2 3" xfId="32820"/>
    <cellStyle name="Normal 23 3 2 2 2 3 2" xfId="32821"/>
    <cellStyle name="Normal 23 3 2 2 2 3 2 2" xfId="32822"/>
    <cellStyle name="Normal 23 3 2 2 2 3 3" xfId="32823"/>
    <cellStyle name="Normal 23 3 2 2 2 4" xfId="32824"/>
    <cellStyle name="Normal 23 3 2 2 2 4 2" xfId="32825"/>
    <cellStyle name="Normal 23 3 2 2 2 5" xfId="32826"/>
    <cellStyle name="Normal 23 3 2 2 3" xfId="18084"/>
    <cellStyle name="Normal 23 3 2 2 3 2" xfId="32827"/>
    <cellStyle name="Normal 23 3 2 2 3 2 2" xfId="32828"/>
    <cellStyle name="Normal 23 3 2 2 3 2 2 2" xfId="32829"/>
    <cellStyle name="Normal 23 3 2 2 3 2 3" xfId="32830"/>
    <cellStyle name="Normal 23 3 2 2 3 3" xfId="32831"/>
    <cellStyle name="Normal 23 3 2 2 3 3 2" xfId="32832"/>
    <cellStyle name="Normal 23 3 2 2 3 4" xfId="32833"/>
    <cellStyle name="Normal 23 3 2 2 4" xfId="32834"/>
    <cellStyle name="Normal 23 3 2 2 4 2" xfId="32835"/>
    <cellStyle name="Normal 23 3 2 2 4 2 2" xfId="32836"/>
    <cellStyle name="Normal 23 3 2 2 4 3" xfId="32837"/>
    <cellStyle name="Normal 23 3 2 2 5" xfId="32838"/>
    <cellStyle name="Normal 23 3 2 2 5 2" xfId="32839"/>
    <cellStyle name="Normal 23 3 2 2 6" xfId="32840"/>
    <cellStyle name="Normal 23 3 2 3" xfId="18085"/>
    <cellStyle name="Normal 23 3 2 3 2" xfId="18086"/>
    <cellStyle name="Normal 23 3 2 3 2 2" xfId="32841"/>
    <cellStyle name="Normal 23 3 2 3 2 2 2" xfId="32842"/>
    <cellStyle name="Normal 23 3 2 3 2 2 2 2" xfId="32843"/>
    <cellStyle name="Normal 23 3 2 3 2 2 3" xfId="32844"/>
    <cellStyle name="Normal 23 3 2 3 2 3" xfId="32845"/>
    <cellStyle name="Normal 23 3 2 3 2 3 2" xfId="32846"/>
    <cellStyle name="Normal 23 3 2 3 2 4" xfId="32847"/>
    <cellStyle name="Normal 23 3 2 3 3" xfId="32848"/>
    <cellStyle name="Normal 23 3 2 3 3 2" xfId="32849"/>
    <cellStyle name="Normal 23 3 2 3 3 2 2" xfId="32850"/>
    <cellStyle name="Normal 23 3 2 3 3 3" xfId="32851"/>
    <cellStyle name="Normal 23 3 2 3 4" xfId="32852"/>
    <cellStyle name="Normal 23 3 2 3 4 2" xfId="32853"/>
    <cellStyle name="Normal 23 3 2 3 5" xfId="32854"/>
    <cellStyle name="Normal 23 3 2 4" xfId="18087"/>
    <cellStyle name="Normal 23 3 2 4 2" xfId="32855"/>
    <cellStyle name="Normal 23 3 2 4 2 2" xfId="32856"/>
    <cellStyle name="Normal 23 3 2 4 2 2 2" xfId="32857"/>
    <cellStyle name="Normal 23 3 2 4 2 3" xfId="32858"/>
    <cellStyle name="Normal 23 3 2 4 3" xfId="32859"/>
    <cellStyle name="Normal 23 3 2 4 3 2" xfId="32860"/>
    <cellStyle name="Normal 23 3 2 4 4" xfId="32861"/>
    <cellStyle name="Normal 23 3 2 5" xfId="32862"/>
    <cellStyle name="Normal 23 3 2 5 2" xfId="32863"/>
    <cellStyle name="Normal 23 3 2 5 2 2" xfId="32864"/>
    <cellStyle name="Normal 23 3 2 5 3" xfId="32865"/>
    <cellStyle name="Normal 23 3 2 6" xfId="32866"/>
    <cellStyle name="Normal 23 3 2 6 2" xfId="32867"/>
    <cellStyle name="Normal 23 3 2 7" xfId="32868"/>
    <cellStyle name="Normal 23 3 3" xfId="18088"/>
    <cellStyle name="Normal 23 3 3 2" xfId="18089"/>
    <cellStyle name="Normal 23 3 3 2 2" xfId="18090"/>
    <cellStyle name="Normal 23 3 3 2 2 2" xfId="32869"/>
    <cellStyle name="Normal 23 3 3 2 2 2 2" xfId="32870"/>
    <cellStyle name="Normal 23 3 3 2 2 2 2 2" xfId="32871"/>
    <cellStyle name="Normal 23 3 3 2 2 2 3" xfId="32872"/>
    <cellStyle name="Normal 23 3 3 2 2 3" xfId="32873"/>
    <cellStyle name="Normal 23 3 3 2 2 3 2" xfId="32874"/>
    <cellStyle name="Normal 23 3 3 2 2 4" xfId="32875"/>
    <cellStyle name="Normal 23 3 3 2 3" xfId="32876"/>
    <cellStyle name="Normal 23 3 3 2 3 2" xfId="32877"/>
    <cellStyle name="Normal 23 3 3 2 3 2 2" xfId="32878"/>
    <cellStyle name="Normal 23 3 3 2 3 3" xfId="32879"/>
    <cellStyle name="Normal 23 3 3 2 4" xfId="32880"/>
    <cellStyle name="Normal 23 3 3 2 4 2" xfId="32881"/>
    <cellStyle name="Normal 23 3 3 2 5" xfId="32882"/>
    <cellStyle name="Normal 23 3 3 3" xfId="18091"/>
    <cellStyle name="Normal 23 3 3 3 2" xfId="32883"/>
    <cellStyle name="Normal 23 3 3 3 2 2" xfId="32884"/>
    <cellStyle name="Normal 23 3 3 3 2 2 2" xfId="32885"/>
    <cellStyle name="Normal 23 3 3 3 2 3" xfId="32886"/>
    <cellStyle name="Normal 23 3 3 3 3" xfId="32887"/>
    <cellStyle name="Normal 23 3 3 3 3 2" xfId="32888"/>
    <cellStyle name="Normal 23 3 3 3 4" xfId="32889"/>
    <cellStyle name="Normal 23 3 3 4" xfId="32890"/>
    <cellStyle name="Normal 23 3 3 4 2" xfId="32891"/>
    <cellStyle name="Normal 23 3 3 4 2 2" xfId="32892"/>
    <cellStyle name="Normal 23 3 3 4 3" xfId="32893"/>
    <cellStyle name="Normal 23 3 3 5" xfId="32894"/>
    <cellStyle name="Normal 23 3 3 5 2" xfId="32895"/>
    <cellStyle name="Normal 23 3 3 6" xfId="32896"/>
    <cellStyle name="Normal 23 3 4" xfId="18092"/>
    <cellStyle name="Normal 23 3 4 2" xfId="18093"/>
    <cellStyle name="Normal 23 3 4 2 2" xfId="32897"/>
    <cellStyle name="Normal 23 3 4 2 2 2" xfId="32898"/>
    <cellStyle name="Normal 23 3 4 2 2 2 2" xfId="32899"/>
    <cellStyle name="Normal 23 3 4 2 2 3" xfId="32900"/>
    <cellStyle name="Normal 23 3 4 2 3" xfId="32901"/>
    <cellStyle name="Normal 23 3 4 2 3 2" xfId="32902"/>
    <cellStyle name="Normal 23 3 4 2 4" xfId="32903"/>
    <cellStyle name="Normal 23 3 4 3" xfId="32904"/>
    <cellStyle name="Normal 23 3 4 3 2" xfId="32905"/>
    <cellStyle name="Normal 23 3 4 3 2 2" xfId="32906"/>
    <cellStyle name="Normal 23 3 4 3 3" xfId="32907"/>
    <cellStyle name="Normal 23 3 4 4" xfId="32908"/>
    <cellStyle name="Normal 23 3 4 4 2" xfId="32909"/>
    <cellStyle name="Normal 23 3 4 5" xfId="32910"/>
    <cellStyle name="Normal 23 3 5" xfId="18094"/>
    <cellStyle name="Normal 23 3 5 2" xfId="32911"/>
    <cellStyle name="Normal 23 3 5 2 2" xfId="32912"/>
    <cellStyle name="Normal 23 3 5 2 2 2" xfId="32913"/>
    <cellStyle name="Normal 23 3 5 2 3" xfId="32914"/>
    <cellStyle name="Normal 23 3 5 3" xfId="32915"/>
    <cellStyle name="Normal 23 3 5 3 2" xfId="32916"/>
    <cellStyle name="Normal 23 3 5 4" xfId="32917"/>
    <cellStyle name="Normal 23 3 6" xfId="32918"/>
    <cellStyle name="Normal 23 3 6 2" xfId="32919"/>
    <cellStyle name="Normal 23 3 6 2 2" xfId="32920"/>
    <cellStyle name="Normal 23 3 6 3" xfId="32921"/>
    <cellStyle name="Normal 23 3 7" xfId="32922"/>
    <cellStyle name="Normal 23 3 7 2" xfId="32923"/>
    <cellStyle name="Normal 23 3 8" xfId="32924"/>
    <cellStyle name="Normal 23 4" xfId="10059"/>
    <cellStyle name="Normal 23 4 2" xfId="18095"/>
    <cellStyle name="Normal 23 4 2 2" xfId="18096"/>
    <cellStyle name="Normal 23 4 2 2 2" xfId="18097"/>
    <cellStyle name="Normal 23 4 2 2 2 2" xfId="32925"/>
    <cellStyle name="Normal 23 4 2 2 2 2 2" xfId="32926"/>
    <cellStyle name="Normal 23 4 2 2 2 2 2 2" xfId="32927"/>
    <cellStyle name="Normal 23 4 2 2 2 2 3" xfId="32928"/>
    <cellStyle name="Normal 23 4 2 2 2 3" xfId="32929"/>
    <cellStyle name="Normal 23 4 2 2 2 3 2" xfId="32930"/>
    <cellStyle name="Normal 23 4 2 2 2 4" xfId="32931"/>
    <cellStyle name="Normal 23 4 2 2 3" xfId="32932"/>
    <cellStyle name="Normal 23 4 2 2 3 2" xfId="32933"/>
    <cellStyle name="Normal 23 4 2 2 3 2 2" xfId="32934"/>
    <cellStyle name="Normal 23 4 2 2 3 3" xfId="32935"/>
    <cellStyle name="Normal 23 4 2 2 4" xfId="32936"/>
    <cellStyle name="Normal 23 4 2 2 4 2" xfId="32937"/>
    <cellStyle name="Normal 23 4 2 2 5" xfId="32938"/>
    <cellStyle name="Normal 23 4 2 3" xfId="18098"/>
    <cellStyle name="Normal 23 4 2 3 2" xfId="32939"/>
    <cellStyle name="Normal 23 4 2 3 2 2" xfId="32940"/>
    <cellStyle name="Normal 23 4 2 3 2 2 2" xfId="32941"/>
    <cellStyle name="Normal 23 4 2 3 2 3" xfId="32942"/>
    <cellStyle name="Normal 23 4 2 3 3" xfId="32943"/>
    <cellStyle name="Normal 23 4 2 3 3 2" xfId="32944"/>
    <cellStyle name="Normal 23 4 2 3 4" xfId="32945"/>
    <cellStyle name="Normal 23 4 2 4" xfId="32946"/>
    <cellStyle name="Normal 23 4 2 4 2" xfId="32947"/>
    <cellStyle name="Normal 23 4 2 4 2 2" xfId="32948"/>
    <cellStyle name="Normal 23 4 2 4 3" xfId="32949"/>
    <cellStyle name="Normal 23 4 2 5" xfId="32950"/>
    <cellStyle name="Normal 23 4 2 5 2" xfId="32951"/>
    <cellStyle name="Normal 23 4 2 6" xfId="32952"/>
    <cellStyle name="Normal 23 4 3" xfId="18099"/>
    <cellStyle name="Normal 23 4 3 2" xfId="18100"/>
    <cellStyle name="Normal 23 4 3 2 2" xfId="32953"/>
    <cellStyle name="Normal 23 4 3 2 2 2" xfId="32954"/>
    <cellStyle name="Normal 23 4 3 2 2 2 2" xfId="32955"/>
    <cellStyle name="Normal 23 4 3 2 2 3" xfId="32956"/>
    <cellStyle name="Normal 23 4 3 2 3" xfId="32957"/>
    <cellStyle name="Normal 23 4 3 2 3 2" xfId="32958"/>
    <cellStyle name="Normal 23 4 3 2 4" xfId="32959"/>
    <cellStyle name="Normal 23 4 3 3" xfId="32960"/>
    <cellStyle name="Normal 23 4 3 3 2" xfId="32961"/>
    <cellStyle name="Normal 23 4 3 3 2 2" xfId="32962"/>
    <cellStyle name="Normal 23 4 3 3 3" xfId="32963"/>
    <cellStyle name="Normal 23 4 3 4" xfId="32964"/>
    <cellStyle name="Normal 23 4 3 4 2" xfId="32965"/>
    <cellStyle name="Normal 23 4 3 5" xfId="32966"/>
    <cellStyle name="Normal 23 4 4" xfId="18101"/>
    <cellStyle name="Normal 23 4 4 2" xfId="32967"/>
    <cellStyle name="Normal 23 4 4 2 2" xfId="32968"/>
    <cellStyle name="Normal 23 4 4 2 2 2" xfId="32969"/>
    <cellStyle name="Normal 23 4 4 2 3" xfId="32970"/>
    <cellStyle name="Normal 23 4 4 3" xfId="32971"/>
    <cellStyle name="Normal 23 4 4 3 2" xfId="32972"/>
    <cellStyle name="Normal 23 4 4 4" xfId="32973"/>
    <cellStyle name="Normal 23 4 5" xfId="32974"/>
    <cellStyle name="Normal 23 4 5 2" xfId="32975"/>
    <cellStyle name="Normal 23 4 5 2 2" xfId="32976"/>
    <cellStyle name="Normal 23 4 5 3" xfId="32977"/>
    <cellStyle name="Normal 23 4 6" xfId="32978"/>
    <cellStyle name="Normal 23 4 6 2" xfId="32979"/>
    <cellStyle name="Normal 23 4 7" xfId="32980"/>
    <cellStyle name="Normal 23 5" xfId="18102"/>
    <cellStyle name="Normal 23 5 2" xfId="18103"/>
    <cellStyle name="Normal 23 5 2 2" xfId="18104"/>
    <cellStyle name="Normal 23 5 2 2 2" xfId="32981"/>
    <cellStyle name="Normal 23 5 2 2 2 2" xfId="32982"/>
    <cellStyle name="Normal 23 5 2 2 2 2 2" xfId="32983"/>
    <cellStyle name="Normal 23 5 2 2 2 3" xfId="32984"/>
    <cellStyle name="Normal 23 5 2 2 3" xfId="32985"/>
    <cellStyle name="Normal 23 5 2 2 3 2" xfId="32986"/>
    <cellStyle name="Normal 23 5 2 2 4" xfId="32987"/>
    <cellStyle name="Normal 23 5 2 3" xfId="32988"/>
    <cellStyle name="Normal 23 5 2 3 2" xfId="32989"/>
    <cellStyle name="Normal 23 5 2 3 2 2" xfId="32990"/>
    <cellStyle name="Normal 23 5 2 3 3" xfId="32991"/>
    <cellStyle name="Normal 23 5 2 4" xfId="32992"/>
    <cellStyle name="Normal 23 5 2 4 2" xfId="32993"/>
    <cellStyle name="Normal 23 5 2 5" xfId="32994"/>
    <cellStyle name="Normal 23 5 3" xfId="18105"/>
    <cellStyle name="Normal 23 5 3 2" xfId="32995"/>
    <cellStyle name="Normal 23 5 3 2 2" xfId="32996"/>
    <cellStyle name="Normal 23 5 3 2 2 2" xfId="32997"/>
    <cellStyle name="Normal 23 5 3 2 3" xfId="32998"/>
    <cellStyle name="Normal 23 5 3 3" xfId="32999"/>
    <cellStyle name="Normal 23 5 3 3 2" xfId="33000"/>
    <cellStyle name="Normal 23 5 3 4" xfId="33001"/>
    <cellStyle name="Normal 23 5 4" xfId="33002"/>
    <cellStyle name="Normal 23 5 4 2" xfId="33003"/>
    <cellStyle name="Normal 23 5 4 2 2" xfId="33004"/>
    <cellStyle name="Normal 23 5 4 3" xfId="33005"/>
    <cellStyle name="Normal 23 5 5" xfId="33006"/>
    <cellStyle name="Normal 23 5 5 2" xfId="33007"/>
    <cellStyle name="Normal 23 5 6" xfId="33008"/>
    <cellStyle name="Normal 23 6" xfId="18106"/>
    <cellStyle name="Normal 23 6 2" xfId="18107"/>
    <cellStyle name="Normal 23 6 2 2" xfId="33009"/>
    <cellStyle name="Normal 23 6 2 2 2" xfId="33010"/>
    <cellStyle name="Normal 23 6 2 2 2 2" xfId="33011"/>
    <cellStyle name="Normal 23 6 2 2 3" xfId="33012"/>
    <cellStyle name="Normal 23 6 2 3" xfId="33013"/>
    <cellStyle name="Normal 23 6 2 3 2" xfId="33014"/>
    <cellStyle name="Normal 23 6 2 4" xfId="33015"/>
    <cellStyle name="Normal 23 6 3" xfId="33016"/>
    <cellStyle name="Normal 23 6 3 2" xfId="33017"/>
    <cellStyle name="Normal 23 6 3 2 2" xfId="33018"/>
    <cellStyle name="Normal 23 6 3 3" xfId="33019"/>
    <cellStyle name="Normal 23 6 4" xfId="33020"/>
    <cellStyle name="Normal 23 6 4 2" xfId="33021"/>
    <cellStyle name="Normal 23 6 5" xfId="33022"/>
    <cellStyle name="Normal 23 7" xfId="18108"/>
    <cellStyle name="Normal 23 7 2" xfId="33023"/>
    <cellStyle name="Normal 23 7 2 2" xfId="33024"/>
    <cellStyle name="Normal 23 7 2 2 2" xfId="33025"/>
    <cellStyle name="Normal 23 7 2 3" xfId="33026"/>
    <cellStyle name="Normal 23 7 3" xfId="33027"/>
    <cellStyle name="Normal 23 7 3 2" xfId="33028"/>
    <cellStyle name="Normal 23 7 4" xfId="33029"/>
    <cellStyle name="Normal 23 8" xfId="33030"/>
    <cellStyle name="Normal 23 8 2" xfId="33031"/>
    <cellStyle name="Normal 23 8 2 2" xfId="33032"/>
    <cellStyle name="Normal 23 8 3" xfId="33033"/>
    <cellStyle name="Normal 23 9" xfId="33034"/>
    <cellStyle name="Normal 23 9 2" xfId="33035"/>
    <cellStyle name="Normal 230" xfId="33036"/>
    <cellStyle name="Normal 231" xfId="33037"/>
    <cellStyle name="Normal 232" xfId="33038"/>
    <cellStyle name="Normal 233" xfId="33039"/>
    <cellStyle name="Normal 234" xfId="33040"/>
    <cellStyle name="Normal 235" xfId="33041"/>
    <cellStyle name="Normal 236" xfId="33042"/>
    <cellStyle name="Normal 236 2" xfId="33043"/>
    <cellStyle name="Normal 237" xfId="33044"/>
    <cellStyle name="Normal 238" xfId="33045"/>
    <cellStyle name="Normal 239" xfId="33046"/>
    <cellStyle name="Normal 24" xfId="10060"/>
    <cellStyle name="Normal 24 2" xfId="10061"/>
    <cellStyle name="Normal 24 2 2" xfId="33047"/>
    <cellStyle name="Normal 24 2 3" xfId="33048"/>
    <cellStyle name="Normal 24 3" xfId="10062"/>
    <cellStyle name="Normal 24 4" xfId="19266"/>
    <cellStyle name="Normal 24 5" xfId="33049"/>
    <cellStyle name="Normal 24 6" xfId="33050"/>
    <cellStyle name="Normal 25" xfId="10063"/>
    <cellStyle name="Normal 25 10" xfId="33051"/>
    <cellStyle name="Normal 25 11" xfId="33052"/>
    <cellStyle name="Normal 25 2" xfId="10064"/>
    <cellStyle name="Normal 25 2 2" xfId="18109"/>
    <cellStyle name="Normal 25 2 2 2" xfId="18110"/>
    <cellStyle name="Normal 25 2 2 2 2" xfId="18111"/>
    <cellStyle name="Normal 25 2 2 2 2 2" xfId="18112"/>
    <cellStyle name="Normal 25 2 2 2 2 2 2" xfId="33053"/>
    <cellStyle name="Normal 25 2 2 2 2 2 2 2" xfId="33054"/>
    <cellStyle name="Normal 25 2 2 2 2 2 2 2 2" xfId="33055"/>
    <cellStyle name="Normal 25 2 2 2 2 2 2 3" xfId="33056"/>
    <cellStyle name="Normal 25 2 2 2 2 2 3" xfId="33057"/>
    <cellStyle name="Normal 25 2 2 2 2 2 3 2" xfId="33058"/>
    <cellStyle name="Normal 25 2 2 2 2 2 4" xfId="33059"/>
    <cellStyle name="Normal 25 2 2 2 2 3" xfId="33060"/>
    <cellStyle name="Normal 25 2 2 2 2 3 2" xfId="33061"/>
    <cellStyle name="Normal 25 2 2 2 2 3 2 2" xfId="33062"/>
    <cellStyle name="Normal 25 2 2 2 2 3 3" xfId="33063"/>
    <cellStyle name="Normal 25 2 2 2 2 4" xfId="33064"/>
    <cellStyle name="Normal 25 2 2 2 2 4 2" xfId="33065"/>
    <cellStyle name="Normal 25 2 2 2 2 5" xfId="33066"/>
    <cellStyle name="Normal 25 2 2 2 3" xfId="18113"/>
    <cellStyle name="Normal 25 2 2 2 3 2" xfId="33067"/>
    <cellStyle name="Normal 25 2 2 2 3 2 2" xfId="33068"/>
    <cellStyle name="Normal 25 2 2 2 3 2 2 2" xfId="33069"/>
    <cellStyle name="Normal 25 2 2 2 3 2 3" xfId="33070"/>
    <cellStyle name="Normal 25 2 2 2 3 3" xfId="33071"/>
    <cellStyle name="Normal 25 2 2 2 3 3 2" xfId="33072"/>
    <cellStyle name="Normal 25 2 2 2 3 4" xfId="33073"/>
    <cellStyle name="Normal 25 2 2 2 4" xfId="33074"/>
    <cellStyle name="Normal 25 2 2 2 4 2" xfId="33075"/>
    <cellStyle name="Normal 25 2 2 2 4 2 2" xfId="33076"/>
    <cellStyle name="Normal 25 2 2 2 4 3" xfId="33077"/>
    <cellStyle name="Normal 25 2 2 2 5" xfId="33078"/>
    <cellStyle name="Normal 25 2 2 2 5 2" xfId="33079"/>
    <cellStyle name="Normal 25 2 2 2 6" xfId="33080"/>
    <cellStyle name="Normal 25 2 2 3" xfId="18114"/>
    <cellStyle name="Normal 25 2 2 3 2" xfId="18115"/>
    <cellStyle name="Normal 25 2 2 3 2 2" xfId="33081"/>
    <cellStyle name="Normal 25 2 2 3 2 2 2" xfId="33082"/>
    <cellStyle name="Normal 25 2 2 3 2 2 2 2" xfId="33083"/>
    <cellStyle name="Normal 25 2 2 3 2 2 3" xfId="33084"/>
    <cellStyle name="Normal 25 2 2 3 2 3" xfId="33085"/>
    <cellStyle name="Normal 25 2 2 3 2 3 2" xfId="33086"/>
    <cellStyle name="Normal 25 2 2 3 2 4" xfId="33087"/>
    <cellStyle name="Normal 25 2 2 3 3" xfId="33088"/>
    <cellStyle name="Normal 25 2 2 3 3 2" xfId="33089"/>
    <cellStyle name="Normal 25 2 2 3 3 2 2" xfId="33090"/>
    <cellStyle name="Normal 25 2 2 3 3 3" xfId="33091"/>
    <cellStyle name="Normal 25 2 2 3 4" xfId="33092"/>
    <cellStyle name="Normal 25 2 2 3 4 2" xfId="33093"/>
    <cellStyle name="Normal 25 2 2 3 5" xfId="33094"/>
    <cellStyle name="Normal 25 2 2 4" xfId="18116"/>
    <cellStyle name="Normal 25 2 2 4 2" xfId="33095"/>
    <cellStyle name="Normal 25 2 2 4 2 2" xfId="33096"/>
    <cellStyle name="Normal 25 2 2 4 2 2 2" xfId="33097"/>
    <cellStyle name="Normal 25 2 2 4 2 3" xfId="33098"/>
    <cellStyle name="Normal 25 2 2 4 3" xfId="33099"/>
    <cellStyle name="Normal 25 2 2 4 3 2" xfId="33100"/>
    <cellStyle name="Normal 25 2 2 4 4" xfId="33101"/>
    <cellStyle name="Normal 25 2 2 5" xfId="33102"/>
    <cellStyle name="Normal 25 2 2 5 2" xfId="33103"/>
    <cellStyle name="Normal 25 2 2 5 2 2" xfId="33104"/>
    <cellStyle name="Normal 25 2 2 5 3" xfId="33105"/>
    <cellStyle name="Normal 25 2 2 6" xfId="33106"/>
    <cellStyle name="Normal 25 2 2 6 2" xfId="33107"/>
    <cellStyle name="Normal 25 2 2 7" xfId="33108"/>
    <cellStyle name="Normal 25 2 3" xfId="18117"/>
    <cellStyle name="Normal 25 2 3 2" xfId="18118"/>
    <cellStyle name="Normal 25 2 3 2 2" xfId="18119"/>
    <cellStyle name="Normal 25 2 3 2 2 2" xfId="33109"/>
    <cellStyle name="Normal 25 2 3 2 2 2 2" xfId="33110"/>
    <cellStyle name="Normal 25 2 3 2 2 2 2 2" xfId="33111"/>
    <cellStyle name="Normal 25 2 3 2 2 2 3" xfId="33112"/>
    <cellStyle name="Normal 25 2 3 2 2 3" xfId="33113"/>
    <cellStyle name="Normal 25 2 3 2 2 3 2" xfId="33114"/>
    <cellStyle name="Normal 25 2 3 2 2 4" xfId="33115"/>
    <cellStyle name="Normal 25 2 3 2 3" xfId="33116"/>
    <cellStyle name="Normal 25 2 3 2 3 2" xfId="33117"/>
    <cellStyle name="Normal 25 2 3 2 3 2 2" xfId="33118"/>
    <cellStyle name="Normal 25 2 3 2 3 3" xfId="33119"/>
    <cellStyle name="Normal 25 2 3 2 4" xfId="33120"/>
    <cellStyle name="Normal 25 2 3 2 4 2" xfId="33121"/>
    <cellStyle name="Normal 25 2 3 2 5" xfId="33122"/>
    <cellStyle name="Normal 25 2 3 3" xfId="18120"/>
    <cellStyle name="Normal 25 2 3 3 2" xfId="33123"/>
    <cellStyle name="Normal 25 2 3 3 2 2" xfId="33124"/>
    <cellStyle name="Normal 25 2 3 3 2 2 2" xfId="33125"/>
    <cellStyle name="Normal 25 2 3 3 2 3" xfId="33126"/>
    <cellStyle name="Normal 25 2 3 3 3" xfId="33127"/>
    <cellStyle name="Normal 25 2 3 3 3 2" xfId="33128"/>
    <cellStyle name="Normal 25 2 3 3 4" xfId="33129"/>
    <cellStyle name="Normal 25 2 3 4" xfId="33130"/>
    <cellStyle name="Normal 25 2 3 4 2" xfId="33131"/>
    <cellStyle name="Normal 25 2 3 4 2 2" xfId="33132"/>
    <cellStyle name="Normal 25 2 3 4 3" xfId="33133"/>
    <cellStyle name="Normal 25 2 3 5" xfId="33134"/>
    <cellStyle name="Normal 25 2 3 5 2" xfId="33135"/>
    <cellStyle name="Normal 25 2 3 6" xfId="33136"/>
    <cellStyle name="Normal 25 2 4" xfId="18121"/>
    <cellStyle name="Normal 25 2 4 2" xfId="18122"/>
    <cellStyle name="Normal 25 2 4 2 2" xfId="33137"/>
    <cellStyle name="Normal 25 2 4 2 2 2" xfId="33138"/>
    <cellStyle name="Normal 25 2 4 2 2 2 2" xfId="33139"/>
    <cellStyle name="Normal 25 2 4 2 2 3" xfId="33140"/>
    <cellStyle name="Normal 25 2 4 2 3" xfId="33141"/>
    <cellStyle name="Normal 25 2 4 2 3 2" xfId="33142"/>
    <cellStyle name="Normal 25 2 4 2 4" xfId="33143"/>
    <cellStyle name="Normal 25 2 4 3" xfId="33144"/>
    <cellStyle name="Normal 25 2 4 3 2" xfId="33145"/>
    <cellStyle name="Normal 25 2 4 3 2 2" xfId="33146"/>
    <cellStyle name="Normal 25 2 4 3 3" xfId="33147"/>
    <cellStyle name="Normal 25 2 4 4" xfId="33148"/>
    <cellStyle name="Normal 25 2 4 4 2" xfId="33149"/>
    <cellStyle name="Normal 25 2 4 5" xfId="33150"/>
    <cellStyle name="Normal 25 2 5" xfId="18123"/>
    <cellStyle name="Normal 25 2 5 2" xfId="33151"/>
    <cellStyle name="Normal 25 2 5 2 2" xfId="33152"/>
    <cellStyle name="Normal 25 2 5 2 2 2" xfId="33153"/>
    <cellStyle name="Normal 25 2 5 2 3" xfId="33154"/>
    <cellStyle name="Normal 25 2 5 3" xfId="33155"/>
    <cellStyle name="Normal 25 2 5 3 2" xfId="33156"/>
    <cellStyle name="Normal 25 2 5 4" xfId="33157"/>
    <cellStyle name="Normal 25 2 6" xfId="33158"/>
    <cellStyle name="Normal 25 2 6 2" xfId="33159"/>
    <cellStyle name="Normal 25 2 6 2 2" xfId="33160"/>
    <cellStyle name="Normal 25 2 6 3" xfId="33161"/>
    <cellStyle name="Normal 25 2 7" xfId="33162"/>
    <cellStyle name="Normal 25 2 7 2" xfId="33163"/>
    <cellStyle name="Normal 25 2 8" xfId="33164"/>
    <cellStyle name="Normal 25 2 9" xfId="33165"/>
    <cellStyle name="Normal 25 3" xfId="18124"/>
    <cellStyle name="Normal 25 3 2" xfId="18125"/>
    <cellStyle name="Normal 25 3 2 2" xfId="18126"/>
    <cellStyle name="Normal 25 3 2 2 2" xfId="18127"/>
    <cellStyle name="Normal 25 3 2 2 2 2" xfId="18128"/>
    <cellStyle name="Normal 25 3 2 2 2 2 2" xfId="33166"/>
    <cellStyle name="Normal 25 3 2 2 2 2 2 2" xfId="33167"/>
    <cellStyle name="Normal 25 3 2 2 2 2 2 2 2" xfId="33168"/>
    <cellStyle name="Normal 25 3 2 2 2 2 2 3" xfId="33169"/>
    <cellStyle name="Normal 25 3 2 2 2 2 3" xfId="33170"/>
    <cellStyle name="Normal 25 3 2 2 2 2 3 2" xfId="33171"/>
    <cellStyle name="Normal 25 3 2 2 2 2 4" xfId="33172"/>
    <cellStyle name="Normal 25 3 2 2 2 3" xfId="33173"/>
    <cellStyle name="Normal 25 3 2 2 2 3 2" xfId="33174"/>
    <cellStyle name="Normal 25 3 2 2 2 3 2 2" xfId="33175"/>
    <cellStyle name="Normal 25 3 2 2 2 3 3" xfId="33176"/>
    <cellStyle name="Normal 25 3 2 2 2 4" xfId="33177"/>
    <cellStyle name="Normal 25 3 2 2 2 4 2" xfId="33178"/>
    <cellStyle name="Normal 25 3 2 2 2 5" xfId="33179"/>
    <cellStyle name="Normal 25 3 2 2 3" xfId="18129"/>
    <cellStyle name="Normal 25 3 2 2 3 2" xfId="33180"/>
    <cellStyle name="Normal 25 3 2 2 3 2 2" xfId="33181"/>
    <cellStyle name="Normal 25 3 2 2 3 2 2 2" xfId="33182"/>
    <cellStyle name="Normal 25 3 2 2 3 2 3" xfId="33183"/>
    <cellStyle name="Normal 25 3 2 2 3 3" xfId="33184"/>
    <cellStyle name="Normal 25 3 2 2 3 3 2" xfId="33185"/>
    <cellStyle name="Normal 25 3 2 2 3 4" xfId="33186"/>
    <cellStyle name="Normal 25 3 2 2 4" xfId="33187"/>
    <cellStyle name="Normal 25 3 2 2 4 2" xfId="33188"/>
    <cellStyle name="Normal 25 3 2 2 4 2 2" xfId="33189"/>
    <cellStyle name="Normal 25 3 2 2 4 3" xfId="33190"/>
    <cellStyle name="Normal 25 3 2 2 5" xfId="33191"/>
    <cellStyle name="Normal 25 3 2 2 5 2" xfId="33192"/>
    <cellStyle name="Normal 25 3 2 2 6" xfId="33193"/>
    <cellStyle name="Normal 25 3 2 3" xfId="18130"/>
    <cellStyle name="Normal 25 3 2 3 2" xfId="18131"/>
    <cellStyle name="Normal 25 3 2 3 2 2" xfId="33194"/>
    <cellStyle name="Normal 25 3 2 3 2 2 2" xfId="33195"/>
    <cellStyle name="Normal 25 3 2 3 2 2 2 2" xfId="33196"/>
    <cellStyle name="Normal 25 3 2 3 2 2 3" xfId="33197"/>
    <cellStyle name="Normal 25 3 2 3 2 3" xfId="33198"/>
    <cellStyle name="Normal 25 3 2 3 2 3 2" xfId="33199"/>
    <cellStyle name="Normal 25 3 2 3 2 4" xfId="33200"/>
    <cellStyle name="Normal 25 3 2 3 3" xfId="33201"/>
    <cellStyle name="Normal 25 3 2 3 3 2" xfId="33202"/>
    <cellStyle name="Normal 25 3 2 3 3 2 2" xfId="33203"/>
    <cellStyle name="Normal 25 3 2 3 3 3" xfId="33204"/>
    <cellStyle name="Normal 25 3 2 3 4" xfId="33205"/>
    <cellStyle name="Normal 25 3 2 3 4 2" xfId="33206"/>
    <cellStyle name="Normal 25 3 2 3 5" xfId="33207"/>
    <cellStyle name="Normal 25 3 2 4" xfId="18132"/>
    <cellStyle name="Normal 25 3 2 4 2" xfId="33208"/>
    <cellStyle name="Normal 25 3 2 4 2 2" xfId="33209"/>
    <cellStyle name="Normal 25 3 2 4 2 2 2" xfId="33210"/>
    <cellStyle name="Normal 25 3 2 4 2 3" xfId="33211"/>
    <cellStyle name="Normal 25 3 2 4 3" xfId="33212"/>
    <cellStyle name="Normal 25 3 2 4 3 2" xfId="33213"/>
    <cellStyle name="Normal 25 3 2 4 4" xfId="33214"/>
    <cellStyle name="Normal 25 3 2 5" xfId="33215"/>
    <cellStyle name="Normal 25 3 2 5 2" xfId="33216"/>
    <cellStyle name="Normal 25 3 2 5 2 2" xfId="33217"/>
    <cellStyle name="Normal 25 3 2 5 3" xfId="33218"/>
    <cellStyle name="Normal 25 3 2 6" xfId="33219"/>
    <cellStyle name="Normal 25 3 2 6 2" xfId="33220"/>
    <cellStyle name="Normal 25 3 2 7" xfId="33221"/>
    <cellStyle name="Normal 25 3 3" xfId="18133"/>
    <cellStyle name="Normal 25 3 3 2" xfId="18134"/>
    <cellStyle name="Normal 25 3 3 2 2" xfId="18135"/>
    <cellStyle name="Normal 25 3 3 2 2 2" xfId="33222"/>
    <cellStyle name="Normal 25 3 3 2 2 2 2" xfId="33223"/>
    <cellStyle name="Normal 25 3 3 2 2 2 2 2" xfId="33224"/>
    <cellStyle name="Normal 25 3 3 2 2 2 3" xfId="33225"/>
    <cellStyle name="Normal 25 3 3 2 2 3" xfId="33226"/>
    <cellStyle name="Normal 25 3 3 2 2 3 2" xfId="33227"/>
    <cellStyle name="Normal 25 3 3 2 2 4" xfId="33228"/>
    <cellStyle name="Normal 25 3 3 2 3" xfId="33229"/>
    <cellStyle name="Normal 25 3 3 2 3 2" xfId="33230"/>
    <cellStyle name="Normal 25 3 3 2 3 2 2" xfId="33231"/>
    <cellStyle name="Normal 25 3 3 2 3 3" xfId="33232"/>
    <cellStyle name="Normal 25 3 3 2 4" xfId="33233"/>
    <cellStyle name="Normal 25 3 3 2 4 2" xfId="33234"/>
    <cellStyle name="Normal 25 3 3 2 5" xfId="33235"/>
    <cellStyle name="Normal 25 3 3 3" xfId="18136"/>
    <cellStyle name="Normal 25 3 3 3 2" xfId="33236"/>
    <cellStyle name="Normal 25 3 3 3 2 2" xfId="33237"/>
    <cellStyle name="Normal 25 3 3 3 2 2 2" xfId="33238"/>
    <cellStyle name="Normal 25 3 3 3 2 3" xfId="33239"/>
    <cellStyle name="Normal 25 3 3 3 3" xfId="33240"/>
    <cellStyle name="Normal 25 3 3 3 3 2" xfId="33241"/>
    <cellStyle name="Normal 25 3 3 3 4" xfId="33242"/>
    <cellStyle name="Normal 25 3 3 4" xfId="33243"/>
    <cellStyle name="Normal 25 3 3 4 2" xfId="33244"/>
    <cellStyle name="Normal 25 3 3 4 2 2" xfId="33245"/>
    <cellStyle name="Normal 25 3 3 4 3" xfId="33246"/>
    <cellStyle name="Normal 25 3 3 5" xfId="33247"/>
    <cellStyle name="Normal 25 3 3 5 2" xfId="33248"/>
    <cellStyle name="Normal 25 3 3 6" xfId="33249"/>
    <cellStyle name="Normal 25 3 4" xfId="18137"/>
    <cellStyle name="Normal 25 3 4 2" xfId="18138"/>
    <cellStyle name="Normal 25 3 4 2 2" xfId="33250"/>
    <cellStyle name="Normal 25 3 4 2 2 2" xfId="33251"/>
    <cellStyle name="Normal 25 3 4 2 2 2 2" xfId="33252"/>
    <cellStyle name="Normal 25 3 4 2 2 3" xfId="33253"/>
    <cellStyle name="Normal 25 3 4 2 3" xfId="33254"/>
    <cellStyle name="Normal 25 3 4 2 3 2" xfId="33255"/>
    <cellStyle name="Normal 25 3 4 2 4" xfId="33256"/>
    <cellStyle name="Normal 25 3 4 3" xfId="33257"/>
    <cellStyle name="Normal 25 3 4 3 2" xfId="33258"/>
    <cellStyle name="Normal 25 3 4 3 2 2" xfId="33259"/>
    <cellStyle name="Normal 25 3 4 3 3" xfId="33260"/>
    <cellStyle name="Normal 25 3 4 4" xfId="33261"/>
    <cellStyle name="Normal 25 3 4 4 2" xfId="33262"/>
    <cellStyle name="Normal 25 3 4 5" xfId="33263"/>
    <cellStyle name="Normal 25 3 5" xfId="18139"/>
    <cellStyle name="Normal 25 3 5 2" xfId="33264"/>
    <cellStyle name="Normal 25 3 5 2 2" xfId="33265"/>
    <cellStyle name="Normal 25 3 5 2 2 2" xfId="33266"/>
    <cellStyle name="Normal 25 3 5 2 3" xfId="33267"/>
    <cellStyle name="Normal 25 3 5 3" xfId="33268"/>
    <cellStyle name="Normal 25 3 5 3 2" xfId="33269"/>
    <cellStyle name="Normal 25 3 5 4" xfId="33270"/>
    <cellStyle name="Normal 25 3 6" xfId="33271"/>
    <cellStyle name="Normal 25 3 6 2" xfId="33272"/>
    <cellStyle name="Normal 25 3 6 2 2" xfId="33273"/>
    <cellStyle name="Normal 25 3 6 3" xfId="33274"/>
    <cellStyle name="Normal 25 3 7" xfId="33275"/>
    <cellStyle name="Normal 25 3 7 2" xfId="33276"/>
    <cellStyle name="Normal 25 3 8" xfId="33277"/>
    <cellStyle name="Normal 25 4" xfId="18140"/>
    <cellStyle name="Normal 25 4 2" xfId="18141"/>
    <cellStyle name="Normal 25 4 2 2" xfId="18142"/>
    <cellStyle name="Normal 25 4 2 2 2" xfId="18143"/>
    <cellStyle name="Normal 25 4 2 2 2 2" xfId="33278"/>
    <cellStyle name="Normal 25 4 2 2 2 2 2" xfId="33279"/>
    <cellStyle name="Normal 25 4 2 2 2 2 2 2" xfId="33280"/>
    <cellStyle name="Normal 25 4 2 2 2 2 3" xfId="33281"/>
    <cellStyle name="Normal 25 4 2 2 2 3" xfId="33282"/>
    <cellStyle name="Normal 25 4 2 2 2 3 2" xfId="33283"/>
    <cellStyle name="Normal 25 4 2 2 2 4" xfId="33284"/>
    <cellStyle name="Normal 25 4 2 2 3" xfId="33285"/>
    <cellStyle name="Normal 25 4 2 2 3 2" xfId="33286"/>
    <cellStyle name="Normal 25 4 2 2 3 2 2" xfId="33287"/>
    <cellStyle name="Normal 25 4 2 2 3 3" xfId="33288"/>
    <cellStyle name="Normal 25 4 2 2 4" xfId="33289"/>
    <cellStyle name="Normal 25 4 2 2 4 2" xfId="33290"/>
    <cellStyle name="Normal 25 4 2 2 5" xfId="33291"/>
    <cellStyle name="Normal 25 4 2 3" xfId="18144"/>
    <cellStyle name="Normal 25 4 2 3 2" xfId="33292"/>
    <cellStyle name="Normal 25 4 2 3 2 2" xfId="33293"/>
    <cellStyle name="Normal 25 4 2 3 2 2 2" xfId="33294"/>
    <cellStyle name="Normal 25 4 2 3 2 3" xfId="33295"/>
    <cellStyle name="Normal 25 4 2 3 3" xfId="33296"/>
    <cellStyle name="Normal 25 4 2 3 3 2" xfId="33297"/>
    <cellStyle name="Normal 25 4 2 3 4" xfId="33298"/>
    <cellStyle name="Normal 25 4 2 4" xfId="33299"/>
    <cellStyle name="Normal 25 4 2 4 2" xfId="33300"/>
    <cellStyle name="Normal 25 4 2 4 2 2" xfId="33301"/>
    <cellStyle name="Normal 25 4 2 4 3" xfId="33302"/>
    <cellStyle name="Normal 25 4 2 5" xfId="33303"/>
    <cellStyle name="Normal 25 4 2 5 2" xfId="33304"/>
    <cellStyle name="Normal 25 4 2 6" xfId="33305"/>
    <cellStyle name="Normal 25 4 3" xfId="18145"/>
    <cellStyle name="Normal 25 4 3 2" xfId="18146"/>
    <cellStyle name="Normal 25 4 3 2 2" xfId="33306"/>
    <cellStyle name="Normal 25 4 3 2 2 2" xfId="33307"/>
    <cellStyle name="Normal 25 4 3 2 2 2 2" xfId="33308"/>
    <cellStyle name="Normal 25 4 3 2 2 3" xfId="33309"/>
    <cellStyle name="Normal 25 4 3 2 3" xfId="33310"/>
    <cellStyle name="Normal 25 4 3 2 3 2" xfId="33311"/>
    <cellStyle name="Normal 25 4 3 2 4" xfId="33312"/>
    <cellStyle name="Normal 25 4 3 3" xfId="33313"/>
    <cellStyle name="Normal 25 4 3 3 2" xfId="33314"/>
    <cellStyle name="Normal 25 4 3 3 2 2" xfId="33315"/>
    <cellStyle name="Normal 25 4 3 3 3" xfId="33316"/>
    <cellStyle name="Normal 25 4 3 4" xfId="33317"/>
    <cellStyle name="Normal 25 4 3 4 2" xfId="33318"/>
    <cellStyle name="Normal 25 4 3 5" xfId="33319"/>
    <cellStyle name="Normal 25 4 4" xfId="18147"/>
    <cellStyle name="Normal 25 4 4 2" xfId="33320"/>
    <cellStyle name="Normal 25 4 4 2 2" xfId="33321"/>
    <cellStyle name="Normal 25 4 4 2 2 2" xfId="33322"/>
    <cellStyle name="Normal 25 4 4 2 3" xfId="33323"/>
    <cellStyle name="Normal 25 4 4 3" xfId="33324"/>
    <cellStyle name="Normal 25 4 4 3 2" xfId="33325"/>
    <cellStyle name="Normal 25 4 4 4" xfId="33326"/>
    <cellStyle name="Normal 25 4 5" xfId="33327"/>
    <cellStyle name="Normal 25 4 5 2" xfId="33328"/>
    <cellStyle name="Normal 25 4 5 2 2" xfId="33329"/>
    <cellStyle name="Normal 25 4 5 3" xfId="33330"/>
    <cellStyle name="Normal 25 4 6" xfId="33331"/>
    <cellStyle name="Normal 25 4 6 2" xfId="33332"/>
    <cellStyle name="Normal 25 4 7" xfId="33333"/>
    <cellStyle name="Normal 25 5" xfId="18148"/>
    <cellStyle name="Normal 25 5 2" xfId="18149"/>
    <cellStyle name="Normal 25 5 2 2" xfId="18150"/>
    <cellStyle name="Normal 25 5 2 2 2" xfId="33334"/>
    <cellStyle name="Normal 25 5 2 2 2 2" xfId="33335"/>
    <cellStyle name="Normal 25 5 2 2 2 2 2" xfId="33336"/>
    <cellStyle name="Normal 25 5 2 2 2 3" xfId="33337"/>
    <cellStyle name="Normal 25 5 2 2 3" xfId="33338"/>
    <cellStyle name="Normal 25 5 2 2 3 2" xfId="33339"/>
    <cellStyle name="Normal 25 5 2 2 4" xfId="33340"/>
    <cellStyle name="Normal 25 5 2 3" xfId="33341"/>
    <cellStyle name="Normal 25 5 2 3 2" xfId="33342"/>
    <cellStyle name="Normal 25 5 2 3 2 2" xfId="33343"/>
    <cellStyle name="Normal 25 5 2 3 3" xfId="33344"/>
    <cellStyle name="Normal 25 5 2 4" xfId="33345"/>
    <cellStyle name="Normal 25 5 2 4 2" xfId="33346"/>
    <cellStyle name="Normal 25 5 2 5" xfId="33347"/>
    <cellStyle name="Normal 25 5 3" xfId="18151"/>
    <cellStyle name="Normal 25 5 3 2" xfId="33348"/>
    <cellStyle name="Normal 25 5 3 2 2" xfId="33349"/>
    <cellStyle name="Normal 25 5 3 2 2 2" xfId="33350"/>
    <cellStyle name="Normal 25 5 3 2 3" xfId="33351"/>
    <cellStyle name="Normal 25 5 3 3" xfId="33352"/>
    <cellStyle name="Normal 25 5 3 3 2" xfId="33353"/>
    <cellStyle name="Normal 25 5 3 4" xfId="33354"/>
    <cellStyle name="Normal 25 5 4" xfId="33355"/>
    <cellStyle name="Normal 25 5 4 2" xfId="33356"/>
    <cellStyle name="Normal 25 5 4 2 2" xfId="33357"/>
    <cellStyle name="Normal 25 5 4 3" xfId="33358"/>
    <cellStyle name="Normal 25 5 5" xfId="33359"/>
    <cellStyle name="Normal 25 5 5 2" xfId="33360"/>
    <cellStyle name="Normal 25 5 6" xfId="33361"/>
    <cellStyle name="Normal 25 6" xfId="18152"/>
    <cellStyle name="Normal 25 6 2" xfId="18153"/>
    <cellStyle name="Normal 25 6 2 2" xfId="33362"/>
    <cellStyle name="Normal 25 6 2 2 2" xfId="33363"/>
    <cellStyle name="Normal 25 6 2 2 2 2" xfId="33364"/>
    <cellStyle name="Normal 25 6 2 2 3" xfId="33365"/>
    <cellStyle name="Normal 25 6 2 3" xfId="33366"/>
    <cellStyle name="Normal 25 6 2 3 2" xfId="33367"/>
    <cellStyle name="Normal 25 6 2 4" xfId="33368"/>
    <cellStyle name="Normal 25 6 3" xfId="33369"/>
    <cellStyle name="Normal 25 6 3 2" xfId="33370"/>
    <cellStyle name="Normal 25 6 3 2 2" xfId="33371"/>
    <cellStyle name="Normal 25 6 3 3" xfId="33372"/>
    <cellStyle name="Normal 25 6 4" xfId="33373"/>
    <cellStyle name="Normal 25 6 4 2" xfId="33374"/>
    <cellStyle name="Normal 25 6 5" xfId="33375"/>
    <cellStyle name="Normal 25 7" xfId="18154"/>
    <cellStyle name="Normal 25 7 2" xfId="33376"/>
    <cellStyle name="Normal 25 7 2 2" xfId="33377"/>
    <cellStyle name="Normal 25 7 2 2 2" xfId="33378"/>
    <cellStyle name="Normal 25 7 2 3" xfId="33379"/>
    <cellStyle name="Normal 25 7 3" xfId="33380"/>
    <cellStyle name="Normal 25 7 3 2" xfId="33381"/>
    <cellStyle name="Normal 25 7 4" xfId="33382"/>
    <cellStyle name="Normal 25 8" xfId="33383"/>
    <cellStyle name="Normal 25 8 2" xfId="33384"/>
    <cellStyle name="Normal 25 8 2 2" xfId="33385"/>
    <cellStyle name="Normal 25 8 3" xfId="33386"/>
    <cellStyle name="Normal 25 9" xfId="33387"/>
    <cellStyle name="Normal 25 9 2" xfId="33388"/>
    <cellStyle name="Normal 26" xfId="10065"/>
    <cellStyle name="Normal 26 2" xfId="10066"/>
    <cellStyle name="Normal 26 2 2" xfId="19267"/>
    <cellStyle name="Normal 26 2 3" xfId="33389"/>
    <cellStyle name="Normal 26 3" xfId="18155"/>
    <cellStyle name="Normal 26 3 2" xfId="33390"/>
    <cellStyle name="Normal 26 4" xfId="33391"/>
    <cellStyle name="Normal 27" xfId="69"/>
    <cellStyle name="Normal 27 2" xfId="70"/>
    <cellStyle name="Normal 27 2 2" xfId="33392"/>
    <cellStyle name="Normal 27 2 3" xfId="33393"/>
    <cellStyle name="Normal 27 2 4" xfId="33394"/>
    <cellStyle name="Normal 27 3" xfId="10067"/>
    <cellStyle name="Normal 27 3 2" xfId="19268"/>
    <cellStyle name="Normal 28" xfId="10068"/>
    <cellStyle name="Normal 28 2" xfId="18156"/>
    <cellStyle name="Normal 28 2 2" xfId="18157"/>
    <cellStyle name="Normal 28 2 2 2" xfId="18158"/>
    <cellStyle name="Normal 28 2 2 2 2" xfId="18159"/>
    <cellStyle name="Normal 28 2 2 2 2 2" xfId="18160"/>
    <cellStyle name="Normal 28 2 2 2 2 2 2" xfId="33395"/>
    <cellStyle name="Normal 28 2 2 2 2 2 2 2" xfId="33396"/>
    <cellStyle name="Normal 28 2 2 2 2 2 2 2 2" xfId="33397"/>
    <cellStyle name="Normal 28 2 2 2 2 2 2 3" xfId="33398"/>
    <cellStyle name="Normal 28 2 2 2 2 2 3" xfId="33399"/>
    <cellStyle name="Normal 28 2 2 2 2 2 3 2" xfId="33400"/>
    <cellStyle name="Normal 28 2 2 2 2 2 4" xfId="33401"/>
    <cellStyle name="Normal 28 2 2 2 2 3" xfId="33402"/>
    <cellStyle name="Normal 28 2 2 2 2 3 2" xfId="33403"/>
    <cellStyle name="Normal 28 2 2 2 2 3 2 2" xfId="33404"/>
    <cellStyle name="Normal 28 2 2 2 2 3 3" xfId="33405"/>
    <cellStyle name="Normal 28 2 2 2 2 4" xfId="33406"/>
    <cellStyle name="Normal 28 2 2 2 2 4 2" xfId="33407"/>
    <cellStyle name="Normal 28 2 2 2 2 5" xfId="33408"/>
    <cellStyle name="Normal 28 2 2 2 3" xfId="18161"/>
    <cellStyle name="Normal 28 2 2 2 3 2" xfId="33409"/>
    <cellStyle name="Normal 28 2 2 2 3 2 2" xfId="33410"/>
    <cellStyle name="Normal 28 2 2 2 3 2 2 2" xfId="33411"/>
    <cellStyle name="Normal 28 2 2 2 3 2 3" xfId="33412"/>
    <cellStyle name="Normal 28 2 2 2 3 3" xfId="33413"/>
    <cellStyle name="Normal 28 2 2 2 3 3 2" xfId="33414"/>
    <cellStyle name="Normal 28 2 2 2 3 4" xfId="33415"/>
    <cellStyle name="Normal 28 2 2 2 4" xfId="33416"/>
    <cellStyle name="Normal 28 2 2 2 4 2" xfId="33417"/>
    <cellStyle name="Normal 28 2 2 2 4 2 2" xfId="33418"/>
    <cellStyle name="Normal 28 2 2 2 4 3" xfId="33419"/>
    <cellStyle name="Normal 28 2 2 2 5" xfId="33420"/>
    <cellStyle name="Normal 28 2 2 2 5 2" xfId="33421"/>
    <cellStyle name="Normal 28 2 2 2 6" xfId="33422"/>
    <cellStyle name="Normal 28 2 2 3" xfId="18162"/>
    <cellStyle name="Normal 28 2 2 3 2" xfId="18163"/>
    <cellStyle name="Normal 28 2 2 3 2 2" xfId="33423"/>
    <cellStyle name="Normal 28 2 2 3 2 2 2" xfId="33424"/>
    <cellStyle name="Normal 28 2 2 3 2 2 2 2" xfId="33425"/>
    <cellStyle name="Normal 28 2 2 3 2 2 3" xfId="33426"/>
    <cellStyle name="Normal 28 2 2 3 2 3" xfId="33427"/>
    <cellStyle name="Normal 28 2 2 3 2 3 2" xfId="33428"/>
    <cellStyle name="Normal 28 2 2 3 2 4" xfId="33429"/>
    <cellStyle name="Normal 28 2 2 3 3" xfId="33430"/>
    <cellStyle name="Normal 28 2 2 3 3 2" xfId="33431"/>
    <cellStyle name="Normal 28 2 2 3 3 2 2" xfId="33432"/>
    <cellStyle name="Normal 28 2 2 3 3 3" xfId="33433"/>
    <cellStyle name="Normal 28 2 2 3 4" xfId="33434"/>
    <cellStyle name="Normal 28 2 2 3 4 2" xfId="33435"/>
    <cellStyle name="Normal 28 2 2 3 5" xfId="33436"/>
    <cellStyle name="Normal 28 2 2 4" xfId="18164"/>
    <cellStyle name="Normal 28 2 2 4 2" xfId="33437"/>
    <cellStyle name="Normal 28 2 2 4 2 2" xfId="33438"/>
    <cellStyle name="Normal 28 2 2 4 2 2 2" xfId="33439"/>
    <cellStyle name="Normal 28 2 2 4 2 3" xfId="33440"/>
    <cellStyle name="Normal 28 2 2 4 3" xfId="33441"/>
    <cellStyle name="Normal 28 2 2 4 3 2" xfId="33442"/>
    <cellStyle name="Normal 28 2 2 4 4" xfId="33443"/>
    <cellStyle name="Normal 28 2 2 5" xfId="33444"/>
    <cellStyle name="Normal 28 2 2 5 2" xfId="33445"/>
    <cellStyle name="Normal 28 2 2 5 2 2" xfId="33446"/>
    <cellStyle name="Normal 28 2 2 5 3" xfId="33447"/>
    <cellStyle name="Normal 28 2 2 6" xfId="33448"/>
    <cellStyle name="Normal 28 2 2 6 2" xfId="33449"/>
    <cellStyle name="Normal 28 2 2 7" xfId="33450"/>
    <cellStyle name="Normal 28 2 3" xfId="18165"/>
    <cellStyle name="Normal 28 2 3 2" xfId="18166"/>
    <cellStyle name="Normal 28 2 3 2 2" xfId="18167"/>
    <cellStyle name="Normal 28 2 3 2 2 2" xfId="33451"/>
    <cellStyle name="Normal 28 2 3 2 2 2 2" xfId="33452"/>
    <cellStyle name="Normal 28 2 3 2 2 2 2 2" xfId="33453"/>
    <cellStyle name="Normal 28 2 3 2 2 2 3" xfId="33454"/>
    <cellStyle name="Normal 28 2 3 2 2 3" xfId="33455"/>
    <cellStyle name="Normal 28 2 3 2 2 3 2" xfId="33456"/>
    <cellStyle name="Normal 28 2 3 2 2 4" xfId="33457"/>
    <cellStyle name="Normal 28 2 3 2 3" xfId="33458"/>
    <cellStyle name="Normal 28 2 3 2 3 2" xfId="33459"/>
    <cellStyle name="Normal 28 2 3 2 3 2 2" xfId="33460"/>
    <cellStyle name="Normal 28 2 3 2 3 3" xfId="33461"/>
    <cellStyle name="Normal 28 2 3 2 4" xfId="33462"/>
    <cellStyle name="Normal 28 2 3 2 4 2" xfId="33463"/>
    <cellStyle name="Normal 28 2 3 2 5" xfId="33464"/>
    <cellStyle name="Normal 28 2 3 3" xfId="18168"/>
    <cellStyle name="Normal 28 2 3 3 2" xfId="33465"/>
    <cellStyle name="Normal 28 2 3 3 2 2" xfId="33466"/>
    <cellStyle name="Normal 28 2 3 3 2 2 2" xfId="33467"/>
    <cellStyle name="Normal 28 2 3 3 2 3" xfId="33468"/>
    <cellStyle name="Normal 28 2 3 3 3" xfId="33469"/>
    <cellStyle name="Normal 28 2 3 3 3 2" xfId="33470"/>
    <cellStyle name="Normal 28 2 3 3 4" xfId="33471"/>
    <cellStyle name="Normal 28 2 3 4" xfId="33472"/>
    <cellStyle name="Normal 28 2 3 4 2" xfId="33473"/>
    <cellStyle name="Normal 28 2 3 4 2 2" xfId="33474"/>
    <cellStyle name="Normal 28 2 3 4 3" xfId="33475"/>
    <cellStyle name="Normal 28 2 3 5" xfId="33476"/>
    <cellStyle name="Normal 28 2 3 5 2" xfId="33477"/>
    <cellStyle name="Normal 28 2 3 6" xfId="33478"/>
    <cellStyle name="Normal 28 2 4" xfId="18169"/>
    <cellStyle name="Normal 28 2 4 2" xfId="18170"/>
    <cellStyle name="Normal 28 2 4 2 2" xfId="33479"/>
    <cellStyle name="Normal 28 2 4 2 2 2" xfId="33480"/>
    <cellStyle name="Normal 28 2 4 2 2 2 2" xfId="33481"/>
    <cellStyle name="Normal 28 2 4 2 2 3" xfId="33482"/>
    <cellStyle name="Normal 28 2 4 2 3" xfId="33483"/>
    <cellStyle name="Normal 28 2 4 2 3 2" xfId="33484"/>
    <cellStyle name="Normal 28 2 4 2 4" xfId="33485"/>
    <cellStyle name="Normal 28 2 4 3" xfId="33486"/>
    <cellStyle name="Normal 28 2 4 3 2" xfId="33487"/>
    <cellStyle name="Normal 28 2 4 3 2 2" xfId="33488"/>
    <cellStyle name="Normal 28 2 4 3 3" xfId="33489"/>
    <cellStyle name="Normal 28 2 4 4" xfId="33490"/>
    <cellStyle name="Normal 28 2 4 4 2" xfId="33491"/>
    <cellStyle name="Normal 28 2 4 5" xfId="33492"/>
    <cellStyle name="Normal 28 2 5" xfId="18171"/>
    <cellStyle name="Normal 28 2 5 2" xfId="33493"/>
    <cellStyle name="Normal 28 2 5 2 2" xfId="33494"/>
    <cellStyle name="Normal 28 2 5 2 2 2" xfId="33495"/>
    <cellStyle name="Normal 28 2 5 2 3" xfId="33496"/>
    <cellStyle name="Normal 28 2 5 3" xfId="33497"/>
    <cellStyle name="Normal 28 2 5 3 2" xfId="33498"/>
    <cellStyle name="Normal 28 2 5 4" xfId="33499"/>
    <cellStyle name="Normal 28 2 6" xfId="33500"/>
    <cellStyle name="Normal 28 2 6 2" xfId="33501"/>
    <cellStyle name="Normal 28 2 6 2 2" xfId="33502"/>
    <cellStyle name="Normal 28 2 6 3" xfId="33503"/>
    <cellStyle name="Normal 28 2 7" xfId="33504"/>
    <cellStyle name="Normal 28 2 7 2" xfId="33505"/>
    <cellStyle name="Normal 28 2 8" xfId="33506"/>
    <cellStyle name="Normal 28 3" xfId="18172"/>
    <cellStyle name="Normal 28 3 2" xfId="18173"/>
    <cellStyle name="Normal 28 3 2 2" xfId="18174"/>
    <cellStyle name="Normal 28 3 2 2 2" xfId="18175"/>
    <cellStyle name="Normal 28 3 2 2 2 2" xfId="33507"/>
    <cellStyle name="Normal 28 3 2 2 2 2 2" xfId="33508"/>
    <cellStyle name="Normal 28 3 2 2 2 2 2 2" xfId="33509"/>
    <cellStyle name="Normal 28 3 2 2 2 2 3" xfId="33510"/>
    <cellStyle name="Normal 28 3 2 2 2 3" xfId="33511"/>
    <cellStyle name="Normal 28 3 2 2 2 3 2" xfId="33512"/>
    <cellStyle name="Normal 28 3 2 2 2 4" xfId="33513"/>
    <cellStyle name="Normal 28 3 2 2 3" xfId="33514"/>
    <cellStyle name="Normal 28 3 2 2 3 2" xfId="33515"/>
    <cellStyle name="Normal 28 3 2 2 3 2 2" xfId="33516"/>
    <cellStyle name="Normal 28 3 2 2 3 3" xfId="33517"/>
    <cellStyle name="Normal 28 3 2 2 4" xfId="33518"/>
    <cellStyle name="Normal 28 3 2 2 4 2" xfId="33519"/>
    <cellStyle name="Normal 28 3 2 2 5" xfId="33520"/>
    <cellStyle name="Normal 28 3 2 3" xfId="18176"/>
    <cellStyle name="Normal 28 3 2 3 2" xfId="33521"/>
    <cellStyle name="Normal 28 3 2 3 2 2" xfId="33522"/>
    <cellStyle name="Normal 28 3 2 3 2 2 2" xfId="33523"/>
    <cellStyle name="Normal 28 3 2 3 2 3" xfId="33524"/>
    <cellStyle name="Normal 28 3 2 3 3" xfId="33525"/>
    <cellStyle name="Normal 28 3 2 3 3 2" xfId="33526"/>
    <cellStyle name="Normal 28 3 2 3 4" xfId="33527"/>
    <cellStyle name="Normal 28 3 2 4" xfId="33528"/>
    <cellStyle name="Normal 28 3 2 4 2" xfId="33529"/>
    <cellStyle name="Normal 28 3 2 4 2 2" xfId="33530"/>
    <cellStyle name="Normal 28 3 2 4 3" xfId="33531"/>
    <cellStyle name="Normal 28 3 2 5" xfId="33532"/>
    <cellStyle name="Normal 28 3 2 5 2" xfId="33533"/>
    <cellStyle name="Normal 28 3 2 6" xfId="33534"/>
    <cellStyle name="Normal 28 3 3" xfId="18177"/>
    <cellStyle name="Normal 28 3 3 2" xfId="18178"/>
    <cellStyle name="Normal 28 3 3 2 2" xfId="33535"/>
    <cellStyle name="Normal 28 3 3 2 2 2" xfId="33536"/>
    <cellStyle name="Normal 28 3 3 2 2 2 2" xfId="33537"/>
    <cellStyle name="Normal 28 3 3 2 2 3" xfId="33538"/>
    <cellStyle name="Normal 28 3 3 2 3" xfId="33539"/>
    <cellStyle name="Normal 28 3 3 2 3 2" xfId="33540"/>
    <cellStyle name="Normal 28 3 3 2 4" xfId="33541"/>
    <cellStyle name="Normal 28 3 3 3" xfId="33542"/>
    <cellStyle name="Normal 28 3 3 3 2" xfId="33543"/>
    <cellStyle name="Normal 28 3 3 3 2 2" xfId="33544"/>
    <cellStyle name="Normal 28 3 3 3 3" xfId="33545"/>
    <cellStyle name="Normal 28 3 3 4" xfId="33546"/>
    <cellStyle name="Normal 28 3 3 4 2" xfId="33547"/>
    <cellStyle name="Normal 28 3 3 5" xfId="33548"/>
    <cellStyle name="Normal 28 3 4" xfId="18179"/>
    <cellStyle name="Normal 28 3 4 2" xfId="33549"/>
    <cellStyle name="Normal 28 3 4 2 2" xfId="33550"/>
    <cellStyle name="Normal 28 3 4 2 2 2" xfId="33551"/>
    <cellStyle name="Normal 28 3 4 2 3" xfId="33552"/>
    <cellStyle name="Normal 28 3 4 3" xfId="33553"/>
    <cellStyle name="Normal 28 3 4 3 2" xfId="33554"/>
    <cellStyle name="Normal 28 3 4 4" xfId="33555"/>
    <cellStyle name="Normal 28 3 5" xfId="33556"/>
    <cellStyle name="Normal 28 3 5 2" xfId="33557"/>
    <cellStyle name="Normal 28 3 5 2 2" xfId="33558"/>
    <cellStyle name="Normal 28 3 5 3" xfId="33559"/>
    <cellStyle name="Normal 28 3 6" xfId="33560"/>
    <cellStyle name="Normal 28 3 6 2" xfId="33561"/>
    <cellStyle name="Normal 28 3 7" xfId="33562"/>
    <cellStyle name="Normal 28 4" xfId="18180"/>
    <cellStyle name="Normal 28 4 2" xfId="18181"/>
    <cellStyle name="Normal 28 4 2 2" xfId="18182"/>
    <cellStyle name="Normal 28 4 2 2 2" xfId="33563"/>
    <cellStyle name="Normal 28 4 2 2 2 2" xfId="33564"/>
    <cellStyle name="Normal 28 4 2 2 2 2 2" xfId="33565"/>
    <cellStyle name="Normal 28 4 2 2 2 3" xfId="33566"/>
    <cellStyle name="Normal 28 4 2 2 3" xfId="33567"/>
    <cellStyle name="Normal 28 4 2 2 3 2" xfId="33568"/>
    <cellStyle name="Normal 28 4 2 2 4" xfId="33569"/>
    <cellStyle name="Normal 28 4 2 3" xfId="33570"/>
    <cellStyle name="Normal 28 4 2 3 2" xfId="33571"/>
    <cellStyle name="Normal 28 4 2 3 2 2" xfId="33572"/>
    <cellStyle name="Normal 28 4 2 3 3" xfId="33573"/>
    <cellStyle name="Normal 28 4 2 4" xfId="33574"/>
    <cellStyle name="Normal 28 4 2 4 2" xfId="33575"/>
    <cellStyle name="Normal 28 4 2 5" xfId="33576"/>
    <cellStyle name="Normal 28 4 3" xfId="18183"/>
    <cellStyle name="Normal 28 4 3 2" xfId="33577"/>
    <cellStyle name="Normal 28 4 3 2 2" xfId="33578"/>
    <cellStyle name="Normal 28 4 3 2 2 2" xfId="33579"/>
    <cellStyle name="Normal 28 4 3 2 3" xfId="33580"/>
    <cellStyle name="Normal 28 4 3 3" xfId="33581"/>
    <cellStyle name="Normal 28 4 3 3 2" xfId="33582"/>
    <cellStyle name="Normal 28 4 3 4" xfId="33583"/>
    <cellStyle name="Normal 28 4 4" xfId="33584"/>
    <cellStyle name="Normal 28 4 4 2" xfId="33585"/>
    <cellStyle name="Normal 28 4 4 2 2" xfId="33586"/>
    <cellStyle name="Normal 28 4 4 3" xfId="33587"/>
    <cellStyle name="Normal 28 4 5" xfId="33588"/>
    <cellStyle name="Normal 28 4 5 2" xfId="33589"/>
    <cellStyle name="Normal 28 4 6" xfId="33590"/>
    <cellStyle name="Normal 28 5" xfId="18184"/>
    <cellStyle name="Normal 28 5 2" xfId="18185"/>
    <cellStyle name="Normal 28 5 2 2" xfId="33591"/>
    <cellStyle name="Normal 28 5 2 2 2" xfId="33592"/>
    <cellStyle name="Normal 28 5 2 2 2 2" xfId="33593"/>
    <cellStyle name="Normal 28 5 2 2 3" xfId="33594"/>
    <cellStyle name="Normal 28 5 2 3" xfId="33595"/>
    <cellStyle name="Normal 28 5 2 3 2" xfId="33596"/>
    <cellStyle name="Normal 28 5 2 4" xfId="33597"/>
    <cellStyle name="Normal 28 5 3" xfId="33598"/>
    <cellStyle name="Normal 28 5 3 2" xfId="33599"/>
    <cellStyle name="Normal 28 5 3 2 2" xfId="33600"/>
    <cellStyle name="Normal 28 5 3 3" xfId="33601"/>
    <cellStyle name="Normal 28 5 4" xfId="33602"/>
    <cellStyle name="Normal 28 5 4 2" xfId="33603"/>
    <cellStyle name="Normal 28 5 5" xfId="33604"/>
    <cellStyle name="Normal 28 6" xfId="18186"/>
    <cellStyle name="Normal 28 6 2" xfId="33605"/>
    <cellStyle name="Normal 28 6 2 2" xfId="33606"/>
    <cellStyle name="Normal 28 6 2 2 2" xfId="33607"/>
    <cellStyle name="Normal 28 6 2 3" xfId="33608"/>
    <cellStyle name="Normal 28 6 3" xfId="33609"/>
    <cellStyle name="Normal 28 6 3 2" xfId="33610"/>
    <cellStyle name="Normal 28 6 4" xfId="33611"/>
    <cellStyle name="Normal 28 7" xfId="33612"/>
    <cellStyle name="Normal 28 7 2" xfId="33613"/>
    <cellStyle name="Normal 28 7 2 2" xfId="33614"/>
    <cellStyle name="Normal 28 7 3" xfId="33615"/>
    <cellStyle name="Normal 28 8" xfId="33616"/>
    <cellStyle name="Normal 28 8 2" xfId="33617"/>
    <cellStyle name="Normal 28 9" xfId="33618"/>
    <cellStyle name="Normal 29" xfId="10069"/>
    <cellStyle name="Normal 29 2" xfId="18187"/>
    <cellStyle name="Normal 29 2 2" xfId="18188"/>
    <cellStyle name="Normal 29 2 2 2" xfId="18189"/>
    <cellStyle name="Normal 29 2 2 2 2" xfId="18190"/>
    <cellStyle name="Normal 29 2 2 2 2 2" xfId="18191"/>
    <cellStyle name="Normal 29 2 2 2 2 2 2" xfId="33619"/>
    <cellStyle name="Normal 29 2 2 2 2 2 2 2" xfId="33620"/>
    <cellStyle name="Normal 29 2 2 2 2 2 2 2 2" xfId="33621"/>
    <cellStyle name="Normal 29 2 2 2 2 2 2 3" xfId="33622"/>
    <cellStyle name="Normal 29 2 2 2 2 2 3" xfId="33623"/>
    <cellStyle name="Normal 29 2 2 2 2 2 3 2" xfId="33624"/>
    <cellStyle name="Normal 29 2 2 2 2 2 4" xfId="33625"/>
    <cellStyle name="Normal 29 2 2 2 2 3" xfId="33626"/>
    <cellStyle name="Normal 29 2 2 2 2 3 2" xfId="33627"/>
    <cellStyle name="Normal 29 2 2 2 2 3 2 2" xfId="33628"/>
    <cellStyle name="Normal 29 2 2 2 2 3 3" xfId="33629"/>
    <cellStyle name="Normal 29 2 2 2 2 4" xfId="33630"/>
    <cellStyle name="Normal 29 2 2 2 2 4 2" xfId="33631"/>
    <cellStyle name="Normal 29 2 2 2 2 5" xfId="33632"/>
    <cellStyle name="Normal 29 2 2 2 3" xfId="18192"/>
    <cellStyle name="Normal 29 2 2 2 3 2" xfId="33633"/>
    <cellStyle name="Normal 29 2 2 2 3 2 2" xfId="33634"/>
    <cellStyle name="Normal 29 2 2 2 3 2 2 2" xfId="33635"/>
    <cellStyle name="Normal 29 2 2 2 3 2 3" xfId="33636"/>
    <cellStyle name="Normal 29 2 2 2 3 3" xfId="33637"/>
    <cellStyle name="Normal 29 2 2 2 3 3 2" xfId="33638"/>
    <cellStyle name="Normal 29 2 2 2 3 4" xfId="33639"/>
    <cellStyle name="Normal 29 2 2 2 4" xfId="33640"/>
    <cellStyle name="Normal 29 2 2 2 4 2" xfId="33641"/>
    <cellStyle name="Normal 29 2 2 2 4 2 2" xfId="33642"/>
    <cellStyle name="Normal 29 2 2 2 4 3" xfId="33643"/>
    <cellStyle name="Normal 29 2 2 2 5" xfId="33644"/>
    <cellStyle name="Normal 29 2 2 2 5 2" xfId="33645"/>
    <cellStyle name="Normal 29 2 2 2 6" xfId="33646"/>
    <cellStyle name="Normal 29 2 2 3" xfId="18193"/>
    <cellStyle name="Normal 29 2 2 3 2" xfId="18194"/>
    <cellStyle name="Normal 29 2 2 3 2 2" xfId="33647"/>
    <cellStyle name="Normal 29 2 2 3 2 2 2" xfId="33648"/>
    <cellStyle name="Normal 29 2 2 3 2 2 2 2" xfId="33649"/>
    <cellStyle name="Normal 29 2 2 3 2 2 3" xfId="33650"/>
    <cellStyle name="Normal 29 2 2 3 2 3" xfId="33651"/>
    <cellStyle name="Normal 29 2 2 3 2 3 2" xfId="33652"/>
    <cellStyle name="Normal 29 2 2 3 2 4" xfId="33653"/>
    <cellStyle name="Normal 29 2 2 3 3" xfId="33654"/>
    <cellStyle name="Normal 29 2 2 3 3 2" xfId="33655"/>
    <cellStyle name="Normal 29 2 2 3 3 2 2" xfId="33656"/>
    <cellStyle name="Normal 29 2 2 3 3 3" xfId="33657"/>
    <cellStyle name="Normal 29 2 2 3 4" xfId="33658"/>
    <cellStyle name="Normal 29 2 2 3 4 2" xfId="33659"/>
    <cellStyle name="Normal 29 2 2 3 5" xfId="33660"/>
    <cellStyle name="Normal 29 2 2 4" xfId="18195"/>
    <cellStyle name="Normal 29 2 2 4 2" xfId="33661"/>
    <cellStyle name="Normal 29 2 2 4 2 2" xfId="33662"/>
    <cellStyle name="Normal 29 2 2 4 2 2 2" xfId="33663"/>
    <cellStyle name="Normal 29 2 2 4 2 3" xfId="33664"/>
    <cellStyle name="Normal 29 2 2 4 3" xfId="33665"/>
    <cellStyle name="Normal 29 2 2 4 3 2" xfId="33666"/>
    <cellStyle name="Normal 29 2 2 4 4" xfId="33667"/>
    <cellStyle name="Normal 29 2 2 5" xfId="33668"/>
    <cellStyle name="Normal 29 2 2 5 2" xfId="33669"/>
    <cellStyle name="Normal 29 2 2 5 2 2" xfId="33670"/>
    <cellStyle name="Normal 29 2 2 5 3" xfId="33671"/>
    <cellStyle name="Normal 29 2 2 6" xfId="33672"/>
    <cellStyle name="Normal 29 2 2 6 2" xfId="33673"/>
    <cellStyle name="Normal 29 2 2 7" xfId="33674"/>
    <cellStyle name="Normal 29 2 3" xfId="18196"/>
    <cellStyle name="Normal 29 2 3 2" xfId="18197"/>
    <cellStyle name="Normal 29 2 3 2 2" xfId="18198"/>
    <cellStyle name="Normal 29 2 3 2 2 2" xfId="33675"/>
    <cellStyle name="Normal 29 2 3 2 2 2 2" xfId="33676"/>
    <cellStyle name="Normal 29 2 3 2 2 2 2 2" xfId="33677"/>
    <cellStyle name="Normal 29 2 3 2 2 2 3" xfId="33678"/>
    <cellStyle name="Normal 29 2 3 2 2 3" xfId="33679"/>
    <cellStyle name="Normal 29 2 3 2 2 3 2" xfId="33680"/>
    <cellStyle name="Normal 29 2 3 2 2 4" xfId="33681"/>
    <cellStyle name="Normal 29 2 3 2 3" xfId="33682"/>
    <cellStyle name="Normal 29 2 3 2 3 2" xfId="33683"/>
    <cellStyle name="Normal 29 2 3 2 3 2 2" xfId="33684"/>
    <cellStyle name="Normal 29 2 3 2 3 3" xfId="33685"/>
    <cellStyle name="Normal 29 2 3 2 4" xfId="33686"/>
    <cellStyle name="Normal 29 2 3 2 4 2" xfId="33687"/>
    <cellStyle name="Normal 29 2 3 2 5" xfId="33688"/>
    <cellStyle name="Normal 29 2 3 3" xfId="18199"/>
    <cellStyle name="Normal 29 2 3 3 2" xfId="33689"/>
    <cellStyle name="Normal 29 2 3 3 2 2" xfId="33690"/>
    <cellStyle name="Normal 29 2 3 3 2 2 2" xfId="33691"/>
    <cellStyle name="Normal 29 2 3 3 2 3" xfId="33692"/>
    <cellStyle name="Normal 29 2 3 3 3" xfId="33693"/>
    <cellStyle name="Normal 29 2 3 3 3 2" xfId="33694"/>
    <cellStyle name="Normal 29 2 3 3 4" xfId="33695"/>
    <cellStyle name="Normal 29 2 3 4" xfId="33696"/>
    <cellStyle name="Normal 29 2 3 4 2" xfId="33697"/>
    <cellStyle name="Normal 29 2 3 4 2 2" xfId="33698"/>
    <cellStyle name="Normal 29 2 3 4 3" xfId="33699"/>
    <cellStyle name="Normal 29 2 3 5" xfId="33700"/>
    <cellStyle name="Normal 29 2 3 5 2" xfId="33701"/>
    <cellStyle name="Normal 29 2 3 6" xfId="33702"/>
    <cellStyle name="Normal 29 2 4" xfId="18200"/>
    <cellStyle name="Normal 29 2 4 2" xfId="18201"/>
    <cellStyle name="Normal 29 2 4 2 2" xfId="33703"/>
    <cellStyle name="Normal 29 2 4 2 2 2" xfId="33704"/>
    <cellStyle name="Normal 29 2 4 2 2 2 2" xfId="33705"/>
    <cellStyle name="Normal 29 2 4 2 2 3" xfId="33706"/>
    <cellStyle name="Normal 29 2 4 2 3" xfId="33707"/>
    <cellStyle name="Normal 29 2 4 2 3 2" xfId="33708"/>
    <cellStyle name="Normal 29 2 4 2 4" xfId="33709"/>
    <cellStyle name="Normal 29 2 4 3" xfId="33710"/>
    <cellStyle name="Normal 29 2 4 3 2" xfId="33711"/>
    <cellStyle name="Normal 29 2 4 3 2 2" xfId="33712"/>
    <cellStyle name="Normal 29 2 4 3 3" xfId="33713"/>
    <cellStyle name="Normal 29 2 4 4" xfId="33714"/>
    <cellStyle name="Normal 29 2 4 4 2" xfId="33715"/>
    <cellStyle name="Normal 29 2 4 5" xfId="33716"/>
    <cellStyle name="Normal 29 2 5" xfId="18202"/>
    <cellStyle name="Normal 29 2 5 2" xfId="33717"/>
    <cellStyle name="Normal 29 2 5 2 2" xfId="33718"/>
    <cellStyle name="Normal 29 2 5 2 2 2" xfId="33719"/>
    <cellStyle name="Normal 29 2 5 2 3" xfId="33720"/>
    <cellStyle name="Normal 29 2 5 3" xfId="33721"/>
    <cellStyle name="Normal 29 2 5 3 2" xfId="33722"/>
    <cellStyle name="Normal 29 2 5 4" xfId="33723"/>
    <cellStyle name="Normal 29 2 6" xfId="33724"/>
    <cellStyle name="Normal 29 2 6 2" xfId="33725"/>
    <cellStyle name="Normal 29 2 6 2 2" xfId="33726"/>
    <cellStyle name="Normal 29 2 6 3" xfId="33727"/>
    <cellStyle name="Normal 29 2 7" xfId="33728"/>
    <cellStyle name="Normal 29 2 7 2" xfId="33729"/>
    <cellStyle name="Normal 29 2 8" xfId="33730"/>
    <cellStyle name="Normal 29 3" xfId="18203"/>
    <cellStyle name="Normal 29 3 2" xfId="18204"/>
    <cellStyle name="Normal 29 3 2 2" xfId="18205"/>
    <cellStyle name="Normal 29 3 2 2 2" xfId="18206"/>
    <cellStyle name="Normal 29 3 2 2 2 2" xfId="33731"/>
    <cellStyle name="Normal 29 3 2 2 2 2 2" xfId="33732"/>
    <cellStyle name="Normal 29 3 2 2 2 2 2 2" xfId="33733"/>
    <cellStyle name="Normal 29 3 2 2 2 2 3" xfId="33734"/>
    <cellStyle name="Normal 29 3 2 2 2 3" xfId="33735"/>
    <cellStyle name="Normal 29 3 2 2 2 3 2" xfId="33736"/>
    <cellStyle name="Normal 29 3 2 2 2 4" xfId="33737"/>
    <cellStyle name="Normal 29 3 2 2 3" xfId="33738"/>
    <cellStyle name="Normal 29 3 2 2 3 2" xfId="33739"/>
    <cellStyle name="Normal 29 3 2 2 3 2 2" xfId="33740"/>
    <cellStyle name="Normal 29 3 2 2 3 3" xfId="33741"/>
    <cellStyle name="Normal 29 3 2 2 4" xfId="33742"/>
    <cellStyle name="Normal 29 3 2 2 4 2" xfId="33743"/>
    <cellStyle name="Normal 29 3 2 2 5" xfId="33744"/>
    <cellStyle name="Normal 29 3 2 3" xfId="18207"/>
    <cellStyle name="Normal 29 3 2 3 2" xfId="33745"/>
    <cellStyle name="Normal 29 3 2 3 2 2" xfId="33746"/>
    <cellStyle name="Normal 29 3 2 3 2 2 2" xfId="33747"/>
    <cellStyle name="Normal 29 3 2 3 2 3" xfId="33748"/>
    <cellStyle name="Normal 29 3 2 3 3" xfId="33749"/>
    <cellStyle name="Normal 29 3 2 3 3 2" xfId="33750"/>
    <cellStyle name="Normal 29 3 2 3 4" xfId="33751"/>
    <cellStyle name="Normal 29 3 2 4" xfId="33752"/>
    <cellStyle name="Normal 29 3 2 4 2" xfId="33753"/>
    <cellStyle name="Normal 29 3 2 4 2 2" xfId="33754"/>
    <cellStyle name="Normal 29 3 2 4 3" xfId="33755"/>
    <cellStyle name="Normal 29 3 2 5" xfId="33756"/>
    <cellStyle name="Normal 29 3 2 5 2" xfId="33757"/>
    <cellStyle name="Normal 29 3 2 6" xfId="33758"/>
    <cellStyle name="Normal 29 3 3" xfId="18208"/>
    <cellStyle name="Normal 29 3 3 2" xfId="18209"/>
    <cellStyle name="Normal 29 3 3 2 2" xfId="33759"/>
    <cellStyle name="Normal 29 3 3 2 2 2" xfId="33760"/>
    <cellStyle name="Normal 29 3 3 2 2 2 2" xfId="33761"/>
    <cellStyle name="Normal 29 3 3 2 2 3" xfId="33762"/>
    <cellStyle name="Normal 29 3 3 2 3" xfId="33763"/>
    <cellStyle name="Normal 29 3 3 2 3 2" xfId="33764"/>
    <cellStyle name="Normal 29 3 3 2 4" xfId="33765"/>
    <cellStyle name="Normal 29 3 3 3" xfId="33766"/>
    <cellStyle name="Normal 29 3 3 3 2" xfId="33767"/>
    <cellStyle name="Normal 29 3 3 3 2 2" xfId="33768"/>
    <cellStyle name="Normal 29 3 3 3 3" xfId="33769"/>
    <cellStyle name="Normal 29 3 3 4" xfId="33770"/>
    <cellStyle name="Normal 29 3 3 4 2" xfId="33771"/>
    <cellStyle name="Normal 29 3 3 5" xfId="33772"/>
    <cellStyle name="Normal 29 3 4" xfId="18210"/>
    <cellStyle name="Normal 29 3 4 2" xfId="33773"/>
    <cellStyle name="Normal 29 3 4 2 2" xfId="33774"/>
    <cellStyle name="Normal 29 3 4 2 2 2" xfId="33775"/>
    <cellStyle name="Normal 29 3 4 2 3" xfId="33776"/>
    <cellStyle name="Normal 29 3 4 3" xfId="33777"/>
    <cellStyle name="Normal 29 3 4 3 2" xfId="33778"/>
    <cellStyle name="Normal 29 3 4 4" xfId="33779"/>
    <cellStyle name="Normal 29 3 5" xfId="33780"/>
    <cellStyle name="Normal 29 3 5 2" xfId="33781"/>
    <cellStyle name="Normal 29 3 5 2 2" xfId="33782"/>
    <cellStyle name="Normal 29 3 5 3" xfId="33783"/>
    <cellStyle name="Normal 29 3 6" xfId="33784"/>
    <cellStyle name="Normal 29 3 6 2" xfId="33785"/>
    <cellStyle name="Normal 29 3 7" xfId="33786"/>
    <cellStyle name="Normal 29 4" xfId="18211"/>
    <cellStyle name="Normal 29 4 2" xfId="18212"/>
    <cellStyle name="Normal 29 4 2 2" xfId="18213"/>
    <cellStyle name="Normal 29 4 2 2 2" xfId="33787"/>
    <cellStyle name="Normal 29 4 2 2 2 2" xfId="33788"/>
    <cellStyle name="Normal 29 4 2 2 2 2 2" xfId="33789"/>
    <cellStyle name="Normal 29 4 2 2 2 3" xfId="33790"/>
    <cellStyle name="Normal 29 4 2 2 3" xfId="33791"/>
    <cellStyle name="Normal 29 4 2 2 3 2" xfId="33792"/>
    <cellStyle name="Normal 29 4 2 2 4" xfId="33793"/>
    <cellStyle name="Normal 29 4 2 3" xfId="33794"/>
    <cellStyle name="Normal 29 4 2 3 2" xfId="33795"/>
    <cellStyle name="Normal 29 4 2 3 2 2" xfId="33796"/>
    <cellStyle name="Normal 29 4 2 3 3" xfId="33797"/>
    <cellStyle name="Normal 29 4 2 4" xfId="33798"/>
    <cellStyle name="Normal 29 4 2 4 2" xfId="33799"/>
    <cellStyle name="Normal 29 4 2 5" xfId="33800"/>
    <cellStyle name="Normal 29 4 3" xfId="18214"/>
    <cellStyle name="Normal 29 4 3 2" xfId="33801"/>
    <cellStyle name="Normal 29 4 3 2 2" xfId="33802"/>
    <cellStyle name="Normal 29 4 3 2 2 2" xfId="33803"/>
    <cellStyle name="Normal 29 4 3 2 3" xfId="33804"/>
    <cellStyle name="Normal 29 4 3 3" xfId="33805"/>
    <cellStyle name="Normal 29 4 3 3 2" xfId="33806"/>
    <cellStyle name="Normal 29 4 3 4" xfId="33807"/>
    <cellStyle name="Normal 29 4 4" xfId="33808"/>
    <cellStyle name="Normal 29 4 4 2" xfId="33809"/>
    <cellStyle name="Normal 29 4 4 2 2" xfId="33810"/>
    <cellStyle name="Normal 29 4 4 3" xfId="33811"/>
    <cellStyle name="Normal 29 4 5" xfId="33812"/>
    <cellStyle name="Normal 29 4 5 2" xfId="33813"/>
    <cellStyle name="Normal 29 4 6" xfId="33814"/>
    <cellStyle name="Normal 29 5" xfId="18215"/>
    <cellStyle name="Normal 29 5 2" xfId="18216"/>
    <cellStyle name="Normal 29 5 2 2" xfId="33815"/>
    <cellStyle name="Normal 29 5 2 2 2" xfId="33816"/>
    <cellStyle name="Normal 29 5 2 2 2 2" xfId="33817"/>
    <cellStyle name="Normal 29 5 2 2 3" xfId="33818"/>
    <cellStyle name="Normal 29 5 2 3" xfId="33819"/>
    <cellStyle name="Normal 29 5 2 3 2" xfId="33820"/>
    <cellStyle name="Normal 29 5 2 4" xfId="33821"/>
    <cellStyle name="Normal 29 5 3" xfId="33822"/>
    <cellStyle name="Normal 29 5 3 2" xfId="33823"/>
    <cellStyle name="Normal 29 5 3 2 2" xfId="33824"/>
    <cellStyle name="Normal 29 5 3 3" xfId="33825"/>
    <cellStyle name="Normal 29 5 4" xfId="33826"/>
    <cellStyle name="Normal 29 5 4 2" xfId="33827"/>
    <cellStyle name="Normal 29 5 5" xfId="33828"/>
    <cellStyle name="Normal 29 6" xfId="18217"/>
    <cellStyle name="Normal 29 6 2" xfId="33829"/>
    <cellStyle name="Normal 29 6 2 2" xfId="33830"/>
    <cellStyle name="Normal 29 6 2 2 2" xfId="33831"/>
    <cellStyle name="Normal 29 6 2 3" xfId="33832"/>
    <cellStyle name="Normal 29 6 3" xfId="33833"/>
    <cellStyle name="Normal 29 6 3 2" xfId="33834"/>
    <cellStyle name="Normal 29 6 4" xfId="33835"/>
    <cellStyle name="Normal 29 7" xfId="33836"/>
    <cellStyle name="Normal 29 7 2" xfId="33837"/>
    <cellStyle name="Normal 29 7 2 2" xfId="33838"/>
    <cellStyle name="Normal 29 7 3" xfId="33839"/>
    <cellStyle name="Normal 29 8" xfId="33840"/>
    <cellStyle name="Normal 29 8 2" xfId="33841"/>
    <cellStyle name="Normal 29 9" xfId="33842"/>
    <cellStyle name="Normal 3" xfId="4"/>
    <cellStyle name="Normal 3 10" xfId="18218"/>
    <cellStyle name="Normal 3 10 2" xfId="33843"/>
    <cellStyle name="Normal 3 10 2 2" xfId="33844"/>
    <cellStyle name="Normal 3 10 2 2 2" xfId="33845"/>
    <cellStyle name="Normal 3 10 2 3" xfId="33846"/>
    <cellStyle name="Normal 3 10 3" xfId="33847"/>
    <cellStyle name="Normal 3 10 3 2" xfId="33848"/>
    <cellStyle name="Normal 3 10 4" xfId="33849"/>
    <cellStyle name="Normal 3 11" xfId="18219"/>
    <cellStyle name="Normal 3 12" xfId="19269"/>
    <cellStyle name="Normal 3 13" xfId="33850"/>
    <cellStyle name="Normal 3 13 2" xfId="33851"/>
    <cellStyle name="Normal 3 14" xfId="33852"/>
    <cellStyle name="Normal 3 14 2" xfId="33853"/>
    <cellStyle name="Normal 3 14 2 2" xfId="33854"/>
    <cellStyle name="Normal 3 14 2 2 2" xfId="33855"/>
    <cellStyle name="Normal 3 14 2 3" xfId="33856"/>
    <cellStyle name="Normal 3 14 3" xfId="33857"/>
    <cellStyle name="Normal 3 14 3 2" xfId="33858"/>
    <cellStyle name="Normal 3 14 4" xfId="33859"/>
    <cellStyle name="Normal 3 15" xfId="33860"/>
    <cellStyle name="Normal 3 15 2" xfId="33861"/>
    <cellStyle name="Normal 3 16" xfId="33862"/>
    <cellStyle name="Normal 3 17" xfId="33863"/>
    <cellStyle name="Normal 3 18" xfId="71"/>
    <cellStyle name="Normal 3 2" xfId="10070"/>
    <cellStyle name="Normal 3 2 2" xfId="18220"/>
    <cellStyle name="Normal 3 2 3" xfId="18221"/>
    <cellStyle name="Normal 3 2 3 2" xfId="33864"/>
    <cellStyle name="Normal 3 2 4" xfId="18222"/>
    <cellStyle name="Normal 3 2 4 2" xfId="33865"/>
    <cellStyle name="Normal 3 2 4 2 2" xfId="33866"/>
    <cellStyle name="Normal 3 2 4 2 2 2" xfId="33867"/>
    <cellStyle name="Normal 3 2 4 2 3" xfId="33868"/>
    <cellStyle name="Normal 3 2 4 3" xfId="33869"/>
    <cellStyle name="Normal 3 2 4 3 2" xfId="33870"/>
    <cellStyle name="Normal 3 2 4 4" xfId="33871"/>
    <cellStyle name="Normal 3 2 5" xfId="18223"/>
    <cellStyle name="Normal 3 2 5 2" xfId="33872"/>
    <cellStyle name="Normal 3 2 5 2 2" xfId="33873"/>
    <cellStyle name="Normal 3 2 5 2 2 2" xfId="33874"/>
    <cellStyle name="Normal 3 2 5 2 3" xfId="33875"/>
    <cellStyle name="Normal 3 2 5 3" xfId="33876"/>
    <cellStyle name="Normal 3 2 5 3 2" xfId="33877"/>
    <cellStyle name="Normal 3 2 5 4" xfId="33878"/>
    <cellStyle name="Normal 3 2 6" xfId="33879"/>
    <cellStyle name="Normal 3 2 6 2" xfId="33880"/>
    <cellStyle name="Normal 3 2 6 2 2" xfId="33881"/>
    <cellStyle name="Normal 3 2 6 2 2 2" xfId="33882"/>
    <cellStyle name="Normal 3 2 6 2 3" xfId="33883"/>
    <cellStyle name="Normal 3 2 6 3" xfId="33884"/>
    <cellStyle name="Normal 3 2 6 3 2" xfId="33885"/>
    <cellStyle name="Normal 3 2 6 4" xfId="33886"/>
    <cellStyle name="Normal 3 2 7" xfId="33887"/>
    <cellStyle name="Normal 3 2 7 2" xfId="33888"/>
    <cellStyle name="Normal 3 2 7 2 2" xfId="33889"/>
    <cellStyle name="Normal 3 2 7 2 2 2" xfId="33890"/>
    <cellStyle name="Normal 3 2 7 2 3" xfId="33891"/>
    <cellStyle name="Normal 3 2 7 3" xfId="33892"/>
    <cellStyle name="Normal 3 2 7 3 2" xfId="33893"/>
    <cellStyle name="Normal 3 2 7 4" xfId="33894"/>
    <cellStyle name="Normal 3 2 8" xfId="33895"/>
    <cellStyle name="Normal 3 3" xfId="10071"/>
    <cellStyle name="Normal 3 3 2" xfId="10072"/>
    <cellStyle name="Normal 3 3 2 2" xfId="19270"/>
    <cellStyle name="Normal 3 3 3" xfId="18224"/>
    <cellStyle name="Normal 3 3 4" xfId="18225"/>
    <cellStyle name="Normal 3 3 5" xfId="33896"/>
    <cellStyle name="Normal 3 4" xfId="10073"/>
    <cellStyle name="Normal 3 4 2" xfId="18226"/>
    <cellStyle name="Normal 3 4 3" xfId="18227"/>
    <cellStyle name="Normal 3 5" xfId="10074"/>
    <cellStyle name="Normal 3 5 2" xfId="18228"/>
    <cellStyle name="Normal 3 5 3" xfId="18229"/>
    <cellStyle name="Normal 3 6" xfId="10075"/>
    <cellStyle name="Normal 3 6 2" xfId="18230"/>
    <cellStyle name="Normal 3 6 3" xfId="18231"/>
    <cellStyle name="Normal 3 7" xfId="10076"/>
    <cellStyle name="Normal 3 7 2" xfId="10077"/>
    <cellStyle name="Normal 3 7 2 2" xfId="19271"/>
    <cellStyle name="Normal 3 7 3" xfId="18232"/>
    <cellStyle name="Normal 3 8" xfId="10078"/>
    <cellStyle name="Normal 3 8 2" xfId="18233"/>
    <cellStyle name="Normal 3 8 3" xfId="18234"/>
    <cellStyle name="Normal 3 9" xfId="10079"/>
    <cellStyle name="Normal 3 9 2" xfId="19315"/>
    <cellStyle name="Normal 3 9 3" xfId="33897"/>
    <cellStyle name="Normal 30" xfId="10080"/>
    <cellStyle name="Normal 30 2" xfId="19272"/>
    <cellStyle name="Normal 30 3" xfId="33898"/>
    <cellStyle name="Normal 31" xfId="10081"/>
    <cellStyle name="Normal 31 2" xfId="19273"/>
    <cellStyle name="Normal 31 3" xfId="33899"/>
    <cellStyle name="Normal 32" xfId="16669"/>
    <cellStyle name="Normal 32 10" xfId="33900"/>
    <cellStyle name="Normal 32 2" xfId="18235"/>
    <cellStyle name="Normal 32 2 2" xfId="18236"/>
    <cellStyle name="Normal 32 2 2 2" xfId="18237"/>
    <cellStyle name="Normal 32 2 2 2 2" xfId="18238"/>
    <cellStyle name="Normal 32 2 2 2 2 2" xfId="18239"/>
    <cellStyle name="Normal 32 2 2 2 2 2 2" xfId="33901"/>
    <cellStyle name="Normal 32 2 2 2 2 2 2 2" xfId="33902"/>
    <cellStyle name="Normal 32 2 2 2 2 2 2 2 2" xfId="33903"/>
    <cellStyle name="Normal 32 2 2 2 2 2 2 3" xfId="33904"/>
    <cellStyle name="Normal 32 2 2 2 2 2 3" xfId="33905"/>
    <cellStyle name="Normal 32 2 2 2 2 2 3 2" xfId="33906"/>
    <cellStyle name="Normal 32 2 2 2 2 2 4" xfId="33907"/>
    <cellStyle name="Normal 32 2 2 2 2 3" xfId="33908"/>
    <cellStyle name="Normal 32 2 2 2 2 3 2" xfId="33909"/>
    <cellStyle name="Normal 32 2 2 2 2 3 2 2" xfId="33910"/>
    <cellStyle name="Normal 32 2 2 2 2 3 3" xfId="33911"/>
    <cellStyle name="Normal 32 2 2 2 2 4" xfId="33912"/>
    <cellStyle name="Normal 32 2 2 2 2 4 2" xfId="33913"/>
    <cellStyle name="Normal 32 2 2 2 2 5" xfId="33914"/>
    <cellStyle name="Normal 32 2 2 2 3" xfId="18240"/>
    <cellStyle name="Normal 32 2 2 2 3 2" xfId="33915"/>
    <cellStyle name="Normal 32 2 2 2 3 2 2" xfId="33916"/>
    <cellStyle name="Normal 32 2 2 2 3 2 2 2" xfId="33917"/>
    <cellStyle name="Normal 32 2 2 2 3 2 3" xfId="33918"/>
    <cellStyle name="Normal 32 2 2 2 3 3" xfId="33919"/>
    <cellStyle name="Normal 32 2 2 2 3 3 2" xfId="33920"/>
    <cellStyle name="Normal 32 2 2 2 3 4" xfId="33921"/>
    <cellStyle name="Normal 32 2 2 2 4" xfId="33922"/>
    <cellStyle name="Normal 32 2 2 2 4 2" xfId="33923"/>
    <cellStyle name="Normal 32 2 2 2 4 2 2" xfId="33924"/>
    <cellStyle name="Normal 32 2 2 2 4 3" xfId="33925"/>
    <cellStyle name="Normal 32 2 2 2 5" xfId="33926"/>
    <cellStyle name="Normal 32 2 2 2 5 2" xfId="33927"/>
    <cellStyle name="Normal 32 2 2 2 6" xfId="33928"/>
    <cellStyle name="Normal 32 2 2 3" xfId="18241"/>
    <cellStyle name="Normal 32 2 2 3 2" xfId="18242"/>
    <cellStyle name="Normal 32 2 2 3 2 2" xfId="33929"/>
    <cellStyle name="Normal 32 2 2 3 2 2 2" xfId="33930"/>
    <cellStyle name="Normal 32 2 2 3 2 2 2 2" xfId="33931"/>
    <cellStyle name="Normal 32 2 2 3 2 2 3" xfId="33932"/>
    <cellStyle name="Normal 32 2 2 3 2 3" xfId="33933"/>
    <cellStyle name="Normal 32 2 2 3 2 3 2" xfId="33934"/>
    <cellStyle name="Normal 32 2 2 3 2 4" xfId="33935"/>
    <cellStyle name="Normal 32 2 2 3 3" xfId="33936"/>
    <cellStyle name="Normal 32 2 2 3 3 2" xfId="33937"/>
    <cellStyle name="Normal 32 2 2 3 3 2 2" xfId="33938"/>
    <cellStyle name="Normal 32 2 2 3 3 3" xfId="33939"/>
    <cellStyle name="Normal 32 2 2 3 4" xfId="33940"/>
    <cellStyle name="Normal 32 2 2 3 4 2" xfId="33941"/>
    <cellStyle name="Normal 32 2 2 3 5" xfId="33942"/>
    <cellStyle name="Normal 32 2 2 4" xfId="18243"/>
    <cellStyle name="Normal 32 2 2 4 2" xfId="33943"/>
    <cellStyle name="Normal 32 2 2 4 2 2" xfId="33944"/>
    <cellStyle name="Normal 32 2 2 4 2 2 2" xfId="33945"/>
    <cellStyle name="Normal 32 2 2 4 2 3" xfId="33946"/>
    <cellStyle name="Normal 32 2 2 4 3" xfId="33947"/>
    <cellStyle name="Normal 32 2 2 4 3 2" xfId="33948"/>
    <cellStyle name="Normal 32 2 2 4 4" xfId="33949"/>
    <cellStyle name="Normal 32 2 2 5" xfId="33950"/>
    <cellStyle name="Normal 32 2 2 5 2" xfId="33951"/>
    <cellStyle name="Normal 32 2 2 5 2 2" xfId="33952"/>
    <cellStyle name="Normal 32 2 2 5 3" xfId="33953"/>
    <cellStyle name="Normal 32 2 2 6" xfId="33954"/>
    <cellStyle name="Normal 32 2 2 6 2" xfId="33955"/>
    <cellStyle name="Normal 32 2 2 7" xfId="33956"/>
    <cellStyle name="Normal 32 2 3" xfId="18244"/>
    <cellStyle name="Normal 32 2 3 2" xfId="18245"/>
    <cellStyle name="Normal 32 2 3 2 2" xfId="18246"/>
    <cellStyle name="Normal 32 2 3 2 2 2" xfId="33957"/>
    <cellStyle name="Normal 32 2 3 2 2 2 2" xfId="33958"/>
    <cellStyle name="Normal 32 2 3 2 2 2 2 2" xfId="33959"/>
    <cellStyle name="Normal 32 2 3 2 2 2 3" xfId="33960"/>
    <cellStyle name="Normal 32 2 3 2 2 3" xfId="33961"/>
    <cellStyle name="Normal 32 2 3 2 2 3 2" xfId="33962"/>
    <cellStyle name="Normal 32 2 3 2 2 4" xfId="33963"/>
    <cellStyle name="Normal 32 2 3 2 3" xfId="33964"/>
    <cellStyle name="Normal 32 2 3 2 3 2" xfId="33965"/>
    <cellStyle name="Normal 32 2 3 2 3 2 2" xfId="33966"/>
    <cellStyle name="Normal 32 2 3 2 3 3" xfId="33967"/>
    <cellStyle name="Normal 32 2 3 2 4" xfId="33968"/>
    <cellStyle name="Normal 32 2 3 2 4 2" xfId="33969"/>
    <cellStyle name="Normal 32 2 3 2 5" xfId="33970"/>
    <cellStyle name="Normal 32 2 3 3" xfId="18247"/>
    <cellStyle name="Normal 32 2 3 3 2" xfId="33971"/>
    <cellStyle name="Normal 32 2 3 3 2 2" xfId="33972"/>
    <cellStyle name="Normal 32 2 3 3 2 2 2" xfId="33973"/>
    <cellStyle name="Normal 32 2 3 3 2 3" xfId="33974"/>
    <cellStyle name="Normal 32 2 3 3 3" xfId="33975"/>
    <cellStyle name="Normal 32 2 3 3 3 2" xfId="33976"/>
    <cellStyle name="Normal 32 2 3 3 4" xfId="33977"/>
    <cellStyle name="Normal 32 2 3 4" xfId="33978"/>
    <cellStyle name="Normal 32 2 3 4 2" xfId="33979"/>
    <cellStyle name="Normal 32 2 3 4 2 2" xfId="33980"/>
    <cellStyle name="Normal 32 2 3 4 3" xfId="33981"/>
    <cellStyle name="Normal 32 2 3 5" xfId="33982"/>
    <cellStyle name="Normal 32 2 3 5 2" xfId="33983"/>
    <cellStyle name="Normal 32 2 3 6" xfId="33984"/>
    <cellStyle name="Normal 32 2 4" xfId="18248"/>
    <cellStyle name="Normal 32 2 4 2" xfId="18249"/>
    <cellStyle name="Normal 32 2 4 2 2" xfId="33985"/>
    <cellStyle name="Normal 32 2 4 2 2 2" xfId="33986"/>
    <cellStyle name="Normal 32 2 4 2 2 2 2" xfId="33987"/>
    <cellStyle name="Normal 32 2 4 2 2 3" xfId="33988"/>
    <cellStyle name="Normal 32 2 4 2 3" xfId="33989"/>
    <cellStyle name="Normal 32 2 4 2 3 2" xfId="33990"/>
    <cellStyle name="Normal 32 2 4 2 4" xfId="33991"/>
    <cellStyle name="Normal 32 2 4 3" xfId="33992"/>
    <cellStyle name="Normal 32 2 4 3 2" xfId="33993"/>
    <cellStyle name="Normal 32 2 4 3 2 2" xfId="33994"/>
    <cellStyle name="Normal 32 2 4 3 3" xfId="33995"/>
    <cellStyle name="Normal 32 2 4 4" xfId="33996"/>
    <cellStyle name="Normal 32 2 4 4 2" xfId="33997"/>
    <cellStyle name="Normal 32 2 4 5" xfId="33998"/>
    <cellStyle name="Normal 32 2 5" xfId="18250"/>
    <cellStyle name="Normal 32 2 5 2" xfId="33999"/>
    <cellStyle name="Normal 32 2 5 2 2" xfId="34000"/>
    <cellStyle name="Normal 32 2 5 2 2 2" xfId="34001"/>
    <cellStyle name="Normal 32 2 5 2 3" xfId="34002"/>
    <cellStyle name="Normal 32 2 5 3" xfId="34003"/>
    <cellStyle name="Normal 32 2 5 3 2" xfId="34004"/>
    <cellStyle name="Normal 32 2 5 4" xfId="34005"/>
    <cellStyle name="Normal 32 2 6" xfId="34006"/>
    <cellStyle name="Normal 32 2 6 2" xfId="34007"/>
    <cellStyle name="Normal 32 2 6 2 2" xfId="34008"/>
    <cellStyle name="Normal 32 2 6 3" xfId="34009"/>
    <cellStyle name="Normal 32 2 7" xfId="34010"/>
    <cellStyle name="Normal 32 2 7 2" xfId="34011"/>
    <cellStyle name="Normal 32 2 8" xfId="34012"/>
    <cellStyle name="Normal 32 3" xfId="18251"/>
    <cellStyle name="Normal 32 3 2" xfId="18252"/>
    <cellStyle name="Normal 32 3 2 2" xfId="18253"/>
    <cellStyle name="Normal 32 3 2 2 2" xfId="18254"/>
    <cellStyle name="Normal 32 3 2 2 2 2" xfId="34013"/>
    <cellStyle name="Normal 32 3 2 2 2 2 2" xfId="34014"/>
    <cellStyle name="Normal 32 3 2 2 2 2 2 2" xfId="34015"/>
    <cellStyle name="Normal 32 3 2 2 2 2 3" xfId="34016"/>
    <cellStyle name="Normal 32 3 2 2 2 3" xfId="34017"/>
    <cellStyle name="Normal 32 3 2 2 2 3 2" xfId="34018"/>
    <cellStyle name="Normal 32 3 2 2 2 4" xfId="34019"/>
    <cellStyle name="Normal 32 3 2 2 3" xfId="34020"/>
    <cellStyle name="Normal 32 3 2 2 3 2" xfId="34021"/>
    <cellStyle name="Normal 32 3 2 2 3 2 2" xfId="34022"/>
    <cellStyle name="Normal 32 3 2 2 3 3" xfId="34023"/>
    <cellStyle name="Normal 32 3 2 2 4" xfId="34024"/>
    <cellStyle name="Normal 32 3 2 2 4 2" xfId="34025"/>
    <cellStyle name="Normal 32 3 2 2 5" xfId="34026"/>
    <cellStyle name="Normal 32 3 2 3" xfId="18255"/>
    <cellStyle name="Normal 32 3 2 3 2" xfId="34027"/>
    <cellStyle name="Normal 32 3 2 3 2 2" xfId="34028"/>
    <cellStyle name="Normal 32 3 2 3 2 2 2" xfId="34029"/>
    <cellStyle name="Normal 32 3 2 3 2 3" xfId="34030"/>
    <cellStyle name="Normal 32 3 2 3 3" xfId="34031"/>
    <cellStyle name="Normal 32 3 2 3 3 2" xfId="34032"/>
    <cellStyle name="Normal 32 3 2 3 4" xfId="34033"/>
    <cellStyle name="Normal 32 3 2 4" xfId="34034"/>
    <cellStyle name="Normal 32 3 2 4 2" xfId="34035"/>
    <cellStyle name="Normal 32 3 2 4 2 2" xfId="34036"/>
    <cellStyle name="Normal 32 3 2 4 3" xfId="34037"/>
    <cellStyle name="Normal 32 3 2 5" xfId="34038"/>
    <cellStyle name="Normal 32 3 2 5 2" xfId="34039"/>
    <cellStyle name="Normal 32 3 2 6" xfId="34040"/>
    <cellStyle name="Normal 32 3 3" xfId="18256"/>
    <cellStyle name="Normal 32 3 3 2" xfId="18257"/>
    <cellStyle name="Normal 32 3 3 2 2" xfId="34041"/>
    <cellStyle name="Normal 32 3 3 2 2 2" xfId="34042"/>
    <cellStyle name="Normal 32 3 3 2 2 2 2" xfId="34043"/>
    <cellStyle name="Normal 32 3 3 2 2 3" xfId="34044"/>
    <cellStyle name="Normal 32 3 3 2 3" xfId="34045"/>
    <cellStyle name="Normal 32 3 3 2 3 2" xfId="34046"/>
    <cellStyle name="Normal 32 3 3 2 4" xfId="34047"/>
    <cellStyle name="Normal 32 3 3 3" xfId="34048"/>
    <cellStyle name="Normal 32 3 3 3 2" xfId="34049"/>
    <cellStyle name="Normal 32 3 3 3 2 2" xfId="34050"/>
    <cellStyle name="Normal 32 3 3 3 3" xfId="34051"/>
    <cellStyle name="Normal 32 3 3 4" xfId="34052"/>
    <cellStyle name="Normal 32 3 3 4 2" xfId="34053"/>
    <cellStyle name="Normal 32 3 3 5" xfId="34054"/>
    <cellStyle name="Normal 32 3 4" xfId="18258"/>
    <cellStyle name="Normal 32 3 4 2" xfId="34055"/>
    <cellStyle name="Normal 32 3 4 2 2" xfId="34056"/>
    <cellStyle name="Normal 32 3 4 2 2 2" xfId="34057"/>
    <cellStyle name="Normal 32 3 4 2 3" xfId="34058"/>
    <cellStyle name="Normal 32 3 4 3" xfId="34059"/>
    <cellStyle name="Normal 32 3 4 3 2" xfId="34060"/>
    <cellStyle name="Normal 32 3 4 4" xfId="34061"/>
    <cellStyle name="Normal 32 3 5" xfId="34062"/>
    <cellStyle name="Normal 32 3 5 2" xfId="34063"/>
    <cellStyle name="Normal 32 3 5 2 2" xfId="34064"/>
    <cellStyle name="Normal 32 3 5 3" xfId="34065"/>
    <cellStyle name="Normal 32 3 6" xfId="34066"/>
    <cellStyle name="Normal 32 3 6 2" xfId="34067"/>
    <cellStyle name="Normal 32 3 7" xfId="34068"/>
    <cellStyle name="Normal 32 4" xfId="18259"/>
    <cellStyle name="Normal 32 4 2" xfId="18260"/>
    <cellStyle name="Normal 32 4 2 2" xfId="18261"/>
    <cellStyle name="Normal 32 4 2 2 2" xfId="34069"/>
    <cellStyle name="Normal 32 4 2 2 2 2" xfId="34070"/>
    <cellStyle name="Normal 32 4 2 2 2 2 2" xfId="34071"/>
    <cellStyle name="Normal 32 4 2 2 2 3" xfId="34072"/>
    <cellStyle name="Normal 32 4 2 2 3" xfId="34073"/>
    <cellStyle name="Normal 32 4 2 2 3 2" xfId="34074"/>
    <cellStyle name="Normal 32 4 2 2 4" xfId="34075"/>
    <cellStyle name="Normal 32 4 2 3" xfId="34076"/>
    <cellStyle name="Normal 32 4 2 3 2" xfId="34077"/>
    <cellStyle name="Normal 32 4 2 3 2 2" xfId="34078"/>
    <cellStyle name="Normal 32 4 2 3 3" xfId="34079"/>
    <cellStyle name="Normal 32 4 2 4" xfId="34080"/>
    <cellStyle name="Normal 32 4 2 4 2" xfId="34081"/>
    <cellStyle name="Normal 32 4 2 5" xfId="34082"/>
    <cellStyle name="Normal 32 4 3" xfId="18262"/>
    <cellStyle name="Normal 32 4 3 2" xfId="34083"/>
    <cellStyle name="Normal 32 4 3 2 2" xfId="34084"/>
    <cellStyle name="Normal 32 4 3 2 2 2" xfId="34085"/>
    <cellStyle name="Normal 32 4 3 2 3" xfId="34086"/>
    <cellStyle name="Normal 32 4 3 3" xfId="34087"/>
    <cellStyle name="Normal 32 4 3 3 2" xfId="34088"/>
    <cellStyle name="Normal 32 4 3 4" xfId="34089"/>
    <cellStyle name="Normal 32 4 4" xfId="34090"/>
    <cellStyle name="Normal 32 4 4 2" xfId="34091"/>
    <cellStyle name="Normal 32 4 4 2 2" xfId="34092"/>
    <cellStyle name="Normal 32 4 4 3" xfId="34093"/>
    <cellStyle name="Normal 32 4 5" xfId="34094"/>
    <cellStyle name="Normal 32 4 5 2" xfId="34095"/>
    <cellStyle name="Normal 32 4 6" xfId="34096"/>
    <cellStyle name="Normal 32 5" xfId="18263"/>
    <cellStyle name="Normal 32 5 2" xfId="18264"/>
    <cellStyle name="Normal 32 5 2 2" xfId="34097"/>
    <cellStyle name="Normal 32 5 2 2 2" xfId="34098"/>
    <cellStyle name="Normal 32 5 2 2 2 2" xfId="34099"/>
    <cellStyle name="Normal 32 5 2 2 3" xfId="34100"/>
    <cellStyle name="Normal 32 5 2 3" xfId="34101"/>
    <cellStyle name="Normal 32 5 2 3 2" xfId="34102"/>
    <cellStyle name="Normal 32 5 2 4" xfId="34103"/>
    <cellStyle name="Normal 32 5 3" xfId="34104"/>
    <cellStyle name="Normal 32 5 3 2" xfId="34105"/>
    <cellStyle name="Normal 32 5 3 2 2" xfId="34106"/>
    <cellStyle name="Normal 32 5 3 3" xfId="34107"/>
    <cellStyle name="Normal 32 5 4" xfId="34108"/>
    <cellStyle name="Normal 32 5 4 2" xfId="34109"/>
    <cellStyle name="Normal 32 5 5" xfId="34110"/>
    <cellStyle name="Normal 32 6" xfId="18265"/>
    <cellStyle name="Normal 32 6 2" xfId="34111"/>
    <cellStyle name="Normal 32 6 2 2" xfId="34112"/>
    <cellStyle name="Normal 32 6 2 2 2" xfId="34113"/>
    <cellStyle name="Normal 32 6 2 3" xfId="34114"/>
    <cellStyle name="Normal 32 6 3" xfId="34115"/>
    <cellStyle name="Normal 32 6 3 2" xfId="34116"/>
    <cellStyle name="Normal 32 6 4" xfId="34117"/>
    <cellStyle name="Normal 32 7" xfId="34118"/>
    <cellStyle name="Normal 32 7 2" xfId="34119"/>
    <cellStyle name="Normal 32 7 2 2" xfId="34120"/>
    <cellStyle name="Normal 32 7 3" xfId="34121"/>
    <cellStyle name="Normal 32 8" xfId="34122"/>
    <cellStyle name="Normal 32 8 2" xfId="34123"/>
    <cellStyle name="Normal 32 9" xfId="34124"/>
    <cellStyle name="Normal 33" xfId="16670"/>
    <cellStyle name="Normal 33 10" xfId="34125"/>
    <cellStyle name="Normal 33 2" xfId="18266"/>
    <cellStyle name="Normal 33 2 2" xfId="18267"/>
    <cellStyle name="Normal 33 2 2 2" xfId="18268"/>
    <cellStyle name="Normal 33 2 2 2 2" xfId="18269"/>
    <cellStyle name="Normal 33 2 2 2 2 2" xfId="18270"/>
    <cellStyle name="Normal 33 2 2 2 2 2 2" xfId="18271"/>
    <cellStyle name="Normal 33 2 2 2 2 2 2 2" xfId="34126"/>
    <cellStyle name="Normal 33 2 2 2 2 2 2 2 2" xfId="34127"/>
    <cellStyle name="Normal 33 2 2 2 2 2 2 2 2 2" xfId="34128"/>
    <cellStyle name="Normal 33 2 2 2 2 2 2 2 3" xfId="34129"/>
    <cellStyle name="Normal 33 2 2 2 2 2 2 3" xfId="34130"/>
    <cellStyle name="Normal 33 2 2 2 2 2 2 3 2" xfId="34131"/>
    <cellStyle name="Normal 33 2 2 2 2 2 2 4" xfId="34132"/>
    <cellStyle name="Normal 33 2 2 2 2 2 3" xfId="34133"/>
    <cellStyle name="Normal 33 2 2 2 2 2 3 2" xfId="34134"/>
    <cellStyle name="Normal 33 2 2 2 2 2 3 2 2" xfId="34135"/>
    <cellStyle name="Normal 33 2 2 2 2 2 3 3" xfId="34136"/>
    <cellStyle name="Normal 33 2 2 2 2 2 4" xfId="34137"/>
    <cellStyle name="Normal 33 2 2 2 2 2 4 2" xfId="34138"/>
    <cellStyle name="Normal 33 2 2 2 2 2 5" xfId="34139"/>
    <cellStyle name="Normal 33 2 2 2 2 3" xfId="18272"/>
    <cellStyle name="Normal 33 2 2 2 2 3 2" xfId="34140"/>
    <cellStyle name="Normal 33 2 2 2 2 3 2 2" xfId="34141"/>
    <cellStyle name="Normal 33 2 2 2 2 3 2 2 2" xfId="34142"/>
    <cellStyle name="Normal 33 2 2 2 2 3 2 3" xfId="34143"/>
    <cellStyle name="Normal 33 2 2 2 2 3 3" xfId="34144"/>
    <cellStyle name="Normal 33 2 2 2 2 3 3 2" xfId="34145"/>
    <cellStyle name="Normal 33 2 2 2 2 3 4" xfId="34146"/>
    <cellStyle name="Normal 33 2 2 2 2 4" xfId="34147"/>
    <cellStyle name="Normal 33 2 2 2 2 4 2" xfId="34148"/>
    <cellStyle name="Normal 33 2 2 2 2 4 2 2" xfId="34149"/>
    <cellStyle name="Normal 33 2 2 2 2 4 3" xfId="34150"/>
    <cellStyle name="Normal 33 2 2 2 2 5" xfId="34151"/>
    <cellStyle name="Normal 33 2 2 2 2 5 2" xfId="34152"/>
    <cellStyle name="Normal 33 2 2 2 2 6" xfId="34153"/>
    <cellStyle name="Normal 33 2 2 2 3" xfId="18273"/>
    <cellStyle name="Normal 33 2 2 2 3 2" xfId="18274"/>
    <cellStyle name="Normal 33 2 2 2 3 2 2" xfId="34154"/>
    <cellStyle name="Normal 33 2 2 2 3 2 2 2" xfId="34155"/>
    <cellStyle name="Normal 33 2 2 2 3 2 2 2 2" xfId="34156"/>
    <cellStyle name="Normal 33 2 2 2 3 2 2 3" xfId="34157"/>
    <cellStyle name="Normal 33 2 2 2 3 2 3" xfId="34158"/>
    <cellStyle name="Normal 33 2 2 2 3 2 3 2" xfId="34159"/>
    <cellStyle name="Normal 33 2 2 2 3 2 4" xfId="34160"/>
    <cellStyle name="Normal 33 2 2 2 3 3" xfId="34161"/>
    <cellStyle name="Normal 33 2 2 2 3 3 2" xfId="34162"/>
    <cellStyle name="Normal 33 2 2 2 3 3 2 2" xfId="34163"/>
    <cellStyle name="Normal 33 2 2 2 3 3 3" xfId="34164"/>
    <cellStyle name="Normal 33 2 2 2 3 4" xfId="34165"/>
    <cellStyle name="Normal 33 2 2 2 3 4 2" xfId="34166"/>
    <cellStyle name="Normal 33 2 2 2 3 5" xfId="34167"/>
    <cellStyle name="Normal 33 2 2 2 4" xfId="18275"/>
    <cellStyle name="Normal 33 2 2 2 4 2" xfId="34168"/>
    <cellStyle name="Normal 33 2 2 2 4 2 2" xfId="34169"/>
    <cellStyle name="Normal 33 2 2 2 4 2 2 2" xfId="34170"/>
    <cellStyle name="Normal 33 2 2 2 4 2 3" xfId="34171"/>
    <cellStyle name="Normal 33 2 2 2 4 3" xfId="34172"/>
    <cellStyle name="Normal 33 2 2 2 4 3 2" xfId="34173"/>
    <cellStyle name="Normal 33 2 2 2 4 4" xfId="34174"/>
    <cellStyle name="Normal 33 2 2 2 5" xfId="34175"/>
    <cellStyle name="Normal 33 2 2 2 5 2" xfId="34176"/>
    <cellStyle name="Normal 33 2 2 2 5 2 2" xfId="34177"/>
    <cellStyle name="Normal 33 2 2 2 5 3" xfId="34178"/>
    <cellStyle name="Normal 33 2 2 2 6" xfId="34179"/>
    <cellStyle name="Normal 33 2 2 2 6 2" xfId="34180"/>
    <cellStyle name="Normal 33 2 2 2 7" xfId="34181"/>
    <cellStyle name="Normal 33 2 2 3" xfId="18276"/>
    <cellStyle name="Normal 33 2 2 3 2" xfId="18277"/>
    <cellStyle name="Normal 33 2 2 3 2 2" xfId="18278"/>
    <cellStyle name="Normal 33 2 2 3 2 2 2" xfId="34182"/>
    <cellStyle name="Normal 33 2 2 3 2 2 2 2" xfId="34183"/>
    <cellStyle name="Normal 33 2 2 3 2 2 2 2 2" xfId="34184"/>
    <cellStyle name="Normal 33 2 2 3 2 2 2 3" xfId="34185"/>
    <cellStyle name="Normal 33 2 2 3 2 2 3" xfId="34186"/>
    <cellStyle name="Normal 33 2 2 3 2 2 3 2" xfId="34187"/>
    <cellStyle name="Normal 33 2 2 3 2 2 4" xfId="34188"/>
    <cellStyle name="Normal 33 2 2 3 2 3" xfId="34189"/>
    <cellStyle name="Normal 33 2 2 3 2 3 2" xfId="34190"/>
    <cellStyle name="Normal 33 2 2 3 2 3 2 2" xfId="34191"/>
    <cellStyle name="Normal 33 2 2 3 2 3 3" xfId="34192"/>
    <cellStyle name="Normal 33 2 2 3 2 4" xfId="34193"/>
    <cellStyle name="Normal 33 2 2 3 2 4 2" xfId="34194"/>
    <cellStyle name="Normal 33 2 2 3 2 5" xfId="34195"/>
    <cellStyle name="Normal 33 2 2 3 3" xfId="18279"/>
    <cellStyle name="Normal 33 2 2 3 3 2" xfId="34196"/>
    <cellStyle name="Normal 33 2 2 3 3 2 2" xfId="34197"/>
    <cellStyle name="Normal 33 2 2 3 3 2 2 2" xfId="34198"/>
    <cellStyle name="Normal 33 2 2 3 3 2 3" xfId="34199"/>
    <cellStyle name="Normal 33 2 2 3 3 3" xfId="34200"/>
    <cellStyle name="Normal 33 2 2 3 3 3 2" xfId="34201"/>
    <cellStyle name="Normal 33 2 2 3 3 4" xfId="34202"/>
    <cellStyle name="Normal 33 2 2 3 4" xfId="34203"/>
    <cellStyle name="Normal 33 2 2 3 4 2" xfId="34204"/>
    <cellStyle name="Normal 33 2 2 3 4 2 2" xfId="34205"/>
    <cellStyle name="Normal 33 2 2 3 4 3" xfId="34206"/>
    <cellStyle name="Normal 33 2 2 3 5" xfId="34207"/>
    <cellStyle name="Normal 33 2 2 3 5 2" xfId="34208"/>
    <cellStyle name="Normal 33 2 2 3 6" xfId="34209"/>
    <cellStyle name="Normal 33 2 2 4" xfId="18280"/>
    <cellStyle name="Normal 33 2 2 4 2" xfId="18281"/>
    <cellStyle name="Normal 33 2 2 4 2 2" xfId="34210"/>
    <cellStyle name="Normal 33 2 2 4 2 2 2" xfId="34211"/>
    <cellStyle name="Normal 33 2 2 4 2 2 2 2" xfId="34212"/>
    <cellStyle name="Normal 33 2 2 4 2 2 3" xfId="34213"/>
    <cellStyle name="Normal 33 2 2 4 2 3" xfId="34214"/>
    <cellStyle name="Normal 33 2 2 4 2 3 2" xfId="34215"/>
    <cellStyle name="Normal 33 2 2 4 2 4" xfId="34216"/>
    <cellStyle name="Normal 33 2 2 4 3" xfId="34217"/>
    <cellStyle name="Normal 33 2 2 4 3 2" xfId="34218"/>
    <cellStyle name="Normal 33 2 2 4 3 2 2" xfId="34219"/>
    <cellStyle name="Normal 33 2 2 4 3 3" xfId="34220"/>
    <cellStyle name="Normal 33 2 2 4 4" xfId="34221"/>
    <cellStyle name="Normal 33 2 2 4 4 2" xfId="34222"/>
    <cellStyle name="Normal 33 2 2 4 5" xfId="34223"/>
    <cellStyle name="Normal 33 2 2 5" xfId="18282"/>
    <cellStyle name="Normal 33 2 2 5 2" xfId="34224"/>
    <cellStyle name="Normal 33 2 2 5 2 2" xfId="34225"/>
    <cellStyle name="Normal 33 2 2 5 2 2 2" xfId="34226"/>
    <cellStyle name="Normal 33 2 2 5 2 3" xfId="34227"/>
    <cellStyle name="Normal 33 2 2 5 3" xfId="34228"/>
    <cellStyle name="Normal 33 2 2 5 3 2" xfId="34229"/>
    <cellStyle name="Normal 33 2 2 5 4" xfId="34230"/>
    <cellStyle name="Normal 33 2 2 6" xfId="34231"/>
    <cellStyle name="Normal 33 2 2 6 2" xfId="34232"/>
    <cellStyle name="Normal 33 2 2 6 2 2" xfId="34233"/>
    <cellStyle name="Normal 33 2 2 6 3" xfId="34234"/>
    <cellStyle name="Normal 33 2 2 7" xfId="34235"/>
    <cellStyle name="Normal 33 2 2 7 2" xfId="34236"/>
    <cellStyle name="Normal 33 2 2 8" xfId="34237"/>
    <cellStyle name="Normal 33 2 3" xfId="18283"/>
    <cellStyle name="Normal 33 2 3 2" xfId="18284"/>
    <cellStyle name="Normal 33 2 3 2 2" xfId="18285"/>
    <cellStyle name="Normal 33 2 3 2 2 2" xfId="18286"/>
    <cellStyle name="Normal 33 2 3 2 2 2 2" xfId="34238"/>
    <cellStyle name="Normal 33 2 3 2 2 2 2 2" xfId="34239"/>
    <cellStyle name="Normal 33 2 3 2 2 2 2 2 2" xfId="34240"/>
    <cellStyle name="Normal 33 2 3 2 2 2 2 3" xfId="34241"/>
    <cellStyle name="Normal 33 2 3 2 2 2 3" xfId="34242"/>
    <cellStyle name="Normal 33 2 3 2 2 2 3 2" xfId="34243"/>
    <cellStyle name="Normal 33 2 3 2 2 2 4" xfId="34244"/>
    <cellStyle name="Normal 33 2 3 2 2 3" xfId="34245"/>
    <cellStyle name="Normal 33 2 3 2 2 3 2" xfId="34246"/>
    <cellStyle name="Normal 33 2 3 2 2 3 2 2" xfId="34247"/>
    <cellStyle name="Normal 33 2 3 2 2 3 3" xfId="34248"/>
    <cellStyle name="Normal 33 2 3 2 2 4" xfId="34249"/>
    <cellStyle name="Normal 33 2 3 2 2 4 2" xfId="34250"/>
    <cellStyle name="Normal 33 2 3 2 2 5" xfId="34251"/>
    <cellStyle name="Normal 33 2 3 2 3" xfId="18287"/>
    <cellStyle name="Normal 33 2 3 2 3 2" xfId="34252"/>
    <cellStyle name="Normal 33 2 3 2 3 2 2" xfId="34253"/>
    <cellStyle name="Normal 33 2 3 2 3 2 2 2" xfId="34254"/>
    <cellStyle name="Normal 33 2 3 2 3 2 3" xfId="34255"/>
    <cellStyle name="Normal 33 2 3 2 3 3" xfId="34256"/>
    <cellStyle name="Normal 33 2 3 2 3 3 2" xfId="34257"/>
    <cellStyle name="Normal 33 2 3 2 3 4" xfId="34258"/>
    <cellStyle name="Normal 33 2 3 2 4" xfId="34259"/>
    <cellStyle name="Normal 33 2 3 2 4 2" xfId="34260"/>
    <cellStyle name="Normal 33 2 3 2 4 2 2" xfId="34261"/>
    <cellStyle name="Normal 33 2 3 2 4 3" xfId="34262"/>
    <cellStyle name="Normal 33 2 3 2 5" xfId="34263"/>
    <cellStyle name="Normal 33 2 3 2 5 2" xfId="34264"/>
    <cellStyle name="Normal 33 2 3 2 6" xfId="34265"/>
    <cellStyle name="Normal 33 2 3 3" xfId="18288"/>
    <cellStyle name="Normal 33 2 3 3 2" xfId="18289"/>
    <cellStyle name="Normal 33 2 3 3 2 2" xfId="34266"/>
    <cellStyle name="Normal 33 2 3 3 2 2 2" xfId="34267"/>
    <cellStyle name="Normal 33 2 3 3 2 2 2 2" xfId="34268"/>
    <cellStyle name="Normal 33 2 3 3 2 2 3" xfId="34269"/>
    <cellStyle name="Normal 33 2 3 3 2 3" xfId="34270"/>
    <cellStyle name="Normal 33 2 3 3 2 3 2" xfId="34271"/>
    <cellStyle name="Normal 33 2 3 3 2 4" xfId="34272"/>
    <cellStyle name="Normal 33 2 3 3 3" xfId="34273"/>
    <cellStyle name="Normal 33 2 3 3 3 2" xfId="34274"/>
    <cellStyle name="Normal 33 2 3 3 3 2 2" xfId="34275"/>
    <cellStyle name="Normal 33 2 3 3 3 3" xfId="34276"/>
    <cellStyle name="Normal 33 2 3 3 4" xfId="34277"/>
    <cellStyle name="Normal 33 2 3 3 4 2" xfId="34278"/>
    <cellStyle name="Normal 33 2 3 3 5" xfId="34279"/>
    <cellStyle name="Normal 33 2 3 4" xfId="18290"/>
    <cellStyle name="Normal 33 2 3 4 2" xfId="34280"/>
    <cellStyle name="Normal 33 2 3 4 2 2" xfId="34281"/>
    <cellStyle name="Normal 33 2 3 4 2 2 2" xfId="34282"/>
    <cellStyle name="Normal 33 2 3 4 2 3" xfId="34283"/>
    <cellStyle name="Normal 33 2 3 4 3" xfId="34284"/>
    <cellStyle name="Normal 33 2 3 4 3 2" xfId="34285"/>
    <cellStyle name="Normal 33 2 3 4 4" xfId="34286"/>
    <cellStyle name="Normal 33 2 3 5" xfId="34287"/>
    <cellStyle name="Normal 33 2 3 5 2" xfId="34288"/>
    <cellStyle name="Normal 33 2 3 5 2 2" xfId="34289"/>
    <cellStyle name="Normal 33 2 3 5 3" xfId="34290"/>
    <cellStyle name="Normal 33 2 3 6" xfId="34291"/>
    <cellStyle name="Normal 33 2 3 6 2" xfId="34292"/>
    <cellStyle name="Normal 33 2 3 7" xfId="34293"/>
    <cellStyle name="Normal 33 2 4" xfId="18291"/>
    <cellStyle name="Normal 33 2 4 2" xfId="18292"/>
    <cellStyle name="Normal 33 2 4 2 2" xfId="18293"/>
    <cellStyle name="Normal 33 2 4 2 2 2" xfId="34294"/>
    <cellStyle name="Normal 33 2 4 2 2 2 2" xfId="34295"/>
    <cellStyle name="Normal 33 2 4 2 2 2 2 2" xfId="34296"/>
    <cellStyle name="Normal 33 2 4 2 2 2 3" xfId="34297"/>
    <cellStyle name="Normal 33 2 4 2 2 3" xfId="34298"/>
    <cellStyle name="Normal 33 2 4 2 2 3 2" xfId="34299"/>
    <cellStyle name="Normal 33 2 4 2 2 4" xfId="34300"/>
    <cellStyle name="Normal 33 2 4 2 3" xfId="34301"/>
    <cellStyle name="Normal 33 2 4 2 3 2" xfId="34302"/>
    <cellStyle name="Normal 33 2 4 2 3 2 2" xfId="34303"/>
    <cellStyle name="Normal 33 2 4 2 3 3" xfId="34304"/>
    <cellStyle name="Normal 33 2 4 2 4" xfId="34305"/>
    <cellStyle name="Normal 33 2 4 2 4 2" xfId="34306"/>
    <cellStyle name="Normal 33 2 4 2 5" xfId="34307"/>
    <cellStyle name="Normal 33 2 4 3" xfId="18294"/>
    <cellStyle name="Normal 33 2 4 3 2" xfId="34308"/>
    <cellStyle name="Normal 33 2 4 3 2 2" xfId="34309"/>
    <cellStyle name="Normal 33 2 4 3 2 2 2" xfId="34310"/>
    <cellStyle name="Normal 33 2 4 3 2 3" xfId="34311"/>
    <cellStyle name="Normal 33 2 4 3 3" xfId="34312"/>
    <cellStyle name="Normal 33 2 4 3 3 2" xfId="34313"/>
    <cellStyle name="Normal 33 2 4 3 4" xfId="34314"/>
    <cellStyle name="Normal 33 2 4 4" xfId="34315"/>
    <cellStyle name="Normal 33 2 4 4 2" xfId="34316"/>
    <cellStyle name="Normal 33 2 4 4 2 2" xfId="34317"/>
    <cellStyle name="Normal 33 2 4 4 3" xfId="34318"/>
    <cellStyle name="Normal 33 2 4 5" xfId="34319"/>
    <cellStyle name="Normal 33 2 4 5 2" xfId="34320"/>
    <cellStyle name="Normal 33 2 4 6" xfId="34321"/>
    <cellStyle name="Normal 33 2 5" xfId="18295"/>
    <cellStyle name="Normal 33 2 5 2" xfId="18296"/>
    <cellStyle name="Normal 33 2 5 2 2" xfId="34322"/>
    <cellStyle name="Normal 33 2 5 2 2 2" xfId="34323"/>
    <cellStyle name="Normal 33 2 5 2 2 2 2" xfId="34324"/>
    <cellStyle name="Normal 33 2 5 2 2 3" xfId="34325"/>
    <cellStyle name="Normal 33 2 5 2 3" xfId="34326"/>
    <cellStyle name="Normal 33 2 5 2 3 2" xfId="34327"/>
    <cellStyle name="Normal 33 2 5 2 4" xfId="34328"/>
    <cellStyle name="Normal 33 2 5 3" xfId="34329"/>
    <cellStyle name="Normal 33 2 5 3 2" xfId="34330"/>
    <cellStyle name="Normal 33 2 5 3 2 2" xfId="34331"/>
    <cellStyle name="Normal 33 2 5 3 3" xfId="34332"/>
    <cellStyle name="Normal 33 2 5 4" xfId="34333"/>
    <cellStyle name="Normal 33 2 5 4 2" xfId="34334"/>
    <cellStyle name="Normal 33 2 5 5" xfId="34335"/>
    <cellStyle name="Normal 33 2 6" xfId="18297"/>
    <cellStyle name="Normal 33 2 6 2" xfId="34336"/>
    <cellStyle name="Normal 33 2 6 2 2" xfId="34337"/>
    <cellStyle name="Normal 33 2 6 2 2 2" xfId="34338"/>
    <cellStyle name="Normal 33 2 6 2 3" xfId="34339"/>
    <cellStyle name="Normal 33 2 6 3" xfId="34340"/>
    <cellStyle name="Normal 33 2 6 3 2" xfId="34341"/>
    <cellStyle name="Normal 33 2 6 4" xfId="34342"/>
    <cellStyle name="Normal 33 2 7" xfId="34343"/>
    <cellStyle name="Normal 33 2 7 2" xfId="34344"/>
    <cellStyle name="Normal 33 2 7 2 2" xfId="34345"/>
    <cellStyle name="Normal 33 2 7 3" xfId="34346"/>
    <cellStyle name="Normal 33 2 8" xfId="34347"/>
    <cellStyle name="Normal 33 2 8 2" xfId="34348"/>
    <cellStyle name="Normal 33 2 9" xfId="34349"/>
    <cellStyle name="Normal 33 3" xfId="18298"/>
    <cellStyle name="Normal 33 3 2" xfId="18299"/>
    <cellStyle name="Normal 33 3 2 2" xfId="18300"/>
    <cellStyle name="Normal 33 3 2 2 2" xfId="18301"/>
    <cellStyle name="Normal 33 3 2 2 2 2" xfId="34350"/>
    <cellStyle name="Normal 33 3 2 2 2 2 2" xfId="34351"/>
    <cellStyle name="Normal 33 3 2 2 2 2 2 2" xfId="34352"/>
    <cellStyle name="Normal 33 3 2 2 2 2 3" xfId="34353"/>
    <cellStyle name="Normal 33 3 2 2 2 3" xfId="34354"/>
    <cellStyle name="Normal 33 3 2 2 2 3 2" xfId="34355"/>
    <cellStyle name="Normal 33 3 2 2 2 4" xfId="34356"/>
    <cellStyle name="Normal 33 3 2 2 3" xfId="34357"/>
    <cellStyle name="Normal 33 3 2 2 3 2" xfId="34358"/>
    <cellStyle name="Normal 33 3 2 2 3 2 2" xfId="34359"/>
    <cellStyle name="Normal 33 3 2 2 3 3" xfId="34360"/>
    <cellStyle name="Normal 33 3 2 2 4" xfId="34361"/>
    <cellStyle name="Normal 33 3 2 2 4 2" xfId="34362"/>
    <cellStyle name="Normal 33 3 2 2 5" xfId="34363"/>
    <cellStyle name="Normal 33 3 2 3" xfId="18302"/>
    <cellStyle name="Normal 33 3 2 3 2" xfId="34364"/>
    <cellStyle name="Normal 33 3 2 3 2 2" xfId="34365"/>
    <cellStyle name="Normal 33 3 2 3 2 2 2" xfId="34366"/>
    <cellStyle name="Normal 33 3 2 3 2 3" xfId="34367"/>
    <cellStyle name="Normal 33 3 2 3 3" xfId="34368"/>
    <cellStyle name="Normal 33 3 2 3 3 2" xfId="34369"/>
    <cellStyle name="Normal 33 3 2 3 4" xfId="34370"/>
    <cellStyle name="Normal 33 3 2 4" xfId="34371"/>
    <cellStyle name="Normal 33 3 2 4 2" xfId="34372"/>
    <cellStyle name="Normal 33 3 2 4 2 2" xfId="34373"/>
    <cellStyle name="Normal 33 3 2 4 3" xfId="34374"/>
    <cellStyle name="Normal 33 3 2 5" xfId="34375"/>
    <cellStyle name="Normal 33 3 2 5 2" xfId="34376"/>
    <cellStyle name="Normal 33 3 2 6" xfId="34377"/>
    <cellStyle name="Normal 33 3 3" xfId="18303"/>
    <cellStyle name="Normal 33 3 3 2" xfId="18304"/>
    <cellStyle name="Normal 33 3 3 2 2" xfId="34378"/>
    <cellStyle name="Normal 33 3 3 2 2 2" xfId="34379"/>
    <cellStyle name="Normal 33 3 3 2 2 2 2" xfId="34380"/>
    <cellStyle name="Normal 33 3 3 2 2 3" xfId="34381"/>
    <cellStyle name="Normal 33 3 3 2 3" xfId="34382"/>
    <cellStyle name="Normal 33 3 3 2 3 2" xfId="34383"/>
    <cellStyle name="Normal 33 3 3 2 4" xfId="34384"/>
    <cellStyle name="Normal 33 3 3 3" xfId="34385"/>
    <cellStyle name="Normal 33 3 3 3 2" xfId="34386"/>
    <cellStyle name="Normal 33 3 3 3 2 2" xfId="34387"/>
    <cellStyle name="Normal 33 3 3 3 3" xfId="34388"/>
    <cellStyle name="Normal 33 3 3 4" xfId="34389"/>
    <cellStyle name="Normal 33 3 3 4 2" xfId="34390"/>
    <cellStyle name="Normal 33 3 3 5" xfId="34391"/>
    <cellStyle name="Normal 33 3 4" xfId="18305"/>
    <cellStyle name="Normal 33 3 4 2" xfId="34392"/>
    <cellStyle name="Normal 33 3 4 2 2" xfId="34393"/>
    <cellStyle name="Normal 33 3 4 2 2 2" xfId="34394"/>
    <cellStyle name="Normal 33 3 4 2 3" xfId="34395"/>
    <cellStyle name="Normal 33 3 4 3" xfId="34396"/>
    <cellStyle name="Normal 33 3 4 3 2" xfId="34397"/>
    <cellStyle name="Normal 33 3 4 4" xfId="34398"/>
    <cellStyle name="Normal 33 3 5" xfId="34399"/>
    <cellStyle name="Normal 33 3 5 2" xfId="34400"/>
    <cellStyle name="Normal 33 3 5 2 2" xfId="34401"/>
    <cellStyle name="Normal 33 3 5 3" xfId="34402"/>
    <cellStyle name="Normal 33 3 6" xfId="34403"/>
    <cellStyle name="Normal 33 3 6 2" xfId="34404"/>
    <cellStyle name="Normal 33 3 7" xfId="34405"/>
    <cellStyle name="Normal 33 4" xfId="18306"/>
    <cellStyle name="Normal 33 4 2" xfId="18307"/>
    <cellStyle name="Normal 33 4 2 2" xfId="18308"/>
    <cellStyle name="Normal 33 4 2 2 2" xfId="34406"/>
    <cellStyle name="Normal 33 4 2 2 2 2" xfId="34407"/>
    <cellStyle name="Normal 33 4 2 2 2 2 2" xfId="34408"/>
    <cellStyle name="Normal 33 4 2 2 2 3" xfId="34409"/>
    <cellStyle name="Normal 33 4 2 2 3" xfId="34410"/>
    <cellStyle name="Normal 33 4 2 2 3 2" xfId="34411"/>
    <cellStyle name="Normal 33 4 2 2 4" xfId="34412"/>
    <cellStyle name="Normal 33 4 2 3" xfId="34413"/>
    <cellStyle name="Normal 33 4 2 3 2" xfId="34414"/>
    <cellStyle name="Normal 33 4 2 3 2 2" xfId="34415"/>
    <cellStyle name="Normal 33 4 2 3 3" xfId="34416"/>
    <cellStyle name="Normal 33 4 2 4" xfId="34417"/>
    <cellStyle name="Normal 33 4 2 4 2" xfId="34418"/>
    <cellStyle name="Normal 33 4 2 5" xfId="34419"/>
    <cellStyle name="Normal 33 4 3" xfId="18309"/>
    <cellStyle name="Normal 33 4 3 2" xfId="34420"/>
    <cellStyle name="Normal 33 4 3 2 2" xfId="34421"/>
    <cellStyle name="Normal 33 4 3 2 2 2" xfId="34422"/>
    <cellStyle name="Normal 33 4 3 2 3" xfId="34423"/>
    <cellStyle name="Normal 33 4 3 3" xfId="34424"/>
    <cellStyle name="Normal 33 4 3 3 2" xfId="34425"/>
    <cellStyle name="Normal 33 4 3 4" xfId="34426"/>
    <cellStyle name="Normal 33 4 4" xfId="34427"/>
    <cellStyle name="Normal 33 4 4 2" xfId="34428"/>
    <cellStyle name="Normal 33 4 4 2 2" xfId="34429"/>
    <cellStyle name="Normal 33 4 4 3" xfId="34430"/>
    <cellStyle name="Normal 33 4 5" xfId="34431"/>
    <cellStyle name="Normal 33 4 5 2" xfId="34432"/>
    <cellStyle name="Normal 33 4 6" xfId="34433"/>
    <cellStyle name="Normal 33 5" xfId="18310"/>
    <cellStyle name="Normal 33 5 2" xfId="18311"/>
    <cellStyle name="Normal 33 5 2 2" xfId="34434"/>
    <cellStyle name="Normal 33 5 2 2 2" xfId="34435"/>
    <cellStyle name="Normal 33 5 2 2 2 2" xfId="34436"/>
    <cellStyle name="Normal 33 5 2 2 3" xfId="34437"/>
    <cellStyle name="Normal 33 5 2 3" xfId="34438"/>
    <cellStyle name="Normal 33 5 2 3 2" xfId="34439"/>
    <cellStyle name="Normal 33 5 2 4" xfId="34440"/>
    <cellStyle name="Normal 33 5 3" xfId="34441"/>
    <cellStyle name="Normal 33 5 3 2" xfId="34442"/>
    <cellStyle name="Normal 33 5 3 2 2" xfId="34443"/>
    <cellStyle name="Normal 33 5 3 3" xfId="34444"/>
    <cellStyle name="Normal 33 5 4" xfId="34445"/>
    <cellStyle name="Normal 33 5 4 2" xfId="34446"/>
    <cellStyle name="Normal 33 5 5" xfId="34447"/>
    <cellStyle name="Normal 33 6" xfId="18312"/>
    <cellStyle name="Normal 33 6 2" xfId="34448"/>
    <cellStyle name="Normal 33 6 2 2" xfId="34449"/>
    <cellStyle name="Normal 33 6 2 2 2" xfId="34450"/>
    <cellStyle name="Normal 33 6 2 3" xfId="34451"/>
    <cellStyle name="Normal 33 6 3" xfId="34452"/>
    <cellStyle name="Normal 33 6 3 2" xfId="34453"/>
    <cellStyle name="Normal 33 6 4" xfId="34454"/>
    <cellStyle name="Normal 33 7" xfId="34455"/>
    <cellStyle name="Normal 33 7 2" xfId="34456"/>
    <cellStyle name="Normal 33 7 2 2" xfId="34457"/>
    <cellStyle name="Normal 33 7 3" xfId="34458"/>
    <cellStyle name="Normal 33 8" xfId="34459"/>
    <cellStyle name="Normal 33 8 2" xfId="34460"/>
    <cellStyle name="Normal 33 9" xfId="34461"/>
    <cellStyle name="Normal 34" xfId="16671"/>
    <cellStyle name="Normal 34 2" xfId="18313"/>
    <cellStyle name="Normal 34 3" xfId="34462"/>
    <cellStyle name="Normal 35" xfId="16673"/>
    <cellStyle name="Normal 35 2" xfId="18314"/>
    <cellStyle name="Normal 36" xfId="16674"/>
    <cellStyle name="Normal 36 2" xfId="18315"/>
    <cellStyle name="Normal 36 2 2" xfId="18316"/>
    <cellStyle name="Normal 36 2 2 2" xfId="18317"/>
    <cellStyle name="Normal 36 2 2 2 2" xfId="18318"/>
    <cellStyle name="Normal 36 2 2 2 2 2" xfId="34463"/>
    <cellStyle name="Normal 36 2 2 2 2 2 2" xfId="34464"/>
    <cellStyle name="Normal 36 2 2 2 2 2 2 2" xfId="34465"/>
    <cellStyle name="Normal 36 2 2 2 2 2 3" xfId="34466"/>
    <cellStyle name="Normal 36 2 2 2 2 3" xfId="34467"/>
    <cellStyle name="Normal 36 2 2 2 2 3 2" xfId="34468"/>
    <cellStyle name="Normal 36 2 2 2 2 4" xfId="34469"/>
    <cellStyle name="Normal 36 2 2 2 3" xfId="34470"/>
    <cellStyle name="Normal 36 2 2 2 3 2" xfId="34471"/>
    <cellStyle name="Normal 36 2 2 2 3 2 2" xfId="34472"/>
    <cellStyle name="Normal 36 2 2 2 3 3" xfId="34473"/>
    <cellStyle name="Normal 36 2 2 2 4" xfId="34474"/>
    <cellStyle name="Normal 36 2 2 2 4 2" xfId="34475"/>
    <cellStyle name="Normal 36 2 2 2 5" xfId="34476"/>
    <cellStyle name="Normal 36 2 2 3" xfId="18319"/>
    <cellStyle name="Normal 36 2 2 3 2" xfId="34477"/>
    <cellStyle name="Normal 36 2 2 3 2 2" xfId="34478"/>
    <cellStyle name="Normal 36 2 2 3 2 2 2" xfId="34479"/>
    <cellStyle name="Normal 36 2 2 3 2 3" xfId="34480"/>
    <cellStyle name="Normal 36 2 2 3 3" xfId="34481"/>
    <cellStyle name="Normal 36 2 2 3 3 2" xfId="34482"/>
    <cellStyle name="Normal 36 2 2 3 4" xfId="34483"/>
    <cellStyle name="Normal 36 2 2 4" xfId="34484"/>
    <cellStyle name="Normal 36 2 2 4 2" xfId="34485"/>
    <cellStyle name="Normal 36 2 2 4 2 2" xfId="34486"/>
    <cellStyle name="Normal 36 2 2 4 3" xfId="34487"/>
    <cellStyle name="Normal 36 2 2 5" xfId="34488"/>
    <cellStyle name="Normal 36 2 2 5 2" xfId="34489"/>
    <cellStyle name="Normal 36 2 2 6" xfId="34490"/>
    <cellStyle name="Normal 36 2 3" xfId="18320"/>
    <cellStyle name="Normal 36 2 3 2" xfId="18321"/>
    <cellStyle name="Normal 36 2 3 2 2" xfId="34491"/>
    <cellStyle name="Normal 36 2 3 2 2 2" xfId="34492"/>
    <cellStyle name="Normal 36 2 3 2 2 2 2" xfId="34493"/>
    <cellStyle name="Normal 36 2 3 2 2 3" xfId="34494"/>
    <cellStyle name="Normal 36 2 3 2 3" xfId="34495"/>
    <cellStyle name="Normal 36 2 3 2 3 2" xfId="34496"/>
    <cellStyle name="Normal 36 2 3 2 4" xfId="34497"/>
    <cellStyle name="Normal 36 2 3 3" xfId="34498"/>
    <cellStyle name="Normal 36 2 3 3 2" xfId="34499"/>
    <cellStyle name="Normal 36 2 3 3 2 2" xfId="34500"/>
    <cellStyle name="Normal 36 2 3 3 3" xfId="34501"/>
    <cellStyle name="Normal 36 2 3 4" xfId="34502"/>
    <cellStyle name="Normal 36 2 3 4 2" xfId="34503"/>
    <cellStyle name="Normal 36 2 3 5" xfId="34504"/>
    <cellStyle name="Normal 36 2 4" xfId="18322"/>
    <cellStyle name="Normal 36 2 4 2" xfId="34505"/>
    <cellStyle name="Normal 36 2 4 2 2" xfId="34506"/>
    <cellStyle name="Normal 36 2 4 2 2 2" xfId="34507"/>
    <cellStyle name="Normal 36 2 4 2 3" xfId="34508"/>
    <cellStyle name="Normal 36 2 4 3" xfId="34509"/>
    <cellStyle name="Normal 36 2 4 3 2" xfId="34510"/>
    <cellStyle name="Normal 36 2 4 4" xfId="34511"/>
    <cellStyle name="Normal 36 2 5" xfId="34512"/>
    <cellStyle name="Normal 36 2 5 2" xfId="34513"/>
    <cellStyle name="Normal 36 2 5 2 2" xfId="34514"/>
    <cellStyle name="Normal 36 2 5 3" xfId="34515"/>
    <cellStyle name="Normal 36 2 6" xfId="34516"/>
    <cellStyle name="Normal 36 2 6 2" xfId="34517"/>
    <cellStyle name="Normal 36 2 7" xfId="34518"/>
    <cellStyle name="Normal 36 3" xfId="18323"/>
    <cellStyle name="Normal 36 3 2" xfId="18324"/>
    <cellStyle name="Normal 36 3 2 2" xfId="18325"/>
    <cellStyle name="Normal 36 3 2 2 2" xfId="34519"/>
    <cellStyle name="Normal 36 3 2 2 2 2" xfId="34520"/>
    <cellStyle name="Normal 36 3 2 2 2 2 2" xfId="34521"/>
    <cellStyle name="Normal 36 3 2 2 2 3" xfId="34522"/>
    <cellStyle name="Normal 36 3 2 2 3" xfId="34523"/>
    <cellStyle name="Normal 36 3 2 2 3 2" xfId="34524"/>
    <cellStyle name="Normal 36 3 2 2 4" xfId="34525"/>
    <cellStyle name="Normal 36 3 2 3" xfId="34526"/>
    <cellStyle name="Normal 36 3 2 3 2" xfId="34527"/>
    <cellStyle name="Normal 36 3 2 3 2 2" xfId="34528"/>
    <cellStyle name="Normal 36 3 2 3 3" xfId="34529"/>
    <cellStyle name="Normal 36 3 2 4" xfId="34530"/>
    <cellStyle name="Normal 36 3 2 4 2" xfId="34531"/>
    <cellStyle name="Normal 36 3 2 5" xfId="34532"/>
    <cellStyle name="Normal 36 3 3" xfId="18326"/>
    <cellStyle name="Normal 36 3 3 2" xfId="34533"/>
    <cellStyle name="Normal 36 3 3 2 2" xfId="34534"/>
    <cellStyle name="Normal 36 3 3 2 2 2" xfId="34535"/>
    <cellStyle name="Normal 36 3 3 2 3" xfId="34536"/>
    <cellStyle name="Normal 36 3 3 3" xfId="34537"/>
    <cellStyle name="Normal 36 3 3 3 2" xfId="34538"/>
    <cellStyle name="Normal 36 3 3 4" xfId="34539"/>
    <cellStyle name="Normal 36 3 4" xfId="34540"/>
    <cellStyle name="Normal 36 3 4 2" xfId="34541"/>
    <cellStyle name="Normal 36 3 4 2 2" xfId="34542"/>
    <cellStyle name="Normal 36 3 4 3" xfId="34543"/>
    <cellStyle name="Normal 36 3 5" xfId="34544"/>
    <cellStyle name="Normal 36 3 5 2" xfId="34545"/>
    <cellStyle name="Normal 36 3 6" xfId="34546"/>
    <cellStyle name="Normal 36 4" xfId="18327"/>
    <cellStyle name="Normal 36 4 2" xfId="18328"/>
    <cellStyle name="Normal 36 4 2 2" xfId="34547"/>
    <cellStyle name="Normal 36 4 2 2 2" xfId="34548"/>
    <cellStyle name="Normal 36 4 2 2 2 2" xfId="34549"/>
    <cellStyle name="Normal 36 4 2 2 3" xfId="34550"/>
    <cellStyle name="Normal 36 4 2 3" xfId="34551"/>
    <cellStyle name="Normal 36 4 2 3 2" xfId="34552"/>
    <cellStyle name="Normal 36 4 2 4" xfId="34553"/>
    <cellStyle name="Normal 36 4 3" xfId="34554"/>
    <cellStyle name="Normal 36 4 3 2" xfId="34555"/>
    <cellStyle name="Normal 36 4 3 2 2" xfId="34556"/>
    <cellStyle name="Normal 36 4 3 3" xfId="34557"/>
    <cellStyle name="Normal 36 4 4" xfId="34558"/>
    <cellStyle name="Normal 36 4 4 2" xfId="34559"/>
    <cellStyle name="Normal 36 4 5" xfId="34560"/>
    <cellStyle name="Normal 36 5" xfId="18329"/>
    <cellStyle name="Normal 36 5 2" xfId="34561"/>
    <cellStyle name="Normal 36 5 2 2" xfId="34562"/>
    <cellStyle name="Normal 36 5 2 2 2" xfId="34563"/>
    <cellStyle name="Normal 36 5 2 3" xfId="34564"/>
    <cellStyle name="Normal 36 5 3" xfId="34565"/>
    <cellStyle name="Normal 36 5 3 2" xfId="34566"/>
    <cellStyle name="Normal 36 5 4" xfId="34567"/>
    <cellStyle name="Normal 36 6" xfId="34568"/>
    <cellStyle name="Normal 36 6 2" xfId="34569"/>
    <cellStyle name="Normal 36 6 2 2" xfId="34570"/>
    <cellStyle name="Normal 36 6 3" xfId="34571"/>
    <cellStyle name="Normal 36 7" xfId="34572"/>
    <cellStyle name="Normal 36 7 2" xfId="34573"/>
    <cellStyle name="Normal 36 8" xfId="34574"/>
    <cellStyle name="Normal 37" xfId="18330"/>
    <cellStyle name="Normal 37 2" xfId="18331"/>
    <cellStyle name="Normal 37 2 2" xfId="18332"/>
    <cellStyle name="Normal 37 2 2 2" xfId="18333"/>
    <cellStyle name="Normal 37 2 2 2 2" xfId="18334"/>
    <cellStyle name="Normal 37 2 2 2 2 2" xfId="34575"/>
    <cellStyle name="Normal 37 2 2 2 2 2 2" xfId="34576"/>
    <cellStyle name="Normal 37 2 2 2 2 2 2 2" xfId="34577"/>
    <cellStyle name="Normal 37 2 2 2 2 2 3" xfId="34578"/>
    <cellStyle name="Normal 37 2 2 2 2 3" xfId="34579"/>
    <cellStyle name="Normal 37 2 2 2 2 3 2" xfId="34580"/>
    <cellStyle name="Normal 37 2 2 2 2 4" xfId="34581"/>
    <cellStyle name="Normal 37 2 2 2 3" xfId="34582"/>
    <cellStyle name="Normal 37 2 2 2 3 2" xfId="34583"/>
    <cellStyle name="Normal 37 2 2 2 3 2 2" xfId="34584"/>
    <cellStyle name="Normal 37 2 2 2 3 3" xfId="34585"/>
    <cellStyle name="Normal 37 2 2 2 4" xfId="34586"/>
    <cellStyle name="Normal 37 2 2 2 4 2" xfId="34587"/>
    <cellStyle name="Normal 37 2 2 2 5" xfId="34588"/>
    <cellStyle name="Normal 37 2 2 3" xfId="18335"/>
    <cellStyle name="Normal 37 2 2 3 2" xfId="34589"/>
    <cellStyle name="Normal 37 2 2 3 2 2" xfId="34590"/>
    <cellStyle name="Normal 37 2 2 3 2 2 2" xfId="34591"/>
    <cellStyle name="Normal 37 2 2 3 2 3" xfId="34592"/>
    <cellStyle name="Normal 37 2 2 3 3" xfId="34593"/>
    <cellStyle name="Normal 37 2 2 3 3 2" xfId="34594"/>
    <cellStyle name="Normal 37 2 2 3 4" xfId="34595"/>
    <cellStyle name="Normal 37 2 2 4" xfId="34596"/>
    <cellStyle name="Normal 37 2 2 4 2" xfId="34597"/>
    <cellStyle name="Normal 37 2 2 4 2 2" xfId="34598"/>
    <cellStyle name="Normal 37 2 2 4 3" xfId="34599"/>
    <cellStyle name="Normal 37 2 2 5" xfId="34600"/>
    <cellStyle name="Normal 37 2 2 5 2" xfId="34601"/>
    <cellStyle name="Normal 37 2 2 6" xfId="34602"/>
    <cellStyle name="Normal 37 2 3" xfId="18336"/>
    <cellStyle name="Normal 37 2 3 2" xfId="18337"/>
    <cellStyle name="Normal 37 2 3 2 2" xfId="34603"/>
    <cellStyle name="Normal 37 2 3 2 2 2" xfId="34604"/>
    <cellStyle name="Normal 37 2 3 2 2 2 2" xfId="34605"/>
    <cellStyle name="Normal 37 2 3 2 2 3" xfId="34606"/>
    <cellStyle name="Normal 37 2 3 2 3" xfId="34607"/>
    <cellStyle name="Normal 37 2 3 2 3 2" xfId="34608"/>
    <cellStyle name="Normal 37 2 3 2 4" xfId="34609"/>
    <cellStyle name="Normal 37 2 3 3" xfId="34610"/>
    <cellStyle name="Normal 37 2 3 3 2" xfId="34611"/>
    <cellStyle name="Normal 37 2 3 3 2 2" xfId="34612"/>
    <cellStyle name="Normal 37 2 3 3 3" xfId="34613"/>
    <cellStyle name="Normal 37 2 3 4" xfId="34614"/>
    <cellStyle name="Normal 37 2 3 4 2" xfId="34615"/>
    <cellStyle name="Normal 37 2 3 5" xfId="34616"/>
    <cellStyle name="Normal 37 2 4" xfId="18338"/>
    <cellStyle name="Normal 37 2 4 2" xfId="34617"/>
    <cellStyle name="Normal 37 2 4 2 2" xfId="34618"/>
    <cellStyle name="Normal 37 2 4 2 2 2" xfId="34619"/>
    <cellStyle name="Normal 37 2 4 2 3" xfId="34620"/>
    <cellStyle name="Normal 37 2 4 3" xfId="34621"/>
    <cellStyle name="Normal 37 2 4 3 2" xfId="34622"/>
    <cellStyle name="Normal 37 2 4 4" xfId="34623"/>
    <cellStyle name="Normal 37 2 5" xfId="34624"/>
    <cellStyle name="Normal 37 2 5 2" xfId="34625"/>
    <cellStyle name="Normal 37 2 5 2 2" xfId="34626"/>
    <cellStyle name="Normal 37 2 5 3" xfId="34627"/>
    <cellStyle name="Normal 37 2 6" xfId="34628"/>
    <cellStyle name="Normal 37 2 6 2" xfId="34629"/>
    <cellStyle name="Normal 37 2 7" xfId="34630"/>
    <cellStyle name="Normal 37 3" xfId="18339"/>
    <cellStyle name="Normal 37 3 2" xfId="18340"/>
    <cellStyle name="Normal 37 3 2 2" xfId="18341"/>
    <cellStyle name="Normal 37 3 2 2 2" xfId="34631"/>
    <cellStyle name="Normal 37 3 2 2 2 2" xfId="34632"/>
    <cellStyle name="Normal 37 3 2 2 2 2 2" xfId="34633"/>
    <cellStyle name="Normal 37 3 2 2 2 3" xfId="34634"/>
    <cellStyle name="Normal 37 3 2 2 3" xfId="34635"/>
    <cellStyle name="Normal 37 3 2 2 3 2" xfId="34636"/>
    <cellStyle name="Normal 37 3 2 2 4" xfId="34637"/>
    <cellStyle name="Normal 37 3 2 3" xfId="34638"/>
    <cellStyle name="Normal 37 3 2 3 2" xfId="34639"/>
    <cellStyle name="Normal 37 3 2 3 2 2" xfId="34640"/>
    <cellStyle name="Normal 37 3 2 3 3" xfId="34641"/>
    <cellStyle name="Normal 37 3 2 4" xfId="34642"/>
    <cellStyle name="Normal 37 3 2 4 2" xfId="34643"/>
    <cellStyle name="Normal 37 3 2 5" xfId="34644"/>
    <cellStyle name="Normal 37 3 3" xfId="18342"/>
    <cellStyle name="Normal 37 3 3 2" xfId="34645"/>
    <cellStyle name="Normal 37 3 3 2 2" xfId="34646"/>
    <cellStyle name="Normal 37 3 3 2 2 2" xfId="34647"/>
    <cellStyle name="Normal 37 3 3 2 3" xfId="34648"/>
    <cellStyle name="Normal 37 3 3 3" xfId="34649"/>
    <cellStyle name="Normal 37 3 3 3 2" xfId="34650"/>
    <cellStyle name="Normal 37 3 3 4" xfId="34651"/>
    <cellStyle name="Normal 37 3 4" xfId="34652"/>
    <cellStyle name="Normal 37 3 4 2" xfId="34653"/>
    <cellStyle name="Normal 37 3 4 2 2" xfId="34654"/>
    <cellStyle name="Normal 37 3 4 3" xfId="34655"/>
    <cellStyle name="Normal 37 3 5" xfId="34656"/>
    <cellStyle name="Normal 37 3 5 2" xfId="34657"/>
    <cellStyle name="Normal 37 3 6" xfId="34658"/>
    <cellStyle name="Normal 37 4" xfId="18343"/>
    <cellStyle name="Normal 37 4 2" xfId="18344"/>
    <cellStyle name="Normal 37 4 2 2" xfId="34659"/>
    <cellStyle name="Normal 37 4 2 2 2" xfId="34660"/>
    <cellStyle name="Normal 37 4 2 2 2 2" xfId="34661"/>
    <cellStyle name="Normal 37 4 2 2 3" xfId="34662"/>
    <cellStyle name="Normal 37 4 2 3" xfId="34663"/>
    <cellStyle name="Normal 37 4 2 3 2" xfId="34664"/>
    <cellStyle name="Normal 37 4 2 4" xfId="34665"/>
    <cellStyle name="Normal 37 4 3" xfId="34666"/>
    <cellStyle name="Normal 37 4 3 2" xfId="34667"/>
    <cellStyle name="Normal 37 4 3 2 2" xfId="34668"/>
    <cellStyle name="Normal 37 4 3 3" xfId="34669"/>
    <cellStyle name="Normal 37 4 4" xfId="34670"/>
    <cellStyle name="Normal 37 4 4 2" xfId="34671"/>
    <cellStyle name="Normal 37 4 5" xfId="34672"/>
    <cellStyle name="Normal 37 5" xfId="18345"/>
    <cellStyle name="Normal 37 5 2" xfId="34673"/>
    <cellStyle name="Normal 37 5 2 2" xfId="34674"/>
    <cellStyle name="Normal 37 5 2 2 2" xfId="34675"/>
    <cellStyle name="Normal 37 5 2 3" xfId="34676"/>
    <cellStyle name="Normal 37 5 3" xfId="34677"/>
    <cellStyle name="Normal 37 5 3 2" xfId="34678"/>
    <cellStyle name="Normal 37 5 4" xfId="34679"/>
    <cellStyle name="Normal 37 6" xfId="34680"/>
    <cellStyle name="Normal 37 6 2" xfId="34681"/>
    <cellStyle name="Normal 37 6 2 2" xfId="34682"/>
    <cellStyle name="Normal 37 6 3" xfId="34683"/>
    <cellStyle name="Normal 37 7" xfId="34684"/>
    <cellStyle name="Normal 37 7 2" xfId="34685"/>
    <cellStyle name="Normal 37 8" xfId="34686"/>
    <cellStyle name="Normal 38" xfId="18346"/>
    <cellStyle name="Normal 38 2" xfId="18347"/>
    <cellStyle name="Normal 38 2 2" xfId="18348"/>
    <cellStyle name="Normal 38 2 2 2" xfId="18349"/>
    <cellStyle name="Normal 38 2 2 2 2" xfId="18350"/>
    <cellStyle name="Normal 38 2 2 2 2 2" xfId="34687"/>
    <cellStyle name="Normal 38 2 2 2 2 2 2" xfId="34688"/>
    <cellStyle name="Normal 38 2 2 2 2 2 2 2" xfId="34689"/>
    <cellStyle name="Normal 38 2 2 2 2 2 3" xfId="34690"/>
    <cellStyle name="Normal 38 2 2 2 2 3" xfId="34691"/>
    <cellStyle name="Normal 38 2 2 2 2 3 2" xfId="34692"/>
    <cellStyle name="Normal 38 2 2 2 2 4" xfId="34693"/>
    <cellStyle name="Normal 38 2 2 2 3" xfId="34694"/>
    <cellStyle name="Normal 38 2 2 2 3 2" xfId="34695"/>
    <cellStyle name="Normal 38 2 2 2 3 2 2" xfId="34696"/>
    <cellStyle name="Normal 38 2 2 2 3 3" xfId="34697"/>
    <cellStyle name="Normal 38 2 2 2 4" xfId="34698"/>
    <cellStyle name="Normal 38 2 2 2 4 2" xfId="34699"/>
    <cellStyle name="Normal 38 2 2 2 5" xfId="34700"/>
    <cellStyle name="Normal 38 2 2 3" xfId="18351"/>
    <cellStyle name="Normal 38 2 2 3 2" xfId="34701"/>
    <cellStyle name="Normal 38 2 2 3 2 2" xfId="34702"/>
    <cellStyle name="Normal 38 2 2 3 2 2 2" xfId="34703"/>
    <cellStyle name="Normal 38 2 2 3 2 3" xfId="34704"/>
    <cellStyle name="Normal 38 2 2 3 3" xfId="34705"/>
    <cellStyle name="Normal 38 2 2 3 3 2" xfId="34706"/>
    <cellStyle name="Normal 38 2 2 3 4" xfId="34707"/>
    <cellStyle name="Normal 38 2 2 4" xfId="34708"/>
    <cellStyle name="Normal 38 2 2 4 2" xfId="34709"/>
    <cellStyle name="Normal 38 2 2 4 2 2" xfId="34710"/>
    <cellStyle name="Normal 38 2 2 4 3" xfId="34711"/>
    <cellStyle name="Normal 38 2 2 5" xfId="34712"/>
    <cellStyle name="Normal 38 2 2 5 2" xfId="34713"/>
    <cellStyle name="Normal 38 2 2 6" xfId="34714"/>
    <cellStyle name="Normal 38 2 3" xfId="18352"/>
    <cellStyle name="Normal 38 2 3 2" xfId="18353"/>
    <cellStyle name="Normal 38 2 3 2 2" xfId="34715"/>
    <cellStyle name="Normal 38 2 3 2 2 2" xfId="34716"/>
    <cellStyle name="Normal 38 2 3 2 2 2 2" xfId="34717"/>
    <cellStyle name="Normal 38 2 3 2 2 3" xfId="34718"/>
    <cellStyle name="Normal 38 2 3 2 3" xfId="34719"/>
    <cellStyle name="Normal 38 2 3 2 3 2" xfId="34720"/>
    <cellStyle name="Normal 38 2 3 2 4" xfId="34721"/>
    <cellStyle name="Normal 38 2 3 3" xfId="34722"/>
    <cellStyle name="Normal 38 2 3 3 2" xfId="34723"/>
    <cellStyle name="Normal 38 2 3 3 2 2" xfId="34724"/>
    <cellStyle name="Normal 38 2 3 3 3" xfId="34725"/>
    <cellStyle name="Normal 38 2 3 4" xfId="34726"/>
    <cellStyle name="Normal 38 2 3 4 2" xfId="34727"/>
    <cellStyle name="Normal 38 2 3 5" xfId="34728"/>
    <cellStyle name="Normal 38 2 4" xfId="18354"/>
    <cellStyle name="Normal 38 2 4 2" xfId="34729"/>
    <cellStyle name="Normal 38 2 4 2 2" xfId="34730"/>
    <cellStyle name="Normal 38 2 4 2 2 2" xfId="34731"/>
    <cellStyle name="Normal 38 2 4 2 3" xfId="34732"/>
    <cellStyle name="Normal 38 2 4 3" xfId="34733"/>
    <cellStyle name="Normal 38 2 4 3 2" xfId="34734"/>
    <cellStyle name="Normal 38 2 4 4" xfId="34735"/>
    <cellStyle name="Normal 38 2 5" xfId="34736"/>
    <cellStyle name="Normal 38 2 5 2" xfId="34737"/>
    <cellStyle name="Normal 38 2 5 2 2" xfId="34738"/>
    <cellStyle name="Normal 38 2 5 3" xfId="34739"/>
    <cellStyle name="Normal 38 2 6" xfId="34740"/>
    <cellStyle name="Normal 38 2 6 2" xfId="34741"/>
    <cellStyle name="Normal 38 2 7" xfId="34742"/>
    <cellStyle name="Normal 38 3" xfId="18355"/>
    <cellStyle name="Normal 38 3 2" xfId="18356"/>
    <cellStyle name="Normal 38 3 2 2" xfId="18357"/>
    <cellStyle name="Normal 38 3 2 2 2" xfId="34743"/>
    <cellStyle name="Normal 38 3 2 2 2 2" xfId="34744"/>
    <cellStyle name="Normal 38 3 2 2 2 2 2" xfId="34745"/>
    <cellStyle name="Normal 38 3 2 2 2 3" xfId="34746"/>
    <cellStyle name="Normal 38 3 2 2 3" xfId="34747"/>
    <cellStyle name="Normal 38 3 2 2 3 2" xfId="34748"/>
    <cellStyle name="Normal 38 3 2 2 4" xfId="34749"/>
    <cellStyle name="Normal 38 3 2 3" xfId="34750"/>
    <cellStyle name="Normal 38 3 2 3 2" xfId="34751"/>
    <cellStyle name="Normal 38 3 2 3 2 2" xfId="34752"/>
    <cellStyle name="Normal 38 3 2 3 3" xfId="34753"/>
    <cellStyle name="Normal 38 3 2 4" xfId="34754"/>
    <cellStyle name="Normal 38 3 2 4 2" xfId="34755"/>
    <cellStyle name="Normal 38 3 2 5" xfId="34756"/>
    <cellStyle name="Normal 38 3 3" xfId="18358"/>
    <cellStyle name="Normal 38 3 3 2" xfId="34757"/>
    <cellStyle name="Normal 38 3 3 2 2" xfId="34758"/>
    <cellStyle name="Normal 38 3 3 2 2 2" xfId="34759"/>
    <cellStyle name="Normal 38 3 3 2 3" xfId="34760"/>
    <cellStyle name="Normal 38 3 3 3" xfId="34761"/>
    <cellStyle name="Normal 38 3 3 3 2" xfId="34762"/>
    <cellStyle name="Normal 38 3 3 4" xfId="34763"/>
    <cellStyle name="Normal 38 3 4" xfId="34764"/>
    <cellStyle name="Normal 38 3 4 2" xfId="34765"/>
    <cellStyle name="Normal 38 3 4 2 2" xfId="34766"/>
    <cellStyle name="Normal 38 3 4 3" xfId="34767"/>
    <cellStyle name="Normal 38 3 5" xfId="34768"/>
    <cellStyle name="Normal 38 3 5 2" xfId="34769"/>
    <cellStyle name="Normal 38 3 6" xfId="34770"/>
    <cellStyle name="Normal 38 4" xfId="18359"/>
    <cellStyle name="Normal 38 4 2" xfId="18360"/>
    <cellStyle name="Normal 38 4 2 2" xfId="34771"/>
    <cellStyle name="Normal 38 4 2 2 2" xfId="34772"/>
    <cellStyle name="Normal 38 4 2 2 2 2" xfId="34773"/>
    <cellStyle name="Normal 38 4 2 2 3" xfId="34774"/>
    <cellStyle name="Normal 38 4 2 3" xfId="34775"/>
    <cellStyle name="Normal 38 4 2 3 2" xfId="34776"/>
    <cellStyle name="Normal 38 4 2 4" xfId="34777"/>
    <cellStyle name="Normal 38 4 3" xfId="34778"/>
    <cellStyle name="Normal 38 4 3 2" xfId="34779"/>
    <cellStyle name="Normal 38 4 3 2 2" xfId="34780"/>
    <cellStyle name="Normal 38 4 3 3" xfId="34781"/>
    <cellStyle name="Normal 38 4 4" xfId="34782"/>
    <cellStyle name="Normal 38 4 4 2" xfId="34783"/>
    <cellStyle name="Normal 38 4 5" xfId="34784"/>
    <cellStyle name="Normal 38 5" xfId="18361"/>
    <cellStyle name="Normal 38 5 2" xfId="34785"/>
    <cellStyle name="Normal 38 5 2 2" xfId="34786"/>
    <cellStyle name="Normal 38 5 2 2 2" xfId="34787"/>
    <cellStyle name="Normal 38 5 2 3" xfId="34788"/>
    <cellStyle name="Normal 38 5 3" xfId="34789"/>
    <cellStyle name="Normal 38 5 3 2" xfId="34790"/>
    <cellStyle name="Normal 38 5 4" xfId="34791"/>
    <cellStyle name="Normal 38 6" xfId="34792"/>
    <cellStyle name="Normal 38 6 2" xfId="34793"/>
    <cellStyle name="Normal 38 6 2 2" xfId="34794"/>
    <cellStyle name="Normal 38 6 3" xfId="34795"/>
    <cellStyle name="Normal 38 7" xfId="34796"/>
    <cellStyle name="Normal 38 7 2" xfId="34797"/>
    <cellStyle name="Normal 38 8" xfId="34798"/>
    <cellStyle name="Normal 39" xfId="18362"/>
    <cellStyle name="Normal 39 2" xfId="18363"/>
    <cellStyle name="Normal 39 2 2" xfId="18364"/>
    <cellStyle name="Normal 39 2 2 2" xfId="18365"/>
    <cellStyle name="Normal 39 2 2 2 2" xfId="18366"/>
    <cellStyle name="Normal 39 2 2 2 2 2" xfId="34799"/>
    <cellStyle name="Normal 39 2 2 2 2 2 2" xfId="34800"/>
    <cellStyle name="Normal 39 2 2 2 2 2 2 2" xfId="34801"/>
    <cellStyle name="Normal 39 2 2 2 2 2 3" xfId="34802"/>
    <cellStyle name="Normal 39 2 2 2 2 3" xfId="34803"/>
    <cellStyle name="Normal 39 2 2 2 2 3 2" xfId="34804"/>
    <cellStyle name="Normal 39 2 2 2 2 4" xfId="34805"/>
    <cellStyle name="Normal 39 2 2 2 3" xfId="34806"/>
    <cellStyle name="Normal 39 2 2 2 3 2" xfId="34807"/>
    <cellStyle name="Normal 39 2 2 2 3 2 2" xfId="34808"/>
    <cellStyle name="Normal 39 2 2 2 3 3" xfId="34809"/>
    <cellStyle name="Normal 39 2 2 2 4" xfId="34810"/>
    <cellStyle name="Normal 39 2 2 2 4 2" xfId="34811"/>
    <cellStyle name="Normal 39 2 2 2 5" xfId="34812"/>
    <cellStyle name="Normal 39 2 2 3" xfId="18367"/>
    <cellStyle name="Normal 39 2 2 3 2" xfId="34813"/>
    <cellStyle name="Normal 39 2 2 3 2 2" xfId="34814"/>
    <cellStyle name="Normal 39 2 2 3 2 2 2" xfId="34815"/>
    <cellStyle name="Normal 39 2 2 3 2 3" xfId="34816"/>
    <cellStyle name="Normal 39 2 2 3 3" xfId="34817"/>
    <cellStyle name="Normal 39 2 2 3 3 2" xfId="34818"/>
    <cellStyle name="Normal 39 2 2 3 4" xfId="34819"/>
    <cellStyle name="Normal 39 2 2 4" xfId="34820"/>
    <cellStyle name="Normal 39 2 2 4 2" xfId="34821"/>
    <cellStyle name="Normal 39 2 2 4 2 2" xfId="34822"/>
    <cellStyle name="Normal 39 2 2 4 3" xfId="34823"/>
    <cellStyle name="Normal 39 2 2 5" xfId="34824"/>
    <cellStyle name="Normal 39 2 2 5 2" xfId="34825"/>
    <cellStyle name="Normal 39 2 2 6" xfId="34826"/>
    <cellStyle name="Normal 39 2 3" xfId="18368"/>
    <cellStyle name="Normal 39 2 3 2" xfId="18369"/>
    <cellStyle name="Normal 39 2 3 2 2" xfId="34827"/>
    <cellStyle name="Normal 39 2 3 2 2 2" xfId="34828"/>
    <cellStyle name="Normal 39 2 3 2 2 2 2" xfId="34829"/>
    <cellStyle name="Normal 39 2 3 2 2 3" xfId="34830"/>
    <cellStyle name="Normal 39 2 3 2 3" xfId="34831"/>
    <cellStyle name="Normal 39 2 3 2 3 2" xfId="34832"/>
    <cellStyle name="Normal 39 2 3 2 4" xfId="34833"/>
    <cellStyle name="Normal 39 2 3 3" xfId="34834"/>
    <cellStyle name="Normal 39 2 3 3 2" xfId="34835"/>
    <cellStyle name="Normal 39 2 3 3 2 2" xfId="34836"/>
    <cellStyle name="Normal 39 2 3 3 3" xfId="34837"/>
    <cellStyle name="Normal 39 2 3 4" xfId="34838"/>
    <cellStyle name="Normal 39 2 3 4 2" xfId="34839"/>
    <cellStyle name="Normal 39 2 3 5" xfId="34840"/>
    <cellStyle name="Normal 39 2 4" xfId="18370"/>
    <cellStyle name="Normal 39 2 4 2" xfId="34841"/>
    <cellStyle name="Normal 39 2 4 2 2" xfId="34842"/>
    <cellStyle name="Normal 39 2 4 2 2 2" xfId="34843"/>
    <cellStyle name="Normal 39 2 4 2 3" xfId="34844"/>
    <cellStyle name="Normal 39 2 4 3" xfId="34845"/>
    <cellStyle name="Normal 39 2 4 3 2" xfId="34846"/>
    <cellStyle name="Normal 39 2 4 4" xfId="34847"/>
    <cellStyle name="Normal 39 2 5" xfId="34848"/>
    <cellStyle name="Normal 39 2 5 2" xfId="34849"/>
    <cellStyle name="Normal 39 2 5 2 2" xfId="34850"/>
    <cellStyle name="Normal 39 2 5 3" xfId="34851"/>
    <cellStyle name="Normal 39 2 6" xfId="34852"/>
    <cellStyle name="Normal 39 2 6 2" xfId="34853"/>
    <cellStyle name="Normal 39 2 7" xfId="34854"/>
    <cellStyle name="Normal 39 3" xfId="18371"/>
    <cellStyle name="Normal 39 3 2" xfId="18372"/>
    <cellStyle name="Normal 39 3 2 2" xfId="18373"/>
    <cellStyle name="Normal 39 3 2 2 2" xfId="34855"/>
    <cellStyle name="Normal 39 3 2 2 2 2" xfId="34856"/>
    <cellStyle name="Normal 39 3 2 2 2 2 2" xfId="34857"/>
    <cellStyle name="Normal 39 3 2 2 2 3" xfId="34858"/>
    <cellStyle name="Normal 39 3 2 2 3" xfId="34859"/>
    <cellStyle name="Normal 39 3 2 2 3 2" xfId="34860"/>
    <cellStyle name="Normal 39 3 2 2 4" xfId="34861"/>
    <cellStyle name="Normal 39 3 2 3" xfId="34862"/>
    <cellStyle name="Normal 39 3 2 3 2" xfId="34863"/>
    <cellStyle name="Normal 39 3 2 3 2 2" xfId="34864"/>
    <cellStyle name="Normal 39 3 2 3 3" xfId="34865"/>
    <cellStyle name="Normal 39 3 2 4" xfId="34866"/>
    <cellStyle name="Normal 39 3 2 4 2" xfId="34867"/>
    <cellStyle name="Normal 39 3 2 5" xfId="34868"/>
    <cellStyle name="Normal 39 3 3" xfId="18374"/>
    <cellStyle name="Normal 39 3 3 2" xfId="34869"/>
    <cellStyle name="Normal 39 3 3 2 2" xfId="34870"/>
    <cellStyle name="Normal 39 3 3 2 2 2" xfId="34871"/>
    <cellStyle name="Normal 39 3 3 2 3" xfId="34872"/>
    <cellStyle name="Normal 39 3 3 3" xfId="34873"/>
    <cellStyle name="Normal 39 3 3 3 2" xfId="34874"/>
    <cellStyle name="Normal 39 3 3 4" xfId="34875"/>
    <cellStyle name="Normal 39 3 4" xfId="34876"/>
    <cellStyle name="Normal 39 3 4 2" xfId="34877"/>
    <cellStyle name="Normal 39 3 4 2 2" xfId="34878"/>
    <cellStyle name="Normal 39 3 4 3" xfId="34879"/>
    <cellStyle name="Normal 39 3 5" xfId="34880"/>
    <cellStyle name="Normal 39 3 5 2" xfId="34881"/>
    <cellStyle name="Normal 39 3 6" xfId="34882"/>
    <cellStyle name="Normal 39 4" xfId="18375"/>
    <cellStyle name="Normal 39 4 2" xfId="18376"/>
    <cellStyle name="Normal 39 4 2 2" xfId="34883"/>
    <cellStyle name="Normal 39 4 2 2 2" xfId="34884"/>
    <cellStyle name="Normal 39 4 2 2 2 2" xfId="34885"/>
    <cellStyle name="Normal 39 4 2 2 3" xfId="34886"/>
    <cellStyle name="Normal 39 4 2 3" xfId="34887"/>
    <cellStyle name="Normal 39 4 2 3 2" xfId="34888"/>
    <cellStyle name="Normal 39 4 2 4" xfId="34889"/>
    <cellStyle name="Normal 39 4 3" xfId="34890"/>
    <cellStyle name="Normal 39 4 3 2" xfId="34891"/>
    <cellStyle name="Normal 39 4 3 2 2" xfId="34892"/>
    <cellStyle name="Normal 39 4 3 3" xfId="34893"/>
    <cellStyle name="Normal 39 4 4" xfId="34894"/>
    <cellStyle name="Normal 39 4 4 2" xfId="34895"/>
    <cellStyle name="Normal 39 4 5" xfId="34896"/>
    <cellStyle name="Normal 39 5" xfId="18377"/>
    <cellStyle name="Normal 39 5 2" xfId="34897"/>
    <cellStyle name="Normal 39 5 2 2" xfId="34898"/>
    <cellStyle name="Normal 39 5 2 2 2" xfId="34899"/>
    <cellStyle name="Normal 39 5 2 3" xfId="34900"/>
    <cellStyle name="Normal 39 5 3" xfId="34901"/>
    <cellStyle name="Normal 39 5 3 2" xfId="34902"/>
    <cellStyle name="Normal 39 5 4" xfId="34903"/>
    <cellStyle name="Normal 39 6" xfId="34904"/>
    <cellStyle name="Normal 39 6 2" xfId="34905"/>
    <cellStyle name="Normal 39 6 2 2" xfId="34906"/>
    <cellStyle name="Normal 39 6 3" xfId="34907"/>
    <cellStyle name="Normal 39 7" xfId="34908"/>
    <cellStyle name="Normal 39 7 2" xfId="34909"/>
    <cellStyle name="Normal 39 8" xfId="34910"/>
    <cellStyle name="Normal 4" xfId="72"/>
    <cellStyle name="Normal 4 2" xfId="10082"/>
    <cellStyle name="Normal 4 2 2" xfId="18378"/>
    <cellStyle name="Normal 4 2 2 2" xfId="34911"/>
    <cellStyle name="Normal 4 2 2 3" xfId="34912"/>
    <cellStyle name="Normal 4 2 3" xfId="18379"/>
    <cellStyle name="Normal 4 2 3 2" xfId="34913"/>
    <cellStyle name="Normal 4 2 4" xfId="18380"/>
    <cellStyle name="Normal 4 2 5" xfId="34914"/>
    <cellStyle name="Normal 4 2 6" xfId="34915"/>
    <cellStyle name="Normal 4 2 7" xfId="34916"/>
    <cellStyle name="Normal 4 3" xfId="10083"/>
    <cellStyle name="Normal 4 3 2" xfId="10084"/>
    <cellStyle name="Normal 4 3 2 2" xfId="34917"/>
    <cellStyle name="Normal 4 3 2 3" xfId="34918"/>
    <cellStyle name="Normal 4 3 3" xfId="34919"/>
    <cellStyle name="Normal 4 3 4" xfId="34920"/>
    <cellStyle name="Normal 4 3 5" xfId="34921"/>
    <cellStyle name="Normal 4 4" xfId="10085"/>
    <cellStyle name="Normal 4 4 2" xfId="34922"/>
    <cellStyle name="Normal 4 4 3" xfId="34923"/>
    <cellStyle name="Normal 4 5" xfId="10086"/>
    <cellStyle name="Normal 4 6" xfId="10087"/>
    <cellStyle name="Normal 4 7" xfId="10088"/>
    <cellStyle name="Normal 4 8" xfId="10089"/>
    <cellStyle name="Normal 4 8 2" xfId="34924"/>
    <cellStyle name="Normal 4 9" xfId="34925"/>
    <cellStyle name="Normal 4 9 2" xfId="34926"/>
    <cellStyle name="Normal 4_Gastos Monthly Actual BSPR Sept  2008" xfId="34927"/>
    <cellStyle name="Normal 40" xfId="18381"/>
    <cellStyle name="Normal 40 2" xfId="18382"/>
    <cellStyle name="Normal 40 2 2" xfId="18383"/>
    <cellStyle name="Normal 40 2 2 2" xfId="18384"/>
    <cellStyle name="Normal 40 2 2 2 2" xfId="18385"/>
    <cellStyle name="Normal 40 2 2 2 2 2" xfId="34928"/>
    <cellStyle name="Normal 40 2 2 2 2 2 2" xfId="34929"/>
    <cellStyle name="Normal 40 2 2 2 2 2 2 2" xfId="34930"/>
    <cellStyle name="Normal 40 2 2 2 2 2 3" xfId="34931"/>
    <cellStyle name="Normal 40 2 2 2 2 3" xfId="34932"/>
    <cellStyle name="Normal 40 2 2 2 2 3 2" xfId="34933"/>
    <cellStyle name="Normal 40 2 2 2 2 4" xfId="34934"/>
    <cellStyle name="Normal 40 2 2 2 3" xfId="34935"/>
    <cellStyle name="Normal 40 2 2 2 3 2" xfId="34936"/>
    <cellStyle name="Normal 40 2 2 2 3 2 2" xfId="34937"/>
    <cellStyle name="Normal 40 2 2 2 3 3" xfId="34938"/>
    <cellStyle name="Normal 40 2 2 2 4" xfId="34939"/>
    <cellStyle name="Normal 40 2 2 2 4 2" xfId="34940"/>
    <cellStyle name="Normal 40 2 2 2 5" xfId="34941"/>
    <cellStyle name="Normal 40 2 2 3" xfId="18386"/>
    <cellStyle name="Normal 40 2 2 3 2" xfId="34942"/>
    <cellStyle name="Normal 40 2 2 3 2 2" xfId="34943"/>
    <cellStyle name="Normal 40 2 2 3 2 2 2" xfId="34944"/>
    <cellStyle name="Normal 40 2 2 3 2 3" xfId="34945"/>
    <cellStyle name="Normal 40 2 2 3 3" xfId="34946"/>
    <cellStyle name="Normal 40 2 2 3 3 2" xfId="34947"/>
    <cellStyle name="Normal 40 2 2 3 4" xfId="34948"/>
    <cellStyle name="Normal 40 2 2 4" xfId="34949"/>
    <cellStyle name="Normal 40 2 2 4 2" xfId="34950"/>
    <cellStyle name="Normal 40 2 2 4 2 2" xfId="34951"/>
    <cellStyle name="Normal 40 2 2 4 3" xfId="34952"/>
    <cellStyle name="Normal 40 2 2 5" xfId="34953"/>
    <cellStyle name="Normal 40 2 2 5 2" xfId="34954"/>
    <cellStyle name="Normal 40 2 2 6" xfId="34955"/>
    <cellStyle name="Normal 40 2 3" xfId="18387"/>
    <cellStyle name="Normal 40 2 3 2" xfId="18388"/>
    <cellStyle name="Normal 40 2 3 2 2" xfId="34956"/>
    <cellStyle name="Normal 40 2 3 2 2 2" xfId="34957"/>
    <cellStyle name="Normal 40 2 3 2 2 2 2" xfId="34958"/>
    <cellStyle name="Normal 40 2 3 2 2 3" xfId="34959"/>
    <cellStyle name="Normal 40 2 3 2 3" xfId="34960"/>
    <cellStyle name="Normal 40 2 3 2 3 2" xfId="34961"/>
    <cellStyle name="Normal 40 2 3 2 4" xfId="34962"/>
    <cellStyle name="Normal 40 2 3 3" xfId="34963"/>
    <cellStyle name="Normal 40 2 3 3 2" xfId="34964"/>
    <cellStyle name="Normal 40 2 3 3 2 2" xfId="34965"/>
    <cellStyle name="Normal 40 2 3 3 3" xfId="34966"/>
    <cellStyle name="Normal 40 2 3 4" xfId="34967"/>
    <cellStyle name="Normal 40 2 3 4 2" xfId="34968"/>
    <cellStyle name="Normal 40 2 3 5" xfId="34969"/>
    <cellStyle name="Normal 40 2 4" xfId="18389"/>
    <cellStyle name="Normal 40 2 4 2" xfId="34970"/>
    <cellStyle name="Normal 40 2 4 2 2" xfId="34971"/>
    <cellStyle name="Normal 40 2 4 2 2 2" xfId="34972"/>
    <cellStyle name="Normal 40 2 4 2 3" xfId="34973"/>
    <cellStyle name="Normal 40 2 4 3" xfId="34974"/>
    <cellStyle name="Normal 40 2 4 3 2" xfId="34975"/>
    <cellStyle name="Normal 40 2 4 4" xfId="34976"/>
    <cellStyle name="Normal 40 2 5" xfId="34977"/>
    <cellStyle name="Normal 40 2 5 2" xfId="34978"/>
    <cellStyle name="Normal 40 2 5 2 2" xfId="34979"/>
    <cellStyle name="Normal 40 2 5 3" xfId="34980"/>
    <cellStyle name="Normal 40 2 6" xfId="34981"/>
    <cellStyle name="Normal 40 2 6 2" xfId="34982"/>
    <cellStyle name="Normal 40 2 7" xfId="34983"/>
    <cellStyle name="Normal 40 3" xfId="18390"/>
    <cellStyle name="Normal 40 3 2" xfId="18391"/>
    <cellStyle name="Normal 40 3 2 2" xfId="18392"/>
    <cellStyle name="Normal 40 3 2 2 2" xfId="34984"/>
    <cellStyle name="Normal 40 3 2 2 2 2" xfId="34985"/>
    <cellStyle name="Normal 40 3 2 2 2 2 2" xfId="34986"/>
    <cellStyle name="Normal 40 3 2 2 2 3" xfId="34987"/>
    <cellStyle name="Normal 40 3 2 2 3" xfId="34988"/>
    <cellStyle name="Normal 40 3 2 2 3 2" xfId="34989"/>
    <cellStyle name="Normal 40 3 2 2 4" xfId="34990"/>
    <cellStyle name="Normal 40 3 2 3" xfId="34991"/>
    <cellStyle name="Normal 40 3 2 3 2" xfId="34992"/>
    <cellStyle name="Normal 40 3 2 3 2 2" xfId="34993"/>
    <cellStyle name="Normal 40 3 2 3 3" xfId="34994"/>
    <cellStyle name="Normal 40 3 2 4" xfId="34995"/>
    <cellStyle name="Normal 40 3 2 4 2" xfId="34996"/>
    <cellStyle name="Normal 40 3 2 5" xfId="34997"/>
    <cellStyle name="Normal 40 3 3" xfId="18393"/>
    <cellStyle name="Normal 40 3 3 2" xfId="34998"/>
    <cellStyle name="Normal 40 3 3 2 2" xfId="34999"/>
    <cellStyle name="Normal 40 3 3 2 2 2" xfId="35000"/>
    <cellStyle name="Normal 40 3 3 2 3" xfId="35001"/>
    <cellStyle name="Normal 40 3 3 3" xfId="35002"/>
    <cellStyle name="Normal 40 3 3 3 2" xfId="35003"/>
    <cellStyle name="Normal 40 3 3 4" xfId="35004"/>
    <cellStyle name="Normal 40 3 4" xfId="35005"/>
    <cellStyle name="Normal 40 3 4 2" xfId="35006"/>
    <cellStyle name="Normal 40 3 4 2 2" xfId="35007"/>
    <cellStyle name="Normal 40 3 4 3" xfId="35008"/>
    <cellStyle name="Normal 40 3 5" xfId="35009"/>
    <cellStyle name="Normal 40 3 5 2" xfId="35010"/>
    <cellStyle name="Normal 40 3 6" xfId="35011"/>
    <cellStyle name="Normal 40 4" xfId="18394"/>
    <cellStyle name="Normal 40 4 2" xfId="18395"/>
    <cellStyle name="Normal 40 4 2 2" xfId="35012"/>
    <cellStyle name="Normal 40 4 2 2 2" xfId="35013"/>
    <cellStyle name="Normal 40 4 2 2 2 2" xfId="35014"/>
    <cellStyle name="Normal 40 4 2 2 3" xfId="35015"/>
    <cellStyle name="Normal 40 4 2 3" xfId="35016"/>
    <cellStyle name="Normal 40 4 2 3 2" xfId="35017"/>
    <cellStyle name="Normal 40 4 2 4" xfId="35018"/>
    <cellStyle name="Normal 40 4 3" xfId="35019"/>
    <cellStyle name="Normal 40 4 3 2" xfId="35020"/>
    <cellStyle name="Normal 40 4 3 2 2" xfId="35021"/>
    <cellStyle name="Normal 40 4 3 3" xfId="35022"/>
    <cellStyle name="Normal 40 4 4" xfId="35023"/>
    <cellStyle name="Normal 40 4 4 2" xfId="35024"/>
    <cellStyle name="Normal 40 4 5" xfId="35025"/>
    <cellStyle name="Normal 40 5" xfId="18396"/>
    <cellStyle name="Normal 40 5 2" xfId="35026"/>
    <cellStyle name="Normal 40 5 2 2" xfId="35027"/>
    <cellStyle name="Normal 40 5 2 2 2" xfId="35028"/>
    <cellStyle name="Normal 40 5 2 3" xfId="35029"/>
    <cellStyle name="Normal 40 5 3" xfId="35030"/>
    <cellStyle name="Normal 40 5 3 2" xfId="35031"/>
    <cellStyle name="Normal 40 5 4" xfId="35032"/>
    <cellStyle name="Normal 40 6" xfId="35033"/>
    <cellStyle name="Normal 40 6 2" xfId="35034"/>
    <cellStyle name="Normal 40 6 2 2" xfId="35035"/>
    <cellStyle name="Normal 40 6 3" xfId="35036"/>
    <cellStyle name="Normal 40 7" xfId="35037"/>
    <cellStyle name="Normal 40 7 2" xfId="35038"/>
    <cellStyle name="Normal 40 8" xfId="35039"/>
    <cellStyle name="Normal 41" xfId="18397"/>
    <cellStyle name="Normal 41 2" xfId="18398"/>
    <cellStyle name="Normal 41 2 2" xfId="18399"/>
    <cellStyle name="Normal 41 2 2 2" xfId="18400"/>
    <cellStyle name="Normal 41 2 2 2 2" xfId="18401"/>
    <cellStyle name="Normal 41 2 2 2 2 2" xfId="35040"/>
    <cellStyle name="Normal 41 2 2 2 2 2 2" xfId="35041"/>
    <cellStyle name="Normal 41 2 2 2 2 2 2 2" xfId="35042"/>
    <cellStyle name="Normal 41 2 2 2 2 2 3" xfId="35043"/>
    <cellStyle name="Normal 41 2 2 2 2 3" xfId="35044"/>
    <cellStyle name="Normal 41 2 2 2 2 3 2" xfId="35045"/>
    <cellStyle name="Normal 41 2 2 2 2 4" xfId="35046"/>
    <cellStyle name="Normal 41 2 2 2 3" xfId="35047"/>
    <cellStyle name="Normal 41 2 2 2 3 2" xfId="35048"/>
    <cellStyle name="Normal 41 2 2 2 3 2 2" xfId="35049"/>
    <cellStyle name="Normal 41 2 2 2 3 3" xfId="35050"/>
    <cellStyle name="Normal 41 2 2 2 4" xfId="35051"/>
    <cellStyle name="Normal 41 2 2 2 4 2" xfId="35052"/>
    <cellStyle name="Normal 41 2 2 2 5" xfId="35053"/>
    <cellStyle name="Normal 41 2 2 3" xfId="18402"/>
    <cellStyle name="Normal 41 2 2 3 2" xfId="35054"/>
    <cellStyle name="Normal 41 2 2 3 2 2" xfId="35055"/>
    <cellStyle name="Normal 41 2 2 3 2 2 2" xfId="35056"/>
    <cellStyle name="Normal 41 2 2 3 2 3" xfId="35057"/>
    <cellStyle name="Normal 41 2 2 3 3" xfId="35058"/>
    <cellStyle name="Normal 41 2 2 3 3 2" xfId="35059"/>
    <cellStyle name="Normal 41 2 2 3 4" xfId="35060"/>
    <cellStyle name="Normal 41 2 2 4" xfId="35061"/>
    <cellStyle name="Normal 41 2 2 4 2" xfId="35062"/>
    <cellStyle name="Normal 41 2 2 4 2 2" xfId="35063"/>
    <cellStyle name="Normal 41 2 2 4 3" xfId="35064"/>
    <cellStyle name="Normal 41 2 2 5" xfId="35065"/>
    <cellStyle name="Normal 41 2 2 5 2" xfId="35066"/>
    <cellStyle name="Normal 41 2 2 6" xfId="35067"/>
    <cellStyle name="Normal 41 2 3" xfId="18403"/>
    <cellStyle name="Normal 41 2 3 2" xfId="18404"/>
    <cellStyle name="Normal 41 2 3 2 2" xfId="35068"/>
    <cellStyle name="Normal 41 2 3 2 2 2" xfId="35069"/>
    <cellStyle name="Normal 41 2 3 2 2 2 2" xfId="35070"/>
    <cellStyle name="Normal 41 2 3 2 2 3" xfId="35071"/>
    <cellStyle name="Normal 41 2 3 2 3" xfId="35072"/>
    <cellStyle name="Normal 41 2 3 2 3 2" xfId="35073"/>
    <cellStyle name="Normal 41 2 3 2 4" xfId="35074"/>
    <cellStyle name="Normal 41 2 3 3" xfId="35075"/>
    <cellStyle name="Normal 41 2 3 3 2" xfId="35076"/>
    <cellStyle name="Normal 41 2 3 3 2 2" xfId="35077"/>
    <cellStyle name="Normal 41 2 3 3 3" xfId="35078"/>
    <cellStyle name="Normal 41 2 3 4" xfId="35079"/>
    <cellStyle name="Normal 41 2 3 4 2" xfId="35080"/>
    <cellStyle name="Normal 41 2 3 5" xfId="35081"/>
    <cellStyle name="Normal 41 2 4" xfId="18405"/>
    <cellStyle name="Normal 41 2 4 2" xfId="35082"/>
    <cellStyle name="Normal 41 2 4 2 2" xfId="35083"/>
    <cellStyle name="Normal 41 2 4 2 2 2" xfId="35084"/>
    <cellStyle name="Normal 41 2 4 2 3" xfId="35085"/>
    <cellStyle name="Normal 41 2 4 3" xfId="35086"/>
    <cellStyle name="Normal 41 2 4 3 2" xfId="35087"/>
    <cellStyle name="Normal 41 2 4 4" xfId="35088"/>
    <cellStyle name="Normal 41 2 5" xfId="35089"/>
    <cellStyle name="Normal 41 2 5 2" xfId="35090"/>
    <cellStyle name="Normal 41 2 5 2 2" xfId="35091"/>
    <cellStyle name="Normal 41 2 5 3" xfId="35092"/>
    <cellStyle name="Normal 41 2 6" xfId="35093"/>
    <cellStyle name="Normal 41 2 6 2" xfId="35094"/>
    <cellStyle name="Normal 41 2 7" xfId="35095"/>
    <cellStyle name="Normal 41 3" xfId="18406"/>
    <cellStyle name="Normal 41 3 2" xfId="18407"/>
    <cellStyle name="Normal 41 3 2 2" xfId="18408"/>
    <cellStyle name="Normal 41 3 2 2 2" xfId="35096"/>
    <cellStyle name="Normal 41 3 2 2 2 2" xfId="35097"/>
    <cellStyle name="Normal 41 3 2 2 2 2 2" xfId="35098"/>
    <cellStyle name="Normal 41 3 2 2 2 3" xfId="35099"/>
    <cellStyle name="Normal 41 3 2 2 3" xfId="35100"/>
    <cellStyle name="Normal 41 3 2 2 3 2" xfId="35101"/>
    <cellStyle name="Normal 41 3 2 2 4" xfId="35102"/>
    <cellStyle name="Normal 41 3 2 3" xfId="35103"/>
    <cellStyle name="Normal 41 3 2 3 2" xfId="35104"/>
    <cellStyle name="Normal 41 3 2 3 2 2" xfId="35105"/>
    <cellStyle name="Normal 41 3 2 3 3" xfId="35106"/>
    <cellStyle name="Normal 41 3 2 4" xfId="35107"/>
    <cellStyle name="Normal 41 3 2 4 2" xfId="35108"/>
    <cellStyle name="Normal 41 3 2 5" xfId="35109"/>
    <cellStyle name="Normal 41 3 3" xfId="18409"/>
    <cellStyle name="Normal 41 3 3 2" xfId="35110"/>
    <cellStyle name="Normal 41 3 3 2 2" xfId="35111"/>
    <cellStyle name="Normal 41 3 3 2 2 2" xfId="35112"/>
    <cellStyle name="Normal 41 3 3 2 3" xfId="35113"/>
    <cellStyle name="Normal 41 3 3 3" xfId="35114"/>
    <cellStyle name="Normal 41 3 3 3 2" xfId="35115"/>
    <cellStyle name="Normal 41 3 3 4" xfId="35116"/>
    <cellStyle name="Normal 41 3 4" xfId="35117"/>
    <cellStyle name="Normal 41 3 4 2" xfId="35118"/>
    <cellStyle name="Normal 41 3 4 2 2" xfId="35119"/>
    <cellStyle name="Normal 41 3 4 3" xfId="35120"/>
    <cellStyle name="Normal 41 3 5" xfId="35121"/>
    <cellStyle name="Normal 41 3 5 2" xfId="35122"/>
    <cellStyle name="Normal 41 3 6" xfId="35123"/>
    <cellStyle name="Normal 41 4" xfId="18410"/>
    <cellStyle name="Normal 41 4 2" xfId="18411"/>
    <cellStyle name="Normal 41 4 2 2" xfId="35124"/>
    <cellStyle name="Normal 41 4 2 2 2" xfId="35125"/>
    <cellStyle name="Normal 41 4 2 2 2 2" xfId="35126"/>
    <cellStyle name="Normal 41 4 2 2 3" xfId="35127"/>
    <cellStyle name="Normal 41 4 2 3" xfId="35128"/>
    <cellStyle name="Normal 41 4 2 3 2" xfId="35129"/>
    <cellStyle name="Normal 41 4 2 4" xfId="35130"/>
    <cellStyle name="Normal 41 4 3" xfId="35131"/>
    <cellStyle name="Normal 41 4 3 2" xfId="35132"/>
    <cellStyle name="Normal 41 4 3 2 2" xfId="35133"/>
    <cellStyle name="Normal 41 4 3 3" xfId="35134"/>
    <cellStyle name="Normal 41 4 4" xfId="35135"/>
    <cellStyle name="Normal 41 4 4 2" xfId="35136"/>
    <cellStyle name="Normal 41 4 5" xfId="35137"/>
    <cellStyle name="Normal 41 5" xfId="18412"/>
    <cellStyle name="Normal 41 5 2" xfId="35138"/>
    <cellStyle name="Normal 41 5 2 2" xfId="35139"/>
    <cellStyle name="Normal 41 5 2 2 2" xfId="35140"/>
    <cellStyle name="Normal 41 5 2 3" xfId="35141"/>
    <cellStyle name="Normal 41 5 3" xfId="35142"/>
    <cellStyle name="Normal 41 5 3 2" xfId="35143"/>
    <cellStyle name="Normal 41 5 4" xfId="35144"/>
    <cellStyle name="Normal 41 6" xfId="35145"/>
    <cellStyle name="Normal 41 6 2" xfId="35146"/>
    <cellStyle name="Normal 41 6 2 2" xfId="35147"/>
    <cellStyle name="Normal 41 6 3" xfId="35148"/>
    <cellStyle name="Normal 41 7" xfId="35149"/>
    <cellStyle name="Normal 41 7 2" xfId="35150"/>
    <cellStyle name="Normal 41 8" xfId="35151"/>
    <cellStyle name="Normal 42" xfId="18413"/>
    <cellStyle name="Normal 42 2" xfId="18414"/>
    <cellStyle name="Normal 42 2 2" xfId="18415"/>
    <cellStyle name="Normal 42 2 2 2" xfId="18416"/>
    <cellStyle name="Normal 42 2 2 2 2" xfId="18417"/>
    <cellStyle name="Normal 42 2 2 2 2 2" xfId="35152"/>
    <cellStyle name="Normal 42 2 2 2 2 2 2" xfId="35153"/>
    <cellStyle name="Normal 42 2 2 2 2 2 2 2" xfId="35154"/>
    <cellStyle name="Normal 42 2 2 2 2 2 3" xfId="35155"/>
    <cellStyle name="Normal 42 2 2 2 2 3" xfId="35156"/>
    <cellStyle name="Normal 42 2 2 2 2 3 2" xfId="35157"/>
    <cellStyle name="Normal 42 2 2 2 2 4" xfId="35158"/>
    <cellStyle name="Normal 42 2 2 2 3" xfId="35159"/>
    <cellStyle name="Normal 42 2 2 2 3 2" xfId="35160"/>
    <cellStyle name="Normal 42 2 2 2 3 2 2" xfId="35161"/>
    <cellStyle name="Normal 42 2 2 2 3 3" xfId="35162"/>
    <cellStyle name="Normal 42 2 2 2 4" xfId="35163"/>
    <cellStyle name="Normal 42 2 2 2 4 2" xfId="35164"/>
    <cellStyle name="Normal 42 2 2 2 5" xfId="35165"/>
    <cellStyle name="Normal 42 2 2 3" xfId="18418"/>
    <cellStyle name="Normal 42 2 2 3 2" xfId="35166"/>
    <cellStyle name="Normal 42 2 2 3 2 2" xfId="35167"/>
    <cellStyle name="Normal 42 2 2 3 2 2 2" xfId="35168"/>
    <cellStyle name="Normal 42 2 2 3 2 3" xfId="35169"/>
    <cellStyle name="Normal 42 2 2 3 3" xfId="35170"/>
    <cellStyle name="Normal 42 2 2 3 3 2" xfId="35171"/>
    <cellStyle name="Normal 42 2 2 3 4" xfId="35172"/>
    <cellStyle name="Normal 42 2 2 4" xfId="35173"/>
    <cellStyle name="Normal 42 2 2 4 2" xfId="35174"/>
    <cellStyle name="Normal 42 2 2 4 2 2" xfId="35175"/>
    <cellStyle name="Normal 42 2 2 4 3" xfId="35176"/>
    <cellStyle name="Normal 42 2 2 5" xfId="35177"/>
    <cellStyle name="Normal 42 2 2 5 2" xfId="35178"/>
    <cellStyle name="Normal 42 2 2 6" xfId="35179"/>
    <cellStyle name="Normal 42 2 3" xfId="18419"/>
    <cellStyle name="Normal 42 2 3 2" xfId="18420"/>
    <cellStyle name="Normal 42 2 3 2 2" xfId="35180"/>
    <cellStyle name="Normal 42 2 3 2 2 2" xfId="35181"/>
    <cellStyle name="Normal 42 2 3 2 2 2 2" xfId="35182"/>
    <cellStyle name="Normal 42 2 3 2 2 3" xfId="35183"/>
    <cellStyle name="Normal 42 2 3 2 3" xfId="35184"/>
    <cellStyle name="Normal 42 2 3 2 3 2" xfId="35185"/>
    <cellStyle name="Normal 42 2 3 2 4" xfId="35186"/>
    <cellStyle name="Normal 42 2 3 3" xfId="35187"/>
    <cellStyle name="Normal 42 2 3 3 2" xfId="35188"/>
    <cellStyle name="Normal 42 2 3 3 2 2" xfId="35189"/>
    <cellStyle name="Normal 42 2 3 3 3" xfId="35190"/>
    <cellStyle name="Normal 42 2 3 4" xfId="35191"/>
    <cellStyle name="Normal 42 2 3 4 2" xfId="35192"/>
    <cellStyle name="Normal 42 2 3 5" xfId="35193"/>
    <cellStyle name="Normal 42 2 4" xfId="18421"/>
    <cellStyle name="Normal 42 2 4 2" xfId="35194"/>
    <cellStyle name="Normal 42 2 4 2 2" xfId="35195"/>
    <cellStyle name="Normal 42 2 4 2 2 2" xfId="35196"/>
    <cellStyle name="Normal 42 2 4 2 3" xfId="35197"/>
    <cellStyle name="Normal 42 2 4 3" xfId="35198"/>
    <cellStyle name="Normal 42 2 4 3 2" xfId="35199"/>
    <cellStyle name="Normal 42 2 4 4" xfId="35200"/>
    <cellStyle name="Normal 42 2 5" xfId="35201"/>
    <cellStyle name="Normal 42 2 5 2" xfId="35202"/>
    <cellStyle name="Normal 42 2 5 2 2" xfId="35203"/>
    <cellStyle name="Normal 42 2 5 3" xfId="35204"/>
    <cellStyle name="Normal 42 2 6" xfId="35205"/>
    <cellStyle name="Normal 42 2 6 2" xfId="35206"/>
    <cellStyle name="Normal 42 2 7" xfId="35207"/>
    <cellStyle name="Normal 42 3" xfId="18422"/>
    <cellStyle name="Normal 42 3 2" xfId="18423"/>
    <cellStyle name="Normal 42 3 2 2" xfId="18424"/>
    <cellStyle name="Normal 42 3 2 2 2" xfId="35208"/>
    <cellStyle name="Normal 42 3 2 2 2 2" xfId="35209"/>
    <cellStyle name="Normal 42 3 2 2 2 2 2" xfId="35210"/>
    <cellStyle name="Normal 42 3 2 2 2 3" xfId="35211"/>
    <cellStyle name="Normal 42 3 2 2 3" xfId="35212"/>
    <cellStyle name="Normal 42 3 2 2 3 2" xfId="35213"/>
    <cellStyle name="Normal 42 3 2 2 4" xfId="35214"/>
    <cellStyle name="Normal 42 3 2 3" xfId="35215"/>
    <cellStyle name="Normal 42 3 2 3 2" xfId="35216"/>
    <cellStyle name="Normal 42 3 2 3 2 2" xfId="35217"/>
    <cellStyle name="Normal 42 3 2 3 3" xfId="35218"/>
    <cellStyle name="Normal 42 3 2 4" xfId="35219"/>
    <cellStyle name="Normal 42 3 2 4 2" xfId="35220"/>
    <cellStyle name="Normal 42 3 2 5" xfId="35221"/>
    <cellStyle name="Normal 42 3 3" xfId="18425"/>
    <cellStyle name="Normal 42 3 3 2" xfId="35222"/>
    <cellStyle name="Normal 42 3 3 2 2" xfId="35223"/>
    <cellStyle name="Normal 42 3 3 2 2 2" xfId="35224"/>
    <cellStyle name="Normal 42 3 3 2 3" xfId="35225"/>
    <cellStyle name="Normal 42 3 3 3" xfId="35226"/>
    <cellStyle name="Normal 42 3 3 3 2" xfId="35227"/>
    <cellStyle name="Normal 42 3 3 4" xfId="35228"/>
    <cellStyle name="Normal 42 3 4" xfId="35229"/>
    <cellStyle name="Normal 42 3 4 2" xfId="35230"/>
    <cellStyle name="Normal 42 3 4 2 2" xfId="35231"/>
    <cellStyle name="Normal 42 3 4 3" xfId="35232"/>
    <cellStyle name="Normal 42 3 5" xfId="35233"/>
    <cellStyle name="Normal 42 3 5 2" xfId="35234"/>
    <cellStyle name="Normal 42 3 6" xfId="35235"/>
    <cellStyle name="Normal 42 4" xfId="18426"/>
    <cellStyle name="Normal 42 4 2" xfId="18427"/>
    <cellStyle name="Normal 42 4 2 2" xfId="35236"/>
    <cellStyle name="Normal 42 4 2 2 2" xfId="35237"/>
    <cellStyle name="Normal 42 4 2 2 2 2" xfId="35238"/>
    <cellStyle name="Normal 42 4 2 2 3" xfId="35239"/>
    <cellStyle name="Normal 42 4 2 3" xfId="35240"/>
    <cellStyle name="Normal 42 4 2 3 2" xfId="35241"/>
    <cellStyle name="Normal 42 4 2 4" xfId="35242"/>
    <cellStyle name="Normal 42 4 3" xfId="35243"/>
    <cellStyle name="Normal 42 4 3 2" xfId="35244"/>
    <cellStyle name="Normal 42 4 3 2 2" xfId="35245"/>
    <cellStyle name="Normal 42 4 3 3" xfId="35246"/>
    <cellStyle name="Normal 42 4 4" xfId="35247"/>
    <cellStyle name="Normal 42 4 4 2" xfId="35248"/>
    <cellStyle name="Normal 42 4 5" xfId="35249"/>
    <cellStyle name="Normal 42 5" xfId="18428"/>
    <cellStyle name="Normal 42 5 2" xfId="35250"/>
    <cellStyle name="Normal 42 5 2 2" xfId="35251"/>
    <cellStyle name="Normal 42 5 2 2 2" xfId="35252"/>
    <cellStyle name="Normal 42 5 2 3" xfId="35253"/>
    <cellStyle name="Normal 42 5 3" xfId="35254"/>
    <cellStyle name="Normal 42 5 3 2" xfId="35255"/>
    <cellStyle name="Normal 42 5 4" xfId="35256"/>
    <cellStyle name="Normal 42 6" xfId="35257"/>
    <cellStyle name="Normal 42 6 2" xfId="35258"/>
    <cellStyle name="Normal 42 6 2 2" xfId="35259"/>
    <cellStyle name="Normal 42 6 3" xfId="35260"/>
    <cellStyle name="Normal 42 7" xfId="35261"/>
    <cellStyle name="Normal 42 7 2" xfId="35262"/>
    <cellStyle name="Normal 42 8" xfId="35263"/>
    <cellStyle name="Normal 43" xfId="18429"/>
    <cellStyle name="Normal 43 2" xfId="18430"/>
    <cellStyle name="Normal 43 2 2" xfId="18431"/>
    <cellStyle name="Normal 43 2 2 2" xfId="18432"/>
    <cellStyle name="Normal 43 2 2 2 2" xfId="18433"/>
    <cellStyle name="Normal 43 2 2 2 2 2" xfId="35264"/>
    <cellStyle name="Normal 43 2 2 2 2 2 2" xfId="35265"/>
    <cellStyle name="Normal 43 2 2 2 2 2 2 2" xfId="35266"/>
    <cellStyle name="Normal 43 2 2 2 2 2 3" xfId="35267"/>
    <cellStyle name="Normal 43 2 2 2 2 3" xfId="35268"/>
    <cellStyle name="Normal 43 2 2 2 2 3 2" xfId="35269"/>
    <cellStyle name="Normal 43 2 2 2 2 4" xfId="35270"/>
    <cellStyle name="Normal 43 2 2 2 3" xfId="35271"/>
    <cellStyle name="Normal 43 2 2 2 3 2" xfId="35272"/>
    <cellStyle name="Normal 43 2 2 2 3 2 2" xfId="35273"/>
    <cellStyle name="Normal 43 2 2 2 3 3" xfId="35274"/>
    <cellStyle name="Normal 43 2 2 2 4" xfId="35275"/>
    <cellStyle name="Normal 43 2 2 2 4 2" xfId="35276"/>
    <cellStyle name="Normal 43 2 2 2 5" xfId="35277"/>
    <cellStyle name="Normal 43 2 2 3" xfId="18434"/>
    <cellStyle name="Normal 43 2 2 3 2" xfId="35278"/>
    <cellStyle name="Normal 43 2 2 3 2 2" xfId="35279"/>
    <cellStyle name="Normal 43 2 2 3 2 2 2" xfId="35280"/>
    <cellStyle name="Normal 43 2 2 3 2 3" xfId="35281"/>
    <cellStyle name="Normal 43 2 2 3 3" xfId="35282"/>
    <cellStyle name="Normal 43 2 2 3 3 2" xfId="35283"/>
    <cellStyle name="Normal 43 2 2 3 4" xfId="35284"/>
    <cellStyle name="Normal 43 2 2 4" xfId="35285"/>
    <cellStyle name="Normal 43 2 2 4 2" xfId="35286"/>
    <cellStyle name="Normal 43 2 2 4 2 2" xfId="35287"/>
    <cellStyle name="Normal 43 2 2 4 3" xfId="35288"/>
    <cellStyle name="Normal 43 2 2 5" xfId="35289"/>
    <cellStyle name="Normal 43 2 2 5 2" xfId="35290"/>
    <cellStyle name="Normal 43 2 2 6" xfId="35291"/>
    <cellStyle name="Normal 43 2 3" xfId="18435"/>
    <cellStyle name="Normal 43 2 3 2" xfId="18436"/>
    <cellStyle name="Normal 43 2 3 2 2" xfId="35292"/>
    <cellStyle name="Normal 43 2 3 2 2 2" xfId="35293"/>
    <cellStyle name="Normal 43 2 3 2 2 2 2" xfId="35294"/>
    <cellStyle name="Normal 43 2 3 2 2 3" xfId="35295"/>
    <cellStyle name="Normal 43 2 3 2 3" xfId="35296"/>
    <cellStyle name="Normal 43 2 3 2 3 2" xfId="35297"/>
    <cellStyle name="Normal 43 2 3 2 4" xfId="35298"/>
    <cellStyle name="Normal 43 2 3 3" xfId="35299"/>
    <cellStyle name="Normal 43 2 3 3 2" xfId="35300"/>
    <cellStyle name="Normal 43 2 3 3 2 2" xfId="35301"/>
    <cellStyle name="Normal 43 2 3 3 3" xfId="35302"/>
    <cellStyle name="Normal 43 2 3 4" xfId="35303"/>
    <cellStyle name="Normal 43 2 3 4 2" xfId="35304"/>
    <cellStyle name="Normal 43 2 3 5" xfId="35305"/>
    <cellStyle name="Normal 43 2 4" xfId="18437"/>
    <cellStyle name="Normal 43 2 4 2" xfId="35306"/>
    <cellStyle name="Normal 43 2 4 2 2" xfId="35307"/>
    <cellStyle name="Normal 43 2 4 2 2 2" xfId="35308"/>
    <cellStyle name="Normal 43 2 4 2 3" xfId="35309"/>
    <cellStyle name="Normal 43 2 4 3" xfId="35310"/>
    <cellStyle name="Normal 43 2 4 3 2" xfId="35311"/>
    <cellStyle name="Normal 43 2 4 4" xfId="35312"/>
    <cellStyle name="Normal 43 2 5" xfId="35313"/>
    <cellStyle name="Normal 43 2 5 2" xfId="35314"/>
    <cellStyle name="Normal 43 2 5 2 2" xfId="35315"/>
    <cellStyle name="Normal 43 2 5 3" xfId="35316"/>
    <cellStyle name="Normal 43 2 6" xfId="35317"/>
    <cellStyle name="Normal 43 2 6 2" xfId="35318"/>
    <cellStyle name="Normal 43 2 7" xfId="35319"/>
    <cellStyle name="Normal 43 3" xfId="18438"/>
    <cellStyle name="Normal 43 3 2" xfId="18439"/>
    <cellStyle name="Normal 43 3 2 2" xfId="18440"/>
    <cellStyle name="Normal 43 3 2 2 2" xfId="35320"/>
    <cellStyle name="Normal 43 3 2 2 2 2" xfId="35321"/>
    <cellStyle name="Normal 43 3 2 2 2 2 2" xfId="35322"/>
    <cellStyle name="Normal 43 3 2 2 2 3" xfId="35323"/>
    <cellStyle name="Normal 43 3 2 2 3" xfId="35324"/>
    <cellStyle name="Normal 43 3 2 2 3 2" xfId="35325"/>
    <cellStyle name="Normal 43 3 2 2 4" xfId="35326"/>
    <cellStyle name="Normal 43 3 2 3" xfId="35327"/>
    <cellStyle name="Normal 43 3 2 3 2" xfId="35328"/>
    <cellStyle name="Normal 43 3 2 3 2 2" xfId="35329"/>
    <cellStyle name="Normal 43 3 2 3 3" xfId="35330"/>
    <cellStyle name="Normal 43 3 2 4" xfId="35331"/>
    <cellStyle name="Normal 43 3 2 4 2" xfId="35332"/>
    <cellStyle name="Normal 43 3 2 5" xfId="35333"/>
    <cellStyle name="Normal 43 3 3" xfId="18441"/>
    <cellStyle name="Normal 43 3 3 2" xfId="35334"/>
    <cellStyle name="Normal 43 3 3 2 2" xfId="35335"/>
    <cellStyle name="Normal 43 3 3 2 2 2" xfId="35336"/>
    <cellStyle name="Normal 43 3 3 2 3" xfId="35337"/>
    <cellStyle name="Normal 43 3 3 3" xfId="35338"/>
    <cellStyle name="Normal 43 3 3 3 2" xfId="35339"/>
    <cellStyle name="Normal 43 3 3 4" xfId="35340"/>
    <cellStyle name="Normal 43 3 4" xfId="35341"/>
    <cellStyle name="Normal 43 3 4 2" xfId="35342"/>
    <cellStyle name="Normal 43 3 4 2 2" xfId="35343"/>
    <cellStyle name="Normal 43 3 4 3" xfId="35344"/>
    <cellStyle name="Normal 43 3 5" xfId="35345"/>
    <cellStyle name="Normal 43 3 5 2" xfId="35346"/>
    <cellStyle name="Normal 43 3 6" xfId="35347"/>
    <cellStyle name="Normal 43 4" xfId="18442"/>
    <cellStyle name="Normal 43 4 2" xfId="18443"/>
    <cellStyle name="Normal 43 4 2 2" xfId="35348"/>
    <cellStyle name="Normal 43 4 2 2 2" xfId="35349"/>
    <cellStyle name="Normal 43 4 2 2 2 2" xfId="35350"/>
    <cellStyle name="Normal 43 4 2 2 3" xfId="35351"/>
    <cellStyle name="Normal 43 4 2 3" xfId="35352"/>
    <cellStyle name="Normal 43 4 2 3 2" xfId="35353"/>
    <cellStyle name="Normal 43 4 2 4" xfId="35354"/>
    <cellStyle name="Normal 43 4 3" xfId="35355"/>
    <cellStyle name="Normal 43 4 3 2" xfId="35356"/>
    <cellStyle name="Normal 43 4 3 2 2" xfId="35357"/>
    <cellStyle name="Normal 43 4 3 3" xfId="35358"/>
    <cellStyle name="Normal 43 4 4" xfId="35359"/>
    <cellStyle name="Normal 43 4 4 2" xfId="35360"/>
    <cellStyle name="Normal 43 4 5" xfId="35361"/>
    <cellStyle name="Normal 43 5" xfId="18444"/>
    <cellStyle name="Normal 43 5 2" xfId="35362"/>
    <cellStyle name="Normal 43 5 2 2" xfId="35363"/>
    <cellStyle name="Normal 43 5 2 2 2" xfId="35364"/>
    <cellStyle name="Normal 43 5 2 3" xfId="35365"/>
    <cellStyle name="Normal 43 5 3" xfId="35366"/>
    <cellStyle name="Normal 43 5 3 2" xfId="35367"/>
    <cellStyle name="Normal 43 5 4" xfId="35368"/>
    <cellStyle name="Normal 43 6" xfId="35369"/>
    <cellStyle name="Normal 43 6 2" xfId="35370"/>
    <cellStyle name="Normal 43 6 2 2" xfId="35371"/>
    <cellStyle name="Normal 43 6 3" xfId="35372"/>
    <cellStyle name="Normal 43 7" xfId="35373"/>
    <cellStyle name="Normal 43 7 2" xfId="35374"/>
    <cellStyle name="Normal 43 8" xfId="35375"/>
    <cellStyle name="Normal 44" xfId="18445"/>
    <cellStyle name="Normal 44 2" xfId="18446"/>
    <cellStyle name="Normal 44 2 2" xfId="18447"/>
    <cellStyle name="Normal 44 2 2 2" xfId="18448"/>
    <cellStyle name="Normal 44 2 2 2 2" xfId="18449"/>
    <cellStyle name="Normal 44 2 2 2 2 2" xfId="18450"/>
    <cellStyle name="Normal 44 2 2 2 2 2 2" xfId="35376"/>
    <cellStyle name="Normal 44 2 2 2 2 2 2 2" xfId="35377"/>
    <cellStyle name="Normal 44 2 2 2 2 2 2 2 2" xfId="35378"/>
    <cellStyle name="Normal 44 2 2 2 2 2 2 3" xfId="35379"/>
    <cellStyle name="Normal 44 2 2 2 2 2 3" xfId="35380"/>
    <cellStyle name="Normal 44 2 2 2 2 2 3 2" xfId="35381"/>
    <cellStyle name="Normal 44 2 2 2 2 2 4" xfId="35382"/>
    <cellStyle name="Normal 44 2 2 2 2 3" xfId="35383"/>
    <cellStyle name="Normal 44 2 2 2 2 3 2" xfId="35384"/>
    <cellStyle name="Normal 44 2 2 2 2 3 2 2" xfId="35385"/>
    <cellStyle name="Normal 44 2 2 2 2 3 3" xfId="35386"/>
    <cellStyle name="Normal 44 2 2 2 2 4" xfId="35387"/>
    <cellStyle name="Normal 44 2 2 2 2 4 2" xfId="35388"/>
    <cellStyle name="Normal 44 2 2 2 2 5" xfId="35389"/>
    <cellStyle name="Normal 44 2 2 2 3" xfId="18451"/>
    <cellStyle name="Normal 44 2 2 2 3 2" xfId="35390"/>
    <cellStyle name="Normal 44 2 2 2 3 2 2" xfId="35391"/>
    <cellStyle name="Normal 44 2 2 2 3 2 2 2" xfId="35392"/>
    <cellStyle name="Normal 44 2 2 2 3 2 3" xfId="35393"/>
    <cellStyle name="Normal 44 2 2 2 3 3" xfId="35394"/>
    <cellStyle name="Normal 44 2 2 2 3 3 2" xfId="35395"/>
    <cellStyle name="Normal 44 2 2 2 3 4" xfId="35396"/>
    <cellStyle name="Normal 44 2 2 2 4" xfId="35397"/>
    <cellStyle name="Normal 44 2 2 2 4 2" xfId="35398"/>
    <cellStyle name="Normal 44 2 2 2 4 2 2" xfId="35399"/>
    <cellStyle name="Normal 44 2 2 2 4 3" xfId="35400"/>
    <cellStyle name="Normal 44 2 2 2 5" xfId="35401"/>
    <cellStyle name="Normal 44 2 2 2 5 2" xfId="35402"/>
    <cellStyle name="Normal 44 2 2 2 6" xfId="35403"/>
    <cellStyle name="Normal 44 2 2 3" xfId="18452"/>
    <cellStyle name="Normal 44 2 2 3 2" xfId="18453"/>
    <cellStyle name="Normal 44 2 2 3 2 2" xfId="35404"/>
    <cellStyle name="Normal 44 2 2 3 2 2 2" xfId="35405"/>
    <cellStyle name="Normal 44 2 2 3 2 2 2 2" xfId="35406"/>
    <cellStyle name="Normal 44 2 2 3 2 2 3" xfId="35407"/>
    <cellStyle name="Normal 44 2 2 3 2 3" xfId="35408"/>
    <cellStyle name="Normal 44 2 2 3 2 3 2" xfId="35409"/>
    <cellStyle name="Normal 44 2 2 3 2 4" xfId="35410"/>
    <cellStyle name="Normal 44 2 2 3 3" xfId="35411"/>
    <cellStyle name="Normal 44 2 2 3 3 2" xfId="35412"/>
    <cellStyle name="Normal 44 2 2 3 3 2 2" xfId="35413"/>
    <cellStyle name="Normal 44 2 2 3 3 3" xfId="35414"/>
    <cellStyle name="Normal 44 2 2 3 4" xfId="35415"/>
    <cellStyle name="Normal 44 2 2 3 4 2" xfId="35416"/>
    <cellStyle name="Normal 44 2 2 3 5" xfId="35417"/>
    <cellStyle name="Normal 44 2 2 4" xfId="18454"/>
    <cellStyle name="Normal 44 2 2 4 2" xfId="35418"/>
    <cellStyle name="Normal 44 2 2 4 2 2" xfId="35419"/>
    <cellStyle name="Normal 44 2 2 4 2 2 2" xfId="35420"/>
    <cellStyle name="Normal 44 2 2 4 2 3" xfId="35421"/>
    <cellStyle name="Normal 44 2 2 4 3" xfId="35422"/>
    <cellStyle name="Normal 44 2 2 4 3 2" xfId="35423"/>
    <cellStyle name="Normal 44 2 2 4 4" xfId="35424"/>
    <cellStyle name="Normal 44 2 2 5" xfId="35425"/>
    <cellStyle name="Normal 44 2 2 5 2" xfId="35426"/>
    <cellStyle name="Normal 44 2 2 5 2 2" xfId="35427"/>
    <cellStyle name="Normal 44 2 2 5 3" xfId="35428"/>
    <cellStyle name="Normal 44 2 2 6" xfId="35429"/>
    <cellStyle name="Normal 44 2 2 6 2" xfId="35430"/>
    <cellStyle name="Normal 44 2 2 7" xfId="35431"/>
    <cellStyle name="Normal 44 2 3" xfId="18455"/>
    <cellStyle name="Normal 44 2 3 2" xfId="18456"/>
    <cellStyle name="Normal 44 2 3 2 2" xfId="18457"/>
    <cellStyle name="Normal 44 2 3 2 2 2" xfId="35432"/>
    <cellStyle name="Normal 44 2 3 2 2 2 2" xfId="35433"/>
    <cellStyle name="Normal 44 2 3 2 2 2 2 2" xfId="35434"/>
    <cellStyle name="Normal 44 2 3 2 2 2 3" xfId="35435"/>
    <cellStyle name="Normal 44 2 3 2 2 3" xfId="35436"/>
    <cellStyle name="Normal 44 2 3 2 2 3 2" xfId="35437"/>
    <cellStyle name="Normal 44 2 3 2 2 4" xfId="35438"/>
    <cellStyle name="Normal 44 2 3 2 3" xfId="35439"/>
    <cellStyle name="Normal 44 2 3 2 3 2" xfId="35440"/>
    <cellStyle name="Normal 44 2 3 2 3 2 2" xfId="35441"/>
    <cellStyle name="Normal 44 2 3 2 3 3" xfId="35442"/>
    <cellStyle name="Normal 44 2 3 2 4" xfId="35443"/>
    <cellStyle name="Normal 44 2 3 2 4 2" xfId="35444"/>
    <cellStyle name="Normal 44 2 3 2 5" xfId="35445"/>
    <cellStyle name="Normal 44 2 3 3" xfId="18458"/>
    <cellStyle name="Normal 44 2 3 3 2" xfId="35446"/>
    <cellStyle name="Normal 44 2 3 3 2 2" xfId="35447"/>
    <cellStyle name="Normal 44 2 3 3 2 2 2" xfId="35448"/>
    <cellStyle name="Normal 44 2 3 3 2 3" xfId="35449"/>
    <cellStyle name="Normal 44 2 3 3 3" xfId="35450"/>
    <cellStyle name="Normal 44 2 3 3 3 2" xfId="35451"/>
    <cellStyle name="Normal 44 2 3 3 4" xfId="35452"/>
    <cellStyle name="Normal 44 2 3 4" xfId="35453"/>
    <cellStyle name="Normal 44 2 3 4 2" xfId="35454"/>
    <cellStyle name="Normal 44 2 3 4 2 2" xfId="35455"/>
    <cellStyle name="Normal 44 2 3 4 3" xfId="35456"/>
    <cellStyle name="Normal 44 2 3 5" xfId="35457"/>
    <cellStyle name="Normal 44 2 3 5 2" xfId="35458"/>
    <cellStyle name="Normal 44 2 3 6" xfId="35459"/>
    <cellStyle name="Normal 44 2 4" xfId="18459"/>
    <cellStyle name="Normal 44 2 4 2" xfId="18460"/>
    <cellStyle name="Normal 44 2 4 2 2" xfId="35460"/>
    <cellStyle name="Normal 44 2 4 2 2 2" xfId="35461"/>
    <cellStyle name="Normal 44 2 4 2 2 2 2" xfId="35462"/>
    <cellStyle name="Normal 44 2 4 2 2 3" xfId="35463"/>
    <cellStyle name="Normal 44 2 4 2 3" xfId="35464"/>
    <cellStyle name="Normal 44 2 4 2 3 2" xfId="35465"/>
    <cellStyle name="Normal 44 2 4 2 4" xfId="35466"/>
    <cellStyle name="Normal 44 2 4 3" xfId="35467"/>
    <cellStyle name="Normal 44 2 4 3 2" xfId="35468"/>
    <cellStyle name="Normal 44 2 4 3 2 2" xfId="35469"/>
    <cellStyle name="Normal 44 2 4 3 3" xfId="35470"/>
    <cellStyle name="Normal 44 2 4 4" xfId="35471"/>
    <cellStyle name="Normal 44 2 4 4 2" xfId="35472"/>
    <cellStyle name="Normal 44 2 4 5" xfId="35473"/>
    <cellStyle name="Normal 44 2 5" xfId="18461"/>
    <cellStyle name="Normal 44 2 5 2" xfId="35474"/>
    <cellStyle name="Normal 44 2 5 2 2" xfId="35475"/>
    <cellStyle name="Normal 44 2 5 2 2 2" xfId="35476"/>
    <cellStyle name="Normal 44 2 5 2 3" xfId="35477"/>
    <cellStyle name="Normal 44 2 5 3" xfId="35478"/>
    <cellStyle name="Normal 44 2 5 3 2" xfId="35479"/>
    <cellStyle name="Normal 44 2 5 4" xfId="35480"/>
    <cellStyle name="Normal 44 2 6" xfId="35481"/>
    <cellStyle name="Normal 44 2 6 2" xfId="35482"/>
    <cellStyle name="Normal 44 2 6 2 2" xfId="35483"/>
    <cellStyle name="Normal 44 2 6 3" xfId="35484"/>
    <cellStyle name="Normal 44 2 7" xfId="35485"/>
    <cellStyle name="Normal 44 2 7 2" xfId="35486"/>
    <cellStyle name="Normal 44 2 8" xfId="35487"/>
    <cellStyle name="Normal 44 3" xfId="18462"/>
    <cellStyle name="Normal 44 3 2" xfId="18463"/>
    <cellStyle name="Normal 44 3 2 2" xfId="18464"/>
    <cellStyle name="Normal 44 3 2 2 2" xfId="18465"/>
    <cellStyle name="Normal 44 3 2 2 2 2" xfId="35488"/>
    <cellStyle name="Normal 44 3 2 2 2 2 2" xfId="35489"/>
    <cellStyle name="Normal 44 3 2 2 2 2 2 2" xfId="35490"/>
    <cellStyle name="Normal 44 3 2 2 2 2 3" xfId="35491"/>
    <cellStyle name="Normal 44 3 2 2 2 3" xfId="35492"/>
    <cellStyle name="Normal 44 3 2 2 2 3 2" xfId="35493"/>
    <cellStyle name="Normal 44 3 2 2 2 4" xfId="35494"/>
    <cellStyle name="Normal 44 3 2 2 3" xfId="35495"/>
    <cellStyle name="Normal 44 3 2 2 3 2" xfId="35496"/>
    <cellStyle name="Normal 44 3 2 2 3 2 2" xfId="35497"/>
    <cellStyle name="Normal 44 3 2 2 3 3" xfId="35498"/>
    <cellStyle name="Normal 44 3 2 2 4" xfId="35499"/>
    <cellStyle name="Normal 44 3 2 2 4 2" xfId="35500"/>
    <cellStyle name="Normal 44 3 2 2 5" xfId="35501"/>
    <cellStyle name="Normal 44 3 2 3" xfId="18466"/>
    <cellStyle name="Normal 44 3 2 3 2" xfId="35502"/>
    <cellStyle name="Normal 44 3 2 3 2 2" xfId="35503"/>
    <cellStyle name="Normal 44 3 2 3 2 2 2" xfId="35504"/>
    <cellStyle name="Normal 44 3 2 3 2 3" xfId="35505"/>
    <cellStyle name="Normal 44 3 2 3 3" xfId="35506"/>
    <cellStyle name="Normal 44 3 2 3 3 2" xfId="35507"/>
    <cellStyle name="Normal 44 3 2 3 4" xfId="35508"/>
    <cellStyle name="Normal 44 3 2 4" xfId="35509"/>
    <cellStyle name="Normal 44 3 2 4 2" xfId="35510"/>
    <cellStyle name="Normal 44 3 2 4 2 2" xfId="35511"/>
    <cellStyle name="Normal 44 3 2 4 3" xfId="35512"/>
    <cellStyle name="Normal 44 3 2 5" xfId="35513"/>
    <cellStyle name="Normal 44 3 2 5 2" xfId="35514"/>
    <cellStyle name="Normal 44 3 2 6" xfId="35515"/>
    <cellStyle name="Normal 44 3 3" xfId="18467"/>
    <cellStyle name="Normal 44 3 3 2" xfId="18468"/>
    <cellStyle name="Normal 44 3 3 2 2" xfId="35516"/>
    <cellStyle name="Normal 44 3 3 2 2 2" xfId="35517"/>
    <cellStyle name="Normal 44 3 3 2 2 2 2" xfId="35518"/>
    <cellStyle name="Normal 44 3 3 2 2 3" xfId="35519"/>
    <cellStyle name="Normal 44 3 3 2 3" xfId="35520"/>
    <cellStyle name="Normal 44 3 3 2 3 2" xfId="35521"/>
    <cellStyle name="Normal 44 3 3 2 4" xfId="35522"/>
    <cellStyle name="Normal 44 3 3 3" xfId="35523"/>
    <cellStyle name="Normal 44 3 3 3 2" xfId="35524"/>
    <cellStyle name="Normal 44 3 3 3 2 2" xfId="35525"/>
    <cellStyle name="Normal 44 3 3 3 3" xfId="35526"/>
    <cellStyle name="Normal 44 3 3 4" xfId="35527"/>
    <cellStyle name="Normal 44 3 3 4 2" xfId="35528"/>
    <cellStyle name="Normal 44 3 3 5" xfId="35529"/>
    <cellStyle name="Normal 44 3 4" xfId="18469"/>
    <cellStyle name="Normal 44 3 4 2" xfId="35530"/>
    <cellStyle name="Normal 44 3 4 2 2" xfId="35531"/>
    <cellStyle name="Normal 44 3 4 2 2 2" xfId="35532"/>
    <cellStyle name="Normal 44 3 4 2 3" xfId="35533"/>
    <cellStyle name="Normal 44 3 4 3" xfId="35534"/>
    <cellStyle name="Normal 44 3 4 3 2" xfId="35535"/>
    <cellStyle name="Normal 44 3 4 4" xfId="35536"/>
    <cellStyle name="Normal 44 3 5" xfId="35537"/>
    <cellStyle name="Normal 44 3 5 2" xfId="35538"/>
    <cellStyle name="Normal 44 3 5 2 2" xfId="35539"/>
    <cellStyle name="Normal 44 3 5 3" xfId="35540"/>
    <cellStyle name="Normal 44 3 6" xfId="35541"/>
    <cellStyle name="Normal 44 3 6 2" xfId="35542"/>
    <cellStyle name="Normal 44 3 7" xfId="35543"/>
    <cellStyle name="Normal 44 4" xfId="18470"/>
    <cellStyle name="Normal 44 4 2" xfId="18471"/>
    <cellStyle name="Normal 44 4 2 2" xfId="18472"/>
    <cellStyle name="Normal 44 4 2 2 2" xfId="35544"/>
    <cellStyle name="Normal 44 4 2 2 2 2" xfId="35545"/>
    <cellStyle name="Normal 44 4 2 2 2 2 2" xfId="35546"/>
    <cellStyle name="Normal 44 4 2 2 2 3" xfId="35547"/>
    <cellStyle name="Normal 44 4 2 2 3" xfId="35548"/>
    <cellStyle name="Normal 44 4 2 2 3 2" xfId="35549"/>
    <cellStyle name="Normal 44 4 2 2 4" xfId="35550"/>
    <cellStyle name="Normal 44 4 2 3" xfId="35551"/>
    <cellStyle name="Normal 44 4 2 3 2" xfId="35552"/>
    <cellStyle name="Normal 44 4 2 3 2 2" xfId="35553"/>
    <cellStyle name="Normal 44 4 2 3 3" xfId="35554"/>
    <cellStyle name="Normal 44 4 2 4" xfId="35555"/>
    <cellStyle name="Normal 44 4 2 4 2" xfId="35556"/>
    <cellStyle name="Normal 44 4 2 5" xfId="35557"/>
    <cellStyle name="Normal 44 4 3" xfId="18473"/>
    <cellStyle name="Normal 44 4 3 2" xfId="35558"/>
    <cellStyle name="Normal 44 4 3 2 2" xfId="35559"/>
    <cellStyle name="Normal 44 4 3 2 2 2" xfId="35560"/>
    <cellStyle name="Normal 44 4 3 2 3" xfId="35561"/>
    <cellStyle name="Normal 44 4 3 3" xfId="35562"/>
    <cellStyle name="Normal 44 4 3 3 2" xfId="35563"/>
    <cellStyle name="Normal 44 4 3 4" xfId="35564"/>
    <cellStyle name="Normal 44 4 4" xfId="35565"/>
    <cellStyle name="Normal 44 4 4 2" xfId="35566"/>
    <cellStyle name="Normal 44 4 4 2 2" xfId="35567"/>
    <cellStyle name="Normal 44 4 4 3" xfId="35568"/>
    <cellStyle name="Normal 44 4 5" xfId="35569"/>
    <cellStyle name="Normal 44 4 5 2" xfId="35570"/>
    <cellStyle name="Normal 44 4 6" xfId="35571"/>
    <cellStyle name="Normal 44 5" xfId="18474"/>
    <cellStyle name="Normal 44 5 2" xfId="18475"/>
    <cellStyle name="Normal 44 5 2 2" xfId="35572"/>
    <cellStyle name="Normal 44 5 2 2 2" xfId="35573"/>
    <cellStyle name="Normal 44 5 2 2 2 2" xfId="35574"/>
    <cellStyle name="Normal 44 5 2 2 3" xfId="35575"/>
    <cellStyle name="Normal 44 5 2 3" xfId="35576"/>
    <cellStyle name="Normal 44 5 2 3 2" xfId="35577"/>
    <cellStyle name="Normal 44 5 2 4" xfId="35578"/>
    <cellStyle name="Normal 44 5 3" xfId="35579"/>
    <cellStyle name="Normal 44 5 3 2" xfId="35580"/>
    <cellStyle name="Normal 44 5 3 2 2" xfId="35581"/>
    <cellStyle name="Normal 44 5 3 3" xfId="35582"/>
    <cellStyle name="Normal 44 5 4" xfId="35583"/>
    <cellStyle name="Normal 44 5 4 2" xfId="35584"/>
    <cellStyle name="Normal 44 5 5" xfId="35585"/>
    <cellStyle name="Normal 44 6" xfId="18476"/>
    <cellStyle name="Normal 44 6 2" xfId="35586"/>
    <cellStyle name="Normal 44 6 2 2" xfId="35587"/>
    <cellStyle name="Normal 44 6 2 2 2" xfId="35588"/>
    <cellStyle name="Normal 44 6 2 3" xfId="35589"/>
    <cellStyle name="Normal 44 6 3" xfId="35590"/>
    <cellStyle name="Normal 44 6 3 2" xfId="35591"/>
    <cellStyle name="Normal 44 6 4" xfId="35592"/>
    <cellStyle name="Normal 44 7" xfId="35593"/>
    <cellStyle name="Normal 44 7 2" xfId="35594"/>
    <cellStyle name="Normal 44 7 2 2" xfId="35595"/>
    <cellStyle name="Normal 44 7 3" xfId="35596"/>
    <cellStyle name="Normal 44 8" xfId="35597"/>
    <cellStyle name="Normal 44 8 2" xfId="35598"/>
    <cellStyle name="Normal 44 9" xfId="35599"/>
    <cellStyle name="Normal 45" xfId="18477"/>
    <cellStyle name="Normal 45 2" xfId="18478"/>
    <cellStyle name="Normal 45 2 2" xfId="18479"/>
    <cellStyle name="Normal 45 2 2 2" xfId="18480"/>
    <cellStyle name="Normal 45 2 2 2 2" xfId="18481"/>
    <cellStyle name="Normal 45 2 2 2 2 2" xfId="35600"/>
    <cellStyle name="Normal 45 2 2 2 2 2 2" xfId="35601"/>
    <cellStyle name="Normal 45 2 2 2 2 2 2 2" xfId="35602"/>
    <cellStyle name="Normal 45 2 2 2 2 2 3" xfId="35603"/>
    <cellStyle name="Normal 45 2 2 2 2 3" xfId="35604"/>
    <cellStyle name="Normal 45 2 2 2 2 3 2" xfId="35605"/>
    <cellStyle name="Normal 45 2 2 2 2 4" xfId="35606"/>
    <cellStyle name="Normal 45 2 2 2 3" xfId="35607"/>
    <cellStyle name="Normal 45 2 2 2 3 2" xfId="35608"/>
    <cellStyle name="Normal 45 2 2 2 3 2 2" xfId="35609"/>
    <cellStyle name="Normal 45 2 2 2 3 3" xfId="35610"/>
    <cellStyle name="Normal 45 2 2 2 4" xfId="35611"/>
    <cellStyle name="Normal 45 2 2 2 4 2" xfId="35612"/>
    <cellStyle name="Normal 45 2 2 2 5" xfId="35613"/>
    <cellStyle name="Normal 45 2 2 3" xfId="18482"/>
    <cellStyle name="Normal 45 2 2 3 2" xfId="35614"/>
    <cellStyle name="Normal 45 2 2 3 2 2" xfId="35615"/>
    <cellStyle name="Normal 45 2 2 3 2 2 2" xfId="35616"/>
    <cellStyle name="Normal 45 2 2 3 2 3" xfId="35617"/>
    <cellStyle name="Normal 45 2 2 3 3" xfId="35618"/>
    <cellStyle name="Normal 45 2 2 3 3 2" xfId="35619"/>
    <cellStyle name="Normal 45 2 2 3 4" xfId="35620"/>
    <cellStyle name="Normal 45 2 2 4" xfId="35621"/>
    <cellStyle name="Normal 45 2 2 4 2" xfId="35622"/>
    <cellStyle name="Normal 45 2 2 4 2 2" xfId="35623"/>
    <cellStyle name="Normal 45 2 2 4 3" xfId="35624"/>
    <cellStyle name="Normal 45 2 2 5" xfId="35625"/>
    <cellStyle name="Normal 45 2 2 5 2" xfId="35626"/>
    <cellStyle name="Normal 45 2 2 6" xfId="35627"/>
    <cellStyle name="Normal 45 2 3" xfId="18483"/>
    <cellStyle name="Normal 45 2 3 2" xfId="18484"/>
    <cellStyle name="Normal 45 2 3 2 2" xfId="35628"/>
    <cellStyle name="Normal 45 2 3 2 2 2" xfId="35629"/>
    <cellStyle name="Normal 45 2 3 2 2 2 2" xfId="35630"/>
    <cellStyle name="Normal 45 2 3 2 2 3" xfId="35631"/>
    <cellStyle name="Normal 45 2 3 2 3" xfId="35632"/>
    <cellStyle name="Normal 45 2 3 2 3 2" xfId="35633"/>
    <cellStyle name="Normal 45 2 3 2 4" xfId="35634"/>
    <cellStyle name="Normal 45 2 3 3" xfId="35635"/>
    <cellStyle name="Normal 45 2 3 3 2" xfId="35636"/>
    <cellStyle name="Normal 45 2 3 3 2 2" xfId="35637"/>
    <cellStyle name="Normal 45 2 3 3 3" xfId="35638"/>
    <cellStyle name="Normal 45 2 3 4" xfId="35639"/>
    <cellStyle name="Normal 45 2 3 4 2" xfId="35640"/>
    <cellStyle name="Normal 45 2 3 5" xfId="35641"/>
    <cellStyle name="Normal 45 2 4" xfId="18485"/>
    <cellStyle name="Normal 45 2 4 2" xfId="35642"/>
    <cellStyle name="Normal 45 2 4 2 2" xfId="35643"/>
    <cellStyle name="Normal 45 2 4 2 2 2" xfId="35644"/>
    <cellStyle name="Normal 45 2 4 2 3" xfId="35645"/>
    <cellStyle name="Normal 45 2 4 3" xfId="35646"/>
    <cellStyle name="Normal 45 2 4 3 2" xfId="35647"/>
    <cellStyle name="Normal 45 2 4 4" xfId="35648"/>
    <cellStyle name="Normal 45 2 5" xfId="35649"/>
    <cellStyle name="Normal 45 2 5 2" xfId="35650"/>
    <cellStyle name="Normal 45 2 5 2 2" xfId="35651"/>
    <cellStyle name="Normal 45 2 5 3" xfId="35652"/>
    <cellStyle name="Normal 45 2 6" xfId="35653"/>
    <cellStyle name="Normal 45 2 6 2" xfId="35654"/>
    <cellStyle name="Normal 45 2 7" xfId="35655"/>
    <cellStyle name="Normal 45 3" xfId="18486"/>
    <cellStyle name="Normal 45 3 2" xfId="18487"/>
    <cellStyle name="Normal 45 3 2 2" xfId="18488"/>
    <cellStyle name="Normal 45 3 2 2 2" xfId="35656"/>
    <cellStyle name="Normal 45 3 2 2 2 2" xfId="35657"/>
    <cellStyle name="Normal 45 3 2 2 2 2 2" xfId="35658"/>
    <cellStyle name="Normal 45 3 2 2 2 3" xfId="35659"/>
    <cellStyle name="Normal 45 3 2 2 3" xfId="35660"/>
    <cellStyle name="Normal 45 3 2 2 3 2" xfId="35661"/>
    <cellStyle name="Normal 45 3 2 2 4" xfId="35662"/>
    <cellStyle name="Normal 45 3 2 3" xfId="35663"/>
    <cellStyle name="Normal 45 3 2 3 2" xfId="35664"/>
    <cellStyle name="Normal 45 3 2 3 2 2" xfId="35665"/>
    <cellStyle name="Normal 45 3 2 3 3" xfId="35666"/>
    <cellStyle name="Normal 45 3 2 4" xfId="35667"/>
    <cellStyle name="Normal 45 3 2 4 2" xfId="35668"/>
    <cellStyle name="Normal 45 3 2 5" xfId="35669"/>
    <cellStyle name="Normal 45 3 3" xfId="18489"/>
    <cellStyle name="Normal 45 3 3 2" xfId="35670"/>
    <cellStyle name="Normal 45 3 3 2 2" xfId="35671"/>
    <cellStyle name="Normal 45 3 3 2 2 2" xfId="35672"/>
    <cellStyle name="Normal 45 3 3 2 3" xfId="35673"/>
    <cellStyle name="Normal 45 3 3 3" xfId="35674"/>
    <cellStyle name="Normal 45 3 3 3 2" xfId="35675"/>
    <cellStyle name="Normal 45 3 3 4" xfId="35676"/>
    <cellStyle name="Normal 45 3 4" xfId="35677"/>
    <cellStyle name="Normal 45 3 4 2" xfId="35678"/>
    <cellStyle name="Normal 45 3 4 2 2" xfId="35679"/>
    <cellStyle name="Normal 45 3 4 3" xfId="35680"/>
    <cellStyle name="Normal 45 3 5" xfId="35681"/>
    <cellStyle name="Normal 45 3 5 2" xfId="35682"/>
    <cellStyle name="Normal 45 3 6" xfId="35683"/>
    <cellStyle name="Normal 45 4" xfId="18490"/>
    <cellStyle name="Normal 45 4 2" xfId="18491"/>
    <cellStyle name="Normal 45 4 2 2" xfId="35684"/>
    <cellStyle name="Normal 45 4 2 2 2" xfId="35685"/>
    <cellStyle name="Normal 45 4 2 2 2 2" xfId="35686"/>
    <cellStyle name="Normal 45 4 2 2 3" xfId="35687"/>
    <cellStyle name="Normal 45 4 2 3" xfId="35688"/>
    <cellStyle name="Normal 45 4 2 3 2" xfId="35689"/>
    <cellStyle name="Normal 45 4 2 4" xfId="35690"/>
    <cellStyle name="Normal 45 4 3" xfId="35691"/>
    <cellStyle name="Normal 45 4 3 2" xfId="35692"/>
    <cellStyle name="Normal 45 4 3 2 2" xfId="35693"/>
    <cellStyle name="Normal 45 4 3 3" xfId="35694"/>
    <cellStyle name="Normal 45 4 4" xfId="35695"/>
    <cellStyle name="Normal 45 4 4 2" xfId="35696"/>
    <cellStyle name="Normal 45 4 5" xfId="35697"/>
    <cellStyle name="Normal 45 5" xfId="18492"/>
    <cellStyle name="Normal 45 5 2" xfId="35698"/>
    <cellStyle name="Normal 45 5 2 2" xfId="35699"/>
    <cellStyle name="Normal 45 5 2 2 2" xfId="35700"/>
    <cellStyle name="Normal 45 5 2 3" xfId="35701"/>
    <cellStyle name="Normal 45 5 3" xfId="35702"/>
    <cellStyle name="Normal 45 5 3 2" xfId="35703"/>
    <cellStyle name="Normal 45 5 4" xfId="35704"/>
    <cellStyle name="Normal 45 6" xfId="35705"/>
    <cellStyle name="Normal 45 6 2" xfId="35706"/>
    <cellStyle name="Normal 45 6 2 2" xfId="35707"/>
    <cellStyle name="Normal 45 6 3" xfId="35708"/>
    <cellStyle name="Normal 45 7" xfId="35709"/>
    <cellStyle name="Normal 45 7 2" xfId="35710"/>
    <cellStyle name="Normal 45 8" xfId="35711"/>
    <cellStyle name="Normal 46" xfId="18493"/>
    <cellStyle name="Normal 46 2" xfId="18494"/>
    <cellStyle name="Normal 46 2 2" xfId="18495"/>
    <cellStyle name="Normal 46 2 2 2" xfId="18496"/>
    <cellStyle name="Normal 46 2 2 2 2" xfId="18497"/>
    <cellStyle name="Normal 46 2 2 2 2 2" xfId="35712"/>
    <cellStyle name="Normal 46 2 2 2 2 2 2" xfId="35713"/>
    <cellStyle name="Normal 46 2 2 2 2 2 2 2" xfId="35714"/>
    <cellStyle name="Normal 46 2 2 2 2 2 3" xfId="35715"/>
    <cellStyle name="Normal 46 2 2 2 2 3" xfId="35716"/>
    <cellStyle name="Normal 46 2 2 2 2 3 2" xfId="35717"/>
    <cellStyle name="Normal 46 2 2 2 2 4" xfId="35718"/>
    <cellStyle name="Normal 46 2 2 2 3" xfId="35719"/>
    <cellStyle name="Normal 46 2 2 2 3 2" xfId="35720"/>
    <cellStyle name="Normal 46 2 2 2 3 2 2" xfId="35721"/>
    <cellStyle name="Normal 46 2 2 2 3 3" xfId="35722"/>
    <cellStyle name="Normal 46 2 2 2 4" xfId="35723"/>
    <cellStyle name="Normal 46 2 2 2 4 2" xfId="35724"/>
    <cellStyle name="Normal 46 2 2 2 5" xfId="35725"/>
    <cellStyle name="Normal 46 2 2 3" xfId="18498"/>
    <cellStyle name="Normal 46 2 2 3 2" xfId="35726"/>
    <cellStyle name="Normal 46 2 2 3 2 2" xfId="35727"/>
    <cellStyle name="Normal 46 2 2 3 2 2 2" xfId="35728"/>
    <cellStyle name="Normal 46 2 2 3 2 3" xfId="35729"/>
    <cellStyle name="Normal 46 2 2 3 3" xfId="35730"/>
    <cellStyle name="Normal 46 2 2 3 3 2" xfId="35731"/>
    <cellStyle name="Normal 46 2 2 3 4" xfId="35732"/>
    <cellStyle name="Normal 46 2 2 4" xfId="35733"/>
    <cellStyle name="Normal 46 2 2 4 2" xfId="35734"/>
    <cellStyle name="Normal 46 2 2 4 2 2" xfId="35735"/>
    <cellStyle name="Normal 46 2 2 4 3" xfId="35736"/>
    <cellStyle name="Normal 46 2 2 5" xfId="35737"/>
    <cellStyle name="Normal 46 2 2 5 2" xfId="35738"/>
    <cellStyle name="Normal 46 2 2 6" xfId="35739"/>
    <cellStyle name="Normal 46 2 3" xfId="18499"/>
    <cellStyle name="Normal 46 2 3 2" xfId="18500"/>
    <cellStyle name="Normal 46 2 3 2 2" xfId="35740"/>
    <cellStyle name="Normal 46 2 3 2 2 2" xfId="35741"/>
    <cellStyle name="Normal 46 2 3 2 2 2 2" xfId="35742"/>
    <cellStyle name="Normal 46 2 3 2 2 3" xfId="35743"/>
    <cellStyle name="Normal 46 2 3 2 3" xfId="35744"/>
    <cellStyle name="Normal 46 2 3 2 3 2" xfId="35745"/>
    <cellStyle name="Normal 46 2 3 2 4" xfId="35746"/>
    <cellStyle name="Normal 46 2 3 3" xfId="35747"/>
    <cellStyle name="Normal 46 2 3 3 2" xfId="35748"/>
    <cellStyle name="Normal 46 2 3 3 2 2" xfId="35749"/>
    <cellStyle name="Normal 46 2 3 3 3" xfId="35750"/>
    <cellStyle name="Normal 46 2 3 4" xfId="35751"/>
    <cellStyle name="Normal 46 2 3 4 2" xfId="35752"/>
    <cellStyle name="Normal 46 2 3 5" xfId="35753"/>
    <cellStyle name="Normal 46 2 4" xfId="18501"/>
    <cellStyle name="Normal 46 2 4 2" xfId="35754"/>
    <cellStyle name="Normal 46 2 4 2 2" xfId="35755"/>
    <cellStyle name="Normal 46 2 4 2 2 2" xfId="35756"/>
    <cellStyle name="Normal 46 2 4 2 3" xfId="35757"/>
    <cellStyle name="Normal 46 2 4 3" xfId="35758"/>
    <cellStyle name="Normal 46 2 4 3 2" xfId="35759"/>
    <cellStyle name="Normal 46 2 4 4" xfId="35760"/>
    <cellStyle name="Normal 46 2 5" xfId="35761"/>
    <cellStyle name="Normal 46 2 5 2" xfId="35762"/>
    <cellStyle name="Normal 46 2 5 2 2" xfId="35763"/>
    <cellStyle name="Normal 46 2 5 3" xfId="35764"/>
    <cellStyle name="Normal 46 2 6" xfId="35765"/>
    <cellStyle name="Normal 46 2 6 2" xfId="35766"/>
    <cellStyle name="Normal 46 2 7" xfId="35767"/>
    <cellStyle name="Normal 46 3" xfId="18502"/>
    <cellStyle name="Normal 46 3 2" xfId="18503"/>
    <cellStyle name="Normal 46 3 2 2" xfId="18504"/>
    <cellStyle name="Normal 46 3 2 2 2" xfId="35768"/>
    <cellStyle name="Normal 46 3 2 2 2 2" xfId="35769"/>
    <cellStyle name="Normal 46 3 2 2 2 2 2" xfId="35770"/>
    <cellStyle name="Normal 46 3 2 2 2 3" xfId="35771"/>
    <cellStyle name="Normal 46 3 2 2 3" xfId="35772"/>
    <cellStyle name="Normal 46 3 2 2 3 2" xfId="35773"/>
    <cellStyle name="Normal 46 3 2 2 4" xfId="35774"/>
    <cellStyle name="Normal 46 3 2 3" xfId="35775"/>
    <cellStyle name="Normal 46 3 2 3 2" xfId="35776"/>
    <cellStyle name="Normal 46 3 2 3 2 2" xfId="35777"/>
    <cellStyle name="Normal 46 3 2 3 3" xfId="35778"/>
    <cellStyle name="Normal 46 3 2 4" xfId="35779"/>
    <cellStyle name="Normal 46 3 2 4 2" xfId="35780"/>
    <cellStyle name="Normal 46 3 2 5" xfId="35781"/>
    <cellStyle name="Normal 46 3 3" xfId="18505"/>
    <cellStyle name="Normal 46 3 3 2" xfId="35782"/>
    <cellStyle name="Normal 46 3 3 2 2" xfId="35783"/>
    <cellStyle name="Normal 46 3 3 2 2 2" xfId="35784"/>
    <cellStyle name="Normal 46 3 3 2 3" xfId="35785"/>
    <cellStyle name="Normal 46 3 3 3" xfId="35786"/>
    <cellStyle name="Normal 46 3 3 3 2" xfId="35787"/>
    <cellStyle name="Normal 46 3 3 4" xfId="35788"/>
    <cellStyle name="Normal 46 3 4" xfId="35789"/>
    <cellStyle name="Normal 46 3 4 2" xfId="35790"/>
    <cellStyle name="Normal 46 3 4 2 2" xfId="35791"/>
    <cellStyle name="Normal 46 3 4 3" xfId="35792"/>
    <cellStyle name="Normal 46 3 5" xfId="35793"/>
    <cellStyle name="Normal 46 3 5 2" xfId="35794"/>
    <cellStyle name="Normal 46 3 6" xfId="35795"/>
    <cellStyle name="Normal 46 4" xfId="18506"/>
    <cellStyle name="Normal 46 4 2" xfId="18507"/>
    <cellStyle name="Normal 46 4 2 2" xfId="35796"/>
    <cellStyle name="Normal 46 4 2 2 2" xfId="35797"/>
    <cellStyle name="Normal 46 4 2 2 2 2" xfId="35798"/>
    <cellStyle name="Normal 46 4 2 2 3" xfId="35799"/>
    <cellStyle name="Normal 46 4 2 3" xfId="35800"/>
    <cellStyle name="Normal 46 4 2 3 2" xfId="35801"/>
    <cellStyle name="Normal 46 4 2 4" xfId="35802"/>
    <cellStyle name="Normal 46 4 3" xfId="35803"/>
    <cellStyle name="Normal 46 4 3 2" xfId="35804"/>
    <cellStyle name="Normal 46 4 3 2 2" xfId="35805"/>
    <cellStyle name="Normal 46 4 3 3" xfId="35806"/>
    <cellStyle name="Normal 46 4 4" xfId="35807"/>
    <cellStyle name="Normal 46 4 4 2" xfId="35808"/>
    <cellStyle name="Normal 46 4 5" xfId="35809"/>
    <cellStyle name="Normal 46 5" xfId="18508"/>
    <cellStyle name="Normal 46 5 2" xfId="35810"/>
    <cellStyle name="Normal 46 5 2 2" xfId="35811"/>
    <cellStyle name="Normal 46 5 2 2 2" xfId="35812"/>
    <cellStyle name="Normal 46 5 2 3" xfId="35813"/>
    <cellStyle name="Normal 46 5 3" xfId="35814"/>
    <cellStyle name="Normal 46 5 3 2" xfId="35815"/>
    <cellStyle name="Normal 46 5 4" xfId="35816"/>
    <cellStyle name="Normal 46 6" xfId="35817"/>
    <cellStyle name="Normal 46 6 2" xfId="35818"/>
    <cellStyle name="Normal 46 6 2 2" xfId="35819"/>
    <cellStyle name="Normal 46 6 3" xfId="35820"/>
    <cellStyle name="Normal 46 7" xfId="35821"/>
    <cellStyle name="Normal 46 7 2" xfId="35822"/>
    <cellStyle name="Normal 46 8" xfId="35823"/>
    <cellStyle name="Normal 47" xfId="18509"/>
    <cellStyle name="Normal 47 2" xfId="18510"/>
    <cellStyle name="Normal 47 2 2" xfId="18511"/>
    <cellStyle name="Normal 47 2 2 2" xfId="18512"/>
    <cellStyle name="Normal 47 2 2 2 2" xfId="18513"/>
    <cellStyle name="Normal 47 2 2 2 2 2" xfId="35824"/>
    <cellStyle name="Normal 47 2 2 2 2 2 2" xfId="35825"/>
    <cellStyle name="Normal 47 2 2 2 2 2 2 2" xfId="35826"/>
    <cellStyle name="Normal 47 2 2 2 2 2 3" xfId="35827"/>
    <cellStyle name="Normal 47 2 2 2 2 3" xfId="35828"/>
    <cellStyle name="Normal 47 2 2 2 2 3 2" xfId="35829"/>
    <cellStyle name="Normal 47 2 2 2 2 4" xfId="35830"/>
    <cellStyle name="Normal 47 2 2 2 3" xfId="35831"/>
    <cellStyle name="Normal 47 2 2 2 3 2" xfId="35832"/>
    <cellStyle name="Normal 47 2 2 2 3 2 2" xfId="35833"/>
    <cellStyle name="Normal 47 2 2 2 3 3" xfId="35834"/>
    <cellStyle name="Normal 47 2 2 2 4" xfId="35835"/>
    <cellStyle name="Normal 47 2 2 2 4 2" xfId="35836"/>
    <cellStyle name="Normal 47 2 2 2 5" xfId="35837"/>
    <cellStyle name="Normal 47 2 2 3" xfId="18514"/>
    <cellStyle name="Normal 47 2 2 3 2" xfId="35838"/>
    <cellStyle name="Normal 47 2 2 3 2 2" xfId="35839"/>
    <cellStyle name="Normal 47 2 2 3 2 2 2" xfId="35840"/>
    <cellStyle name="Normal 47 2 2 3 2 3" xfId="35841"/>
    <cellStyle name="Normal 47 2 2 3 3" xfId="35842"/>
    <cellStyle name="Normal 47 2 2 3 3 2" xfId="35843"/>
    <cellStyle name="Normal 47 2 2 3 4" xfId="35844"/>
    <cellStyle name="Normal 47 2 2 4" xfId="35845"/>
    <cellStyle name="Normal 47 2 2 4 2" xfId="35846"/>
    <cellStyle name="Normal 47 2 2 4 2 2" xfId="35847"/>
    <cellStyle name="Normal 47 2 2 4 3" xfId="35848"/>
    <cellStyle name="Normal 47 2 2 5" xfId="35849"/>
    <cellStyle name="Normal 47 2 2 5 2" xfId="35850"/>
    <cellStyle name="Normal 47 2 2 6" xfId="35851"/>
    <cellStyle name="Normal 47 2 3" xfId="18515"/>
    <cellStyle name="Normal 47 2 3 2" xfId="18516"/>
    <cellStyle name="Normal 47 2 3 2 2" xfId="35852"/>
    <cellStyle name="Normal 47 2 3 2 2 2" xfId="35853"/>
    <cellStyle name="Normal 47 2 3 2 2 2 2" xfId="35854"/>
    <cellStyle name="Normal 47 2 3 2 2 3" xfId="35855"/>
    <cellStyle name="Normal 47 2 3 2 3" xfId="35856"/>
    <cellStyle name="Normal 47 2 3 2 3 2" xfId="35857"/>
    <cellStyle name="Normal 47 2 3 2 4" xfId="35858"/>
    <cellStyle name="Normal 47 2 3 3" xfId="35859"/>
    <cellStyle name="Normal 47 2 3 3 2" xfId="35860"/>
    <cellStyle name="Normal 47 2 3 3 2 2" xfId="35861"/>
    <cellStyle name="Normal 47 2 3 3 3" xfId="35862"/>
    <cellStyle name="Normal 47 2 3 4" xfId="35863"/>
    <cellStyle name="Normal 47 2 3 4 2" xfId="35864"/>
    <cellStyle name="Normal 47 2 3 5" xfId="35865"/>
    <cellStyle name="Normal 47 2 4" xfId="18517"/>
    <cellStyle name="Normal 47 2 4 2" xfId="35866"/>
    <cellStyle name="Normal 47 2 4 2 2" xfId="35867"/>
    <cellStyle name="Normal 47 2 4 2 2 2" xfId="35868"/>
    <cellStyle name="Normal 47 2 4 2 3" xfId="35869"/>
    <cellStyle name="Normal 47 2 4 3" xfId="35870"/>
    <cellStyle name="Normal 47 2 4 3 2" xfId="35871"/>
    <cellStyle name="Normal 47 2 4 4" xfId="35872"/>
    <cellStyle name="Normal 47 2 5" xfId="35873"/>
    <cellStyle name="Normal 47 2 5 2" xfId="35874"/>
    <cellStyle name="Normal 47 2 5 2 2" xfId="35875"/>
    <cellStyle name="Normal 47 2 5 3" xfId="35876"/>
    <cellStyle name="Normal 47 2 6" xfId="35877"/>
    <cellStyle name="Normal 47 2 6 2" xfId="35878"/>
    <cellStyle name="Normal 47 2 7" xfId="35879"/>
    <cellStyle name="Normal 47 3" xfId="18518"/>
    <cellStyle name="Normal 47 3 2" xfId="18519"/>
    <cellStyle name="Normal 47 3 2 2" xfId="18520"/>
    <cellStyle name="Normal 47 3 2 2 2" xfId="35880"/>
    <cellStyle name="Normal 47 3 2 2 2 2" xfId="35881"/>
    <cellStyle name="Normal 47 3 2 2 2 2 2" xfId="35882"/>
    <cellStyle name="Normal 47 3 2 2 2 3" xfId="35883"/>
    <cellStyle name="Normal 47 3 2 2 3" xfId="35884"/>
    <cellStyle name="Normal 47 3 2 2 3 2" xfId="35885"/>
    <cellStyle name="Normal 47 3 2 2 4" xfId="35886"/>
    <cellStyle name="Normal 47 3 2 3" xfId="35887"/>
    <cellStyle name="Normal 47 3 2 3 2" xfId="35888"/>
    <cellStyle name="Normal 47 3 2 3 2 2" xfId="35889"/>
    <cellStyle name="Normal 47 3 2 3 3" xfId="35890"/>
    <cellStyle name="Normal 47 3 2 4" xfId="35891"/>
    <cellStyle name="Normal 47 3 2 4 2" xfId="35892"/>
    <cellStyle name="Normal 47 3 2 5" xfId="35893"/>
    <cellStyle name="Normal 47 3 3" xfId="18521"/>
    <cellStyle name="Normal 47 3 3 2" xfId="35894"/>
    <cellStyle name="Normal 47 3 3 2 2" xfId="35895"/>
    <cellStyle name="Normal 47 3 3 2 2 2" xfId="35896"/>
    <cellStyle name="Normal 47 3 3 2 3" xfId="35897"/>
    <cellStyle name="Normal 47 3 3 3" xfId="35898"/>
    <cellStyle name="Normal 47 3 3 3 2" xfId="35899"/>
    <cellStyle name="Normal 47 3 3 4" xfId="35900"/>
    <cellStyle name="Normal 47 3 4" xfId="35901"/>
    <cellStyle name="Normal 47 3 4 2" xfId="35902"/>
    <cellStyle name="Normal 47 3 4 2 2" xfId="35903"/>
    <cellStyle name="Normal 47 3 4 3" xfId="35904"/>
    <cellStyle name="Normal 47 3 5" xfId="35905"/>
    <cellStyle name="Normal 47 3 5 2" xfId="35906"/>
    <cellStyle name="Normal 47 3 6" xfId="35907"/>
    <cellStyle name="Normal 47 4" xfId="18522"/>
    <cellStyle name="Normal 47 4 2" xfId="18523"/>
    <cellStyle name="Normal 47 4 2 2" xfId="35908"/>
    <cellStyle name="Normal 47 4 2 2 2" xfId="35909"/>
    <cellStyle name="Normal 47 4 2 2 2 2" xfId="35910"/>
    <cellStyle name="Normal 47 4 2 2 3" xfId="35911"/>
    <cellStyle name="Normal 47 4 2 3" xfId="35912"/>
    <cellStyle name="Normal 47 4 2 3 2" xfId="35913"/>
    <cellStyle name="Normal 47 4 2 4" xfId="35914"/>
    <cellStyle name="Normal 47 4 3" xfId="35915"/>
    <cellStyle name="Normal 47 4 3 2" xfId="35916"/>
    <cellStyle name="Normal 47 4 3 2 2" xfId="35917"/>
    <cellStyle name="Normal 47 4 3 3" xfId="35918"/>
    <cellStyle name="Normal 47 4 4" xfId="35919"/>
    <cellStyle name="Normal 47 4 4 2" xfId="35920"/>
    <cellStyle name="Normal 47 4 5" xfId="35921"/>
    <cellStyle name="Normal 47 5" xfId="18524"/>
    <cellStyle name="Normal 47 5 2" xfId="35922"/>
    <cellStyle name="Normal 47 5 2 2" xfId="35923"/>
    <cellStyle name="Normal 47 5 2 2 2" xfId="35924"/>
    <cellStyle name="Normal 47 5 2 3" xfId="35925"/>
    <cellStyle name="Normal 47 5 3" xfId="35926"/>
    <cellStyle name="Normal 47 5 3 2" xfId="35927"/>
    <cellStyle name="Normal 47 5 4" xfId="35928"/>
    <cellStyle name="Normal 47 6" xfId="35929"/>
    <cellStyle name="Normal 47 6 2" xfId="35930"/>
    <cellStyle name="Normal 47 6 2 2" xfId="35931"/>
    <cellStyle name="Normal 47 6 3" xfId="35932"/>
    <cellStyle name="Normal 47 7" xfId="35933"/>
    <cellStyle name="Normal 47 7 2" xfId="35934"/>
    <cellStyle name="Normal 47 8" xfId="35935"/>
    <cellStyle name="Normal 48" xfId="18525"/>
    <cellStyle name="Normal 48 2" xfId="18526"/>
    <cellStyle name="Normal 48 2 2" xfId="18527"/>
    <cellStyle name="Normal 48 2 2 2" xfId="18528"/>
    <cellStyle name="Normal 48 2 2 2 2" xfId="18529"/>
    <cellStyle name="Normal 48 2 2 2 2 2" xfId="35936"/>
    <cellStyle name="Normal 48 2 2 2 2 2 2" xfId="35937"/>
    <cellStyle name="Normal 48 2 2 2 2 2 2 2" xfId="35938"/>
    <cellStyle name="Normal 48 2 2 2 2 2 3" xfId="35939"/>
    <cellStyle name="Normal 48 2 2 2 2 3" xfId="35940"/>
    <cellStyle name="Normal 48 2 2 2 2 3 2" xfId="35941"/>
    <cellStyle name="Normal 48 2 2 2 2 4" xfId="35942"/>
    <cellStyle name="Normal 48 2 2 2 3" xfId="35943"/>
    <cellStyle name="Normal 48 2 2 2 3 2" xfId="35944"/>
    <cellStyle name="Normal 48 2 2 2 3 2 2" xfId="35945"/>
    <cellStyle name="Normal 48 2 2 2 3 3" xfId="35946"/>
    <cellStyle name="Normal 48 2 2 2 4" xfId="35947"/>
    <cellStyle name="Normal 48 2 2 2 4 2" xfId="35948"/>
    <cellStyle name="Normal 48 2 2 2 5" xfId="35949"/>
    <cellStyle name="Normal 48 2 2 3" xfId="18530"/>
    <cellStyle name="Normal 48 2 2 3 2" xfId="35950"/>
    <cellStyle name="Normal 48 2 2 3 2 2" xfId="35951"/>
    <cellStyle name="Normal 48 2 2 3 2 2 2" xfId="35952"/>
    <cellStyle name="Normal 48 2 2 3 2 3" xfId="35953"/>
    <cellStyle name="Normal 48 2 2 3 3" xfId="35954"/>
    <cellStyle name="Normal 48 2 2 3 3 2" xfId="35955"/>
    <cellStyle name="Normal 48 2 2 3 4" xfId="35956"/>
    <cellStyle name="Normal 48 2 2 4" xfId="35957"/>
    <cellStyle name="Normal 48 2 2 4 2" xfId="35958"/>
    <cellStyle name="Normal 48 2 2 4 2 2" xfId="35959"/>
    <cellStyle name="Normal 48 2 2 4 3" xfId="35960"/>
    <cellStyle name="Normal 48 2 2 5" xfId="35961"/>
    <cellStyle name="Normal 48 2 2 5 2" xfId="35962"/>
    <cellStyle name="Normal 48 2 2 6" xfId="35963"/>
    <cellStyle name="Normal 48 2 3" xfId="18531"/>
    <cellStyle name="Normal 48 2 3 2" xfId="18532"/>
    <cellStyle name="Normal 48 2 3 2 2" xfId="35964"/>
    <cellStyle name="Normal 48 2 3 2 2 2" xfId="35965"/>
    <cellStyle name="Normal 48 2 3 2 2 2 2" xfId="35966"/>
    <cellStyle name="Normal 48 2 3 2 2 3" xfId="35967"/>
    <cellStyle name="Normal 48 2 3 2 3" xfId="35968"/>
    <cellStyle name="Normal 48 2 3 2 3 2" xfId="35969"/>
    <cellStyle name="Normal 48 2 3 2 4" xfId="35970"/>
    <cellStyle name="Normal 48 2 3 3" xfId="35971"/>
    <cellStyle name="Normal 48 2 3 3 2" xfId="35972"/>
    <cellStyle name="Normal 48 2 3 3 2 2" xfId="35973"/>
    <cellStyle name="Normal 48 2 3 3 3" xfId="35974"/>
    <cellStyle name="Normal 48 2 3 4" xfId="35975"/>
    <cellStyle name="Normal 48 2 3 4 2" xfId="35976"/>
    <cellStyle name="Normal 48 2 3 5" xfId="35977"/>
    <cellStyle name="Normal 48 2 4" xfId="18533"/>
    <cellStyle name="Normal 48 2 4 2" xfId="35978"/>
    <cellStyle name="Normal 48 2 4 2 2" xfId="35979"/>
    <cellStyle name="Normal 48 2 4 2 2 2" xfId="35980"/>
    <cellStyle name="Normal 48 2 4 2 3" xfId="35981"/>
    <cellStyle name="Normal 48 2 4 3" xfId="35982"/>
    <cellStyle name="Normal 48 2 4 3 2" xfId="35983"/>
    <cellStyle name="Normal 48 2 4 4" xfId="35984"/>
    <cellStyle name="Normal 48 2 5" xfId="35985"/>
    <cellStyle name="Normal 48 2 5 2" xfId="35986"/>
    <cellStyle name="Normal 48 2 5 2 2" xfId="35987"/>
    <cellStyle name="Normal 48 2 5 3" xfId="35988"/>
    <cellStyle name="Normal 48 2 6" xfId="35989"/>
    <cellStyle name="Normal 48 2 6 2" xfId="35990"/>
    <cellStyle name="Normal 48 2 7" xfId="35991"/>
    <cellStyle name="Normal 48 3" xfId="18534"/>
    <cellStyle name="Normal 48 3 2" xfId="18535"/>
    <cellStyle name="Normal 48 3 2 2" xfId="18536"/>
    <cellStyle name="Normal 48 3 2 2 2" xfId="35992"/>
    <cellStyle name="Normal 48 3 2 2 2 2" xfId="35993"/>
    <cellStyle name="Normal 48 3 2 2 2 2 2" xfId="35994"/>
    <cellStyle name="Normal 48 3 2 2 2 3" xfId="35995"/>
    <cellStyle name="Normal 48 3 2 2 3" xfId="35996"/>
    <cellStyle name="Normal 48 3 2 2 3 2" xfId="35997"/>
    <cellStyle name="Normal 48 3 2 2 4" xfId="35998"/>
    <cellStyle name="Normal 48 3 2 3" xfId="35999"/>
    <cellStyle name="Normal 48 3 2 3 2" xfId="36000"/>
    <cellStyle name="Normal 48 3 2 3 2 2" xfId="36001"/>
    <cellStyle name="Normal 48 3 2 3 3" xfId="36002"/>
    <cellStyle name="Normal 48 3 2 4" xfId="36003"/>
    <cellStyle name="Normal 48 3 2 4 2" xfId="36004"/>
    <cellStyle name="Normal 48 3 2 5" xfId="36005"/>
    <cellStyle name="Normal 48 3 3" xfId="18537"/>
    <cellStyle name="Normal 48 3 3 2" xfId="36006"/>
    <cellStyle name="Normal 48 3 3 2 2" xfId="36007"/>
    <cellStyle name="Normal 48 3 3 2 2 2" xfId="36008"/>
    <cellStyle name="Normal 48 3 3 2 3" xfId="36009"/>
    <cellStyle name="Normal 48 3 3 3" xfId="36010"/>
    <cellStyle name="Normal 48 3 3 3 2" xfId="36011"/>
    <cellStyle name="Normal 48 3 3 4" xfId="36012"/>
    <cellStyle name="Normal 48 3 4" xfId="36013"/>
    <cellStyle name="Normal 48 3 4 2" xfId="36014"/>
    <cellStyle name="Normal 48 3 4 2 2" xfId="36015"/>
    <cellStyle name="Normal 48 3 4 3" xfId="36016"/>
    <cellStyle name="Normal 48 3 5" xfId="36017"/>
    <cellStyle name="Normal 48 3 5 2" xfId="36018"/>
    <cellStyle name="Normal 48 3 6" xfId="36019"/>
    <cellStyle name="Normal 48 4" xfId="18538"/>
    <cellStyle name="Normal 48 4 2" xfId="18539"/>
    <cellStyle name="Normal 48 4 2 2" xfId="36020"/>
    <cellStyle name="Normal 48 4 2 2 2" xfId="36021"/>
    <cellStyle name="Normal 48 4 2 2 2 2" xfId="36022"/>
    <cellStyle name="Normal 48 4 2 2 3" xfId="36023"/>
    <cellStyle name="Normal 48 4 2 3" xfId="36024"/>
    <cellStyle name="Normal 48 4 2 3 2" xfId="36025"/>
    <cellStyle name="Normal 48 4 2 4" xfId="36026"/>
    <cellStyle name="Normal 48 4 3" xfId="36027"/>
    <cellStyle name="Normal 48 4 3 2" xfId="36028"/>
    <cellStyle name="Normal 48 4 3 2 2" xfId="36029"/>
    <cellStyle name="Normal 48 4 3 3" xfId="36030"/>
    <cellStyle name="Normal 48 4 4" xfId="36031"/>
    <cellStyle name="Normal 48 4 4 2" xfId="36032"/>
    <cellStyle name="Normal 48 4 5" xfId="36033"/>
    <cellStyle name="Normal 48 5" xfId="18540"/>
    <cellStyle name="Normal 48 5 2" xfId="36034"/>
    <cellStyle name="Normal 48 5 2 2" xfId="36035"/>
    <cellStyle name="Normal 48 5 2 2 2" xfId="36036"/>
    <cellStyle name="Normal 48 5 2 3" xfId="36037"/>
    <cellStyle name="Normal 48 5 3" xfId="36038"/>
    <cellStyle name="Normal 48 5 3 2" xfId="36039"/>
    <cellStyle name="Normal 48 5 4" xfId="36040"/>
    <cellStyle name="Normal 48 6" xfId="36041"/>
    <cellStyle name="Normal 48 6 2" xfId="36042"/>
    <cellStyle name="Normal 48 6 2 2" xfId="36043"/>
    <cellStyle name="Normal 48 6 3" xfId="36044"/>
    <cellStyle name="Normal 48 7" xfId="36045"/>
    <cellStyle name="Normal 48 7 2" xfId="36046"/>
    <cellStyle name="Normal 48 8" xfId="36047"/>
    <cellStyle name="Normal 49" xfId="18541"/>
    <cellStyle name="Normal 49 2" xfId="18542"/>
    <cellStyle name="Normal 49 2 2" xfId="18543"/>
    <cellStyle name="Normal 49 2 2 2" xfId="18544"/>
    <cellStyle name="Normal 49 2 2 2 2" xfId="18545"/>
    <cellStyle name="Normal 49 2 2 2 2 2" xfId="36048"/>
    <cellStyle name="Normal 49 2 2 2 2 2 2" xfId="36049"/>
    <cellStyle name="Normal 49 2 2 2 2 2 2 2" xfId="36050"/>
    <cellStyle name="Normal 49 2 2 2 2 2 3" xfId="36051"/>
    <cellStyle name="Normal 49 2 2 2 2 3" xfId="36052"/>
    <cellStyle name="Normal 49 2 2 2 2 3 2" xfId="36053"/>
    <cellStyle name="Normal 49 2 2 2 2 4" xfId="36054"/>
    <cellStyle name="Normal 49 2 2 2 3" xfId="36055"/>
    <cellStyle name="Normal 49 2 2 2 3 2" xfId="36056"/>
    <cellStyle name="Normal 49 2 2 2 3 2 2" xfId="36057"/>
    <cellStyle name="Normal 49 2 2 2 3 3" xfId="36058"/>
    <cellStyle name="Normal 49 2 2 2 4" xfId="36059"/>
    <cellStyle name="Normal 49 2 2 2 4 2" xfId="36060"/>
    <cellStyle name="Normal 49 2 2 2 5" xfId="36061"/>
    <cellStyle name="Normal 49 2 2 3" xfId="18546"/>
    <cellStyle name="Normal 49 2 2 3 2" xfId="36062"/>
    <cellStyle name="Normal 49 2 2 3 2 2" xfId="36063"/>
    <cellStyle name="Normal 49 2 2 3 2 2 2" xfId="36064"/>
    <cellStyle name="Normal 49 2 2 3 2 3" xfId="36065"/>
    <cellStyle name="Normal 49 2 2 3 3" xfId="36066"/>
    <cellStyle name="Normal 49 2 2 3 3 2" xfId="36067"/>
    <cellStyle name="Normal 49 2 2 3 4" xfId="36068"/>
    <cellStyle name="Normal 49 2 2 4" xfId="36069"/>
    <cellStyle name="Normal 49 2 2 4 2" xfId="36070"/>
    <cellStyle name="Normal 49 2 2 4 2 2" xfId="36071"/>
    <cellStyle name="Normal 49 2 2 4 3" xfId="36072"/>
    <cellStyle name="Normal 49 2 2 5" xfId="36073"/>
    <cellStyle name="Normal 49 2 2 5 2" xfId="36074"/>
    <cellStyle name="Normal 49 2 2 6" xfId="36075"/>
    <cellStyle name="Normal 49 2 3" xfId="18547"/>
    <cellStyle name="Normal 49 2 3 2" xfId="18548"/>
    <cellStyle name="Normal 49 2 3 2 2" xfId="36076"/>
    <cellStyle name="Normal 49 2 3 2 2 2" xfId="36077"/>
    <cellStyle name="Normal 49 2 3 2 2 2 2" xfId="36078"/>
    <cellStyle name="Normal 49 2 3 2 2 3" xfId="36079"/>
    <cellStyle name="Normal 49 2 3 2 3" xfId="36080"/>
    <cellStyle name="Normal 49 2 3 2 3 2" xfId="36081"/>
    <cellStyle name="Normal 49 2 3 2 4" xfId="36082"/>
    <cellStyle name="Normal 49 2 3 3" xfId="36083"/>
    <cellStyle name="Normal 49 2 3 3 2" xfId="36084"/>
    <cellStyle name="Normal 49 2 3 3 2 2" xfId="36085"/>
    <cellStyle name="Normal 49 2 3 3 3" xfId="36086"/>
    <cellStyle name="Normal 49 2 3 4" xfId="36087"/>
    <cellStyle name="Normal 49 2 3 4 2" xfId="36088"/>
    <cellStyle name="Normal 49 2 3 5" xfId="36089"/>
    <cellStyle name="Normal 49 2 4" xfId="18549"/>
    <cellStyle name="Normal 49 2 4 2" xfId="36090"/>
    <cellStyle name="Normal 49 2 4 2 2" xfId="36091"/>
    <cellStyle name="Normal 49 2 4 2 2 2" xfId="36092"/>
    <cellStyle name="Normal 49 2 4 2 3" xfId="36093"/>
    <cellStyle name="Normal 49 2 4 3" xfId="36094"/>
    <cellStyle name="Normal 49 2 4 3 2" xfId="36095"/>
    <cellStyle name="Normal 49 2 4 4" xfId="36096"/>
    <cellStyle name="Normal 49 2 5" xfId="36097"/>
    <cellStyle name="Normal 49 2 5 2" xfId="36098"/>
    <cellStyle name="Normal 49 2 5 2 2" xfId="36099"/>
    <cellStyle name="Normal 49 2 5 3" xfId="36100"/>
    <cellStyle name="Normal 49 2 6" xfId="36101"/>
    <cellStyle name="Normal 49 2 6 2" xfId="36102"/>
    <cellStyle name="Normal 49 2 7" xfId="36103"/>
    <cellStyle name="Normal 49 3" xfId="18550"/>
    <cellStyle name="Normal 49 3 2" xfId="18551"/>
    <cellStyle name="Normal 49 3 2 2" xfId="18552"/>
    <cellStyle name="Normal 49 3 2 2 2" xfId="36104"/>
    <cellStyle name="Normal 49 3 2 2 2 2" xfId="36105"/>
    <cellStyle name="Normal 49 3 2 2 2 2 2" xfId="36106"/>
    <cellStyle name="Normal 49 3 2 2 2 3" xfId="36107"/>
    <cellStyle name="Normal 49 3 2 2 3" xfId="36108"/>
    <cellStyle name="Normal 49 3 2 2 3 2" xfId="36109"/>
    <cellStyle name="Normal 49 3 2 2 4" xfId="36110"/>
    <cellStyle name="Normal 49 3 2 3" xfId="36111"/>
    <cellStyle name="Normal 49 3 2 3 2" xfId="36112"/>
    <cellStyle name="Normal 49 3 2 3 2 2" xfId="36113"/>
    <cellStyle name="Normal 49 3 2 3 3" xfId="36114"/>
    <cellStyle name="Normal 49 3 2 4" xfId="36115"/>
    <cellStyle name="Normal 49 3 2 4 2" xfId="36116"/>
    <cellStyle name="Normal 49 3 2 5" xfId="36117"/>
    <cellStyle name="Normal 49 3 3" xfId="18553"/>
    <cellStyle name="Normal 49 3 3 2" xfId="36118"/>
    <cellStyle name="Normal 49 3 3 2 2" xfId="36119"/>
    <cellStyle name="Normal 49 3 3 2 2 2" xfId="36120"/>
    <cellStyle name="Normal 49 3 3 2 3" xfId="36121"/>
    <cellStyle name="Normal 49 3 3 3" xfId="36122"/>
    <cellStyle name="Normal 49 3 3 3 2" xfId="36123"/>
    <cellStyle name="Normal 49 3 3 4" xfId="36124"/>
    <cellStyle name="Normal 49 3 4" xfId="36125"/>
    <cellStyle name="Normal 49 3 4 2" xfId="36126"/>
    <cellStyle name="Normal 49 3 4 2 2" xfId="36127"/>
    <cellStyle name="Normal 49 3 4 3" xfId="36128"/>
    <cellStyle name="Normal 49 3 5" xfId="36129"/>
    <cellStyle name="Normal 49 3 5 2" xfId="36130"/>
    <cellStyle name="Normal 49 3 6" xfId="36131"/>
    <cellStyle name="Normal 49 4" xfId="18554"/>
    <cellStyle name="Normal 49 4 2" xfId="18555"/>
    <cellStyle name="Normal 49 4 2 2" xfId="36132"/>
    <cellStyle name="Normal 49 4 2 2 2" xfId="36133"/>
    <cellStyle name="Normal 49 4 2 2 2 2" xfId="36134"/>
    <cellStyle name="Normal 49 4 2 2 3" xfId="36135"/>
    <cellStyle name="Normal 49 4 2 3" xfId="36136"/>
    <cellStyle name="Normal 49 4 2 3 2" xfId="36137"/>
    <cellStyle name="Normal 49 4 2 4" xfId="36138"/>
    <cellStyle name="Normal 49 4 3" xfId="36139"/>
    <cellStyle name="Normal 49 4 3 2" xfId="36140"/>
    <cellStyle name="Normal 49 4 3 2 2" xfId="36141"/>
    <cellStyle name="Normal 49 4 3 3" xfId="36142"/>
    <cellStyle name="Normal 49 4 4" xfId="36143"/>
    <cellStyle name="Normal 49 4 4 2" xfId="36144"/>
    <cellStyle name="Normal 49 4 5" xfId="36145"/>
    <cellStyle name="Normal 49 5" xfId="18556"/>
    <cellStyle name="Normal 49 5 2" xfId="36146"/>
    <cellStyle name="Normal 49 5 2 2" xfId="36147"/>
    <cellStyle name="Normal 49 5 2 2 2" xfId="36148"/>
    <cellStyle name="Normal 49 5 2 3" xfId="36149"/>
    <cellStyle name="Normal 49 5 3" xfId="36150"/>
    <cellStyle name="Normal 49 5 3 2" xfId="36151"/>
    <cellStyle name="Normal 49 5 4" xfId="36152"/>
    <cellStyle name="Normal 49 6" xfId="36153"/>
    <cellStyle name="Normal 49 6 2" xfId="36154"/>
    <cellStyle name="Normal 49 6 2 2" xfId="36155"/>
    <cellStyle name="Normal 49 6 3" xfId="36156"/>
    <cellStyle name="Normal 49 7" xfId="36157"/>
    <cellStyle name="Normal 49 7 2" xfId="36158"/>
    <cellStyle name="Normal 49 8" xfId="36159"/>
    <cellStyle name="Normal 5" xfId="73"/>
    <cellStyle name="Normal 5 10" xfId="18557"/>
    <cellStyle name="Normal 5 10 2" xfId="18558"/>
    <cellStyle name="Normal 5 10 2 2" xfId="18559"/>
    <cellStyle name="Normal 5 10 2 2 2" xfId="18560"/>
    <cellStyle name="Normal 5 10 2 2 2 2" xfId="36160"/>
    <cellStyle name="Normal 5 10 2 2 2 2 2" xfId="36161"/>
    <cellStyle name="Normal 5 10 2 2 2 2 2 2" xfId="36162"/>
    <cellStyle name="Normal 5 10 2 2 2 2 3" xfId="36163"/>
    <cellStyle name="Normal 5 10 2 2 2 3" xfId="36164"/>
    <cellStyle name="Normal 5 10 2 2 2 3 2" xfId="36165"/>
    <cellStyle name="Normal 5 10 2 2 2 4" xfId="36166"/>
    <cellStyle name="Normal 5 10 2 2 3" xfId="36167"/>
    <cellStyle name="Normal 5 10 2 2 3 2" xfId="36168"/>
    <cellStyle name="Normal 5 10 2 2 3 2 2" xfId="36169"/>
    <cellStyle name="Normal 5 10 2 2 3 3" xfId="36170"/>
    <cellStyle name="Normal 5 10 2 2 4" xfId="36171"/>
    <cellStyle name="Normal 5 10 2 2 4 2" xfId="36172"/>
    <cellStyle name="Normal 5 10 2 2 5" xfId="36173"/>
    <cellStyle name="Normal 5 10 2 3" xfId="18561"/>
    <cellStyle name="Normal 5 10 2 3 2" xfId="36174"/>
    <cellStyle name="Normal 5 10 2 3 2 2" xfId="36175"/>
    <cellStyle name="Normal 5 10 2 3 2 2 2" xfId="36176"/>
    <cellStyle name="Normal 5 10 2 3 2 3" xfId="36177"/>
    <cellStyle name="Normal 5 10 2 3 3" xfId="36178"/>
    <cellStyle name="Normal 5 10 2 3 3 2" xfId="36179"/>
    <cellStyle name="Normal 5 10 2 3 4" xfId="36180"/>
    <cellStyle name="Normal 5 10 2 4" xfId="36181"/>
    <cellStyle name="Normal 5 10 2 4 2" xfId="36182"/>
    <cellStyle name="Normal 5 10 2 4 2 2" xfId="36183"/>
    <cellStyle name="Normal 5 10 2 4 3" xfId="36184"/>
    <cellStyle name="Normal 5 10 2 5" xfId="36185"/>
    <cellStyle name="Normal 5 10 2 5 2" xfId="36186"/>
    <cellStyle name="Normal 5 10 2 6" xfId="36187"/>
    <cellStyle name="Normal 5 10 3" xfId="18562"/>
    <cellStyle name="Normal 5 10 3 2" xfId="18563"/>
    <cellStyle name="Normal 5 10 3 2 2" xfId="36188"/>
    <cellStyle name="Normal 5 10 3 2 2 2" xfId="36189"/>
    <cellStyle name="Normal 5 10 3 2 2 2 2" xfId="36190"/>
    <cellStyle name="Normal 5 10 3 2 2 3" xfId="36191"/>
    <cellStyle name="Normal 5 10 3 2 3" xfId="36192"/>
    <cellStyle name="Normal 5 10 3 2 3 2" xfId="36193"/>
    <cellStyle name="Normal 5 10 3 2 4" xfId="36194"/>
    <cellStyle name="Normal 5 10 3 3" xfId="36195"/>
    <cellStyle name="Normal 5 10 3 3 2" xfId="36196"/>
    <cellStyle name="Normal 5 10 3 3 2 2" xfId="36197"/>
    <cellStyle name="Normal 5 10 3 3 3" xfId="36198"/>
    <cellStyle name="Normal 5 10 3 4" xfId="36199"/>
    <cellStyle name="Normal 5 10 3 4 2" xfId="36200"/>
    <cellStyle name="Normal 5 10 3 5" xfId="36201"/>
    <cellStyle name="Normal 5 10 4" xfId="18564"/>
    <cellStyle name="Normal 5 10 4 2" xfId="36202"/>
    <cellStyle name="Normal 5 10 4 2 2" xfId="36203"/>
    <cellStyle name="Normal 5 10 4 2 2 2" xfId="36204"/>
    <cellStyle name="Normal 5 10 4 2 3" xfId="36205"/>
    <cellStyle name="Normal 5 10 4 3" xfId="36206"/>
    <cellStyle name="Normal 5 10 4 3 2" xfId="36207"/>
    <cellStyle name="Normal 5 10 4 4" xfId="36208"/>
    <cellStyle name="Normal 5 10 5" xfId="36209"/>
    <cellStyle name="Normal 5 10 5 2" xfId="36210"/>
    <cellStyle name="Normal 5 10 5 2 2" xfId="36211"/>
    <cellStyle name="Normal 5 10 5 3" xfId="36212"/>
    <cellStyle name="Normal 5 10 6" xfId="36213"/>
    <cellStyle name="Normal 5 10 6 2" xfId="36214"/>
    <cellStyle name="Normal 5 10 7" xfId="36215"/>
    <cellStyle name="Normal 5 11" xfId="18565"/>
    <cellStyle name="Normal 5 11 2" xfId="18566"/>
    <cellStyle name="Normal 5 11 2 2" xfId="18567"/>
    <cellStyle name="Normal 5 11 2 2 2" xfId="36216"/>
    <cellStyle name="Normal 5 11 2 2 2 2" xfId="36217"/>
    <cellStyle name="Normal 5 11 2 2 2 2 2" xfId="36218"/>
    <cellStyle name="Normal 5 11 2 2 2 3" xfId="36219"/>
    <cellStyle name="Normal 5 11 2 2 3" xfId="36220"/>
    <cellStyle name="Normal 5 11 2 2 3 2" xfId="36221"/>
    <cellStyle name="Normal 5 11 2 2 4" xfId="36222"/>
    <cellStyle name="Normal 5 11 2 3" xfId="36223"/>
    <cellStyle name="Normal 5 11 2 3 2" xfId="36224"/>
    <cellStyle name="Normal 5 11 2 3 2 2" xfId="36225"/>
    <cellStyle name="Normal 5 11 2 3 3" xfId="36226"/>
    <cellStyle name="Normal 5 11 2 4" xfId="36227"/>
    <cellStyle name="Normal 5 11 2 4 2" xfId="36228"/>
    <cellStyle name="Normal 5 11 2 5" xfId="36229"/>
    <cellStyle name="Normal 5 11 3" xfId="18568"/>
    <cellStyle name="Normal 5 11 3 2" xfId="36230"/>
    <cellStyle name="Normal 5 11 3 2 2" xfId="36231"/>
    <cellStyle name="Normal 5 11 3 2 2 2" xfId="36232"/>
    <cellStyle name="Normal 5 11 3 2 3" xfId="36233"/>
    <cellStyle name="Normal 5 11 3 3" xfId="36234"/>
    <cellStyle name="Normal 5 11 3 3 2" xfId="36235"/>
    <cellStyle name="Normal 5 11 3 4" xfId="36236"/>
    <cellStyle name="Normal 5 11 4" xfId="36237"/>
    <cellStyle name="Normal 5 11 4 2" xfId="36238"/>
    <cellStyle name="Normal 5 11 4 2 2" xfId="36239"/>
    <cellStyle name="Normal 5 11 4 3" xfId="36240"/>
    <cellStyle name="Normal 5 11 5" xfId="36241"/>
    <cellStyle name="Normal 5 11 5 2" xfId="36242"/>
    <cellStyle name="Normal 5 11 6" xfId="36243"/>
    <cellStyle name="Normal 5 12" xfId="18569"/>
    <cellStyle name="Normal 5 12 2" xfId="18570"/>
    <cellStyle name="Normal 5 12 2 2" xfId="36244"/>
    <cellStyle name="Normal 5 12 2 2 2" xfId="36245"/>
    <cellStyle name="Normal 5 12 2 2 2 2" xfId="36246"/>
    <cellStyle name="Normal 5 12 2 2 3" xfId="36247"/>
    <cellStyle name="Normal 5 12 2 3" xfId="36248"/>
    <cellStyle name="Normal 5 12 2 3 2" xfId="36249"/>
    <cellStyle name="Normal 5 12 2 4" xfId="36250"/>
    <cellStyle name="Normal 5 12 3" xfId="36251"/>
    <cellStyle name="Normal 5 12 3 2" xfId="36252"/>
    <cellStyle name="Normal 5 12 3 2 2" xfId="36253"/>
    <cellStyle name="Normal 5 12 3 3" xfId="36254"/>
    <cellStyle name="Normal 5 12 4" xfId="36255"/>
    <cellStyle name="Normal 5 12 4 2" xfId="36256"/>
    <cellStyle name="Normal 5 12 5" xfId="36257"/>
    <cellStyle name="Normal 5 13" xfId="18571"/>
    <cellStyle name="Normal 5 13 2" xfId="36258"/>
    <cellStyle name="Normal 5 13 2 2" xfId="36259"/>
    <cellStyle name="Normal 5 13 2 2 2" xfId="36260"/>
    <cellStyle name="Normal 5 13 2 3" xfId="36261"/>
    <cellStyle name="Normal 5 13 3" xfId="36262"/>
    <cellStyle name="Normal 5 13 3 2" xfId="36263"/>
    <cellStyle name="Normal 5 13 4" xfId="36264"/>
    <cellStyle name="Normal 5 14" xfId="18572"/>
    <cellStyle name="Normal 5 15" xfId="36265"/>
    <cellStyle name="Normal 5 16" xfId="36266"/>
    <cellStyle name="Normal 5 17" xfId="36267"/>
    <cellStyle name="Normal 5 17 2" xfId="36268"/>
    <cellStyle name="Normal 5 17 2 2" xfId="36269"/>
    <cellStyle name="Normal 5 17 3" xfId="36270"/>
    <cellStyle name="Normal 5 18" xfId="36271"/>
    <cellStyle name="Normal 5 18 2" xfId="36272"/>
    <cellStyle name="Normal 5 19" xfId="36273"/>
    <cellStyle name="Normal 5 2" xfId="10090"/>
    <cellStyle name="Normal 5 2 2" xfId="10091"/>
    <cellStyle name="Normal 5 2 2 2" xfId="19274"/>
    <cellStyle name="Normal 5 2 2 3" xfId="36274"/>
    <cellStyle name="Normal 5 2 2 4" xfId="36275"/>
    <cellStyle name="Normal 5 2 3" xfId="18573"/>
    <cellStyle name="Normal 5 2 3 2" xfId="36276"/>
    <cellStyle name="Normal 5 2 4" xfId="36277"/>
    <cellStyle name="Normal 5 2 5" xfId="36278"/>
    <cellStyle name="Normal 5 3" xfId="10092"/>
    <cellStyle name="Normal 5 3 2" xfId="10093"/>
    <cellStyle name="Normal 5 3 2 2" xfId="10094"/>
    <cellStyle name="Normal 5 3 2 3" xfId="10095"/>
    <cellStyle name="Normal 5 3 2 4" xfId="10096"/>
    <cellStyle name="Normal 5 3 2 5" xfId="10097"/>
    <cellStyle name="Normal 5 3 2 5 2" xfId="10098"/>
    <cellStyle name="Normal 5 3 2 5 2 2" xfId="10099"/>
    <cellStyle name="Normal 5 3 2 5 3" xfId="10100"/>
    <cellStyle name="Normal 5 3 2 5 4" xfId="10101"/>
    <cellStyle name="Normal 5 3 2 6" xfId="19276"/>
    <cellStyle name="Normal 5 3 2 7" xfId="36279"/>
    <cellStyle name="Normal 5 3 2 8" xfId="36280"/>
    <cellStyle name="Normal 5 3 3" xfId="10102"/>
    <cellStyle name="Normal 5 3 3 2" xfId="19277"/>
    <cellStyle name="Normal 5 3 4" xfId="10103"/>
    <cellStyle name="Normal 5 3 5" xfId="19275"/>
    <cellStyle name="Normal 5 3 6" xfId="36281"/>
    <cellStyle name="Normal 5 3 7" xfId="36282"/>
    <cellStyle name="Normal 5 4" xfId="10104"/>
    <cellStyle name="Normal 5 4 2" xfId="18574"/>
    <cellStyle name="Normal 5 4 3" xfId="18575"/>
    <cellStyle name="Normal 5 5" xfId="10105"/>
    <cellStyle name="Normal 5 5 2" xfId="18576"/>
    <cellStyle name="Normal 5 5 3" xfId="18577"/>
    <cellStyle name="Normal 5 6" xfId="10106"/>
    <cellStyle name="Normal 5 6 2" xfId="18578"/>
    <cellStyle name="Normal 5 6 3" xfId="18579"/>
    <cellStyle name="Normal 5 7" xfId="10107"/>
    <cellStyle name="Normal 5 7 2" xfId="18580"/>
    <cellStyle name="Normal 5 7 3" xfId="18581"/>
    <cellStyle name="Normal 5 8" xfId="10108"/>
    <cellStyle name="Normal 5 8 2" xfId="18582"/>
    <cellStyle name="Normal 5 8 2 2" xfId="18583"/>
    <cellStyle name="Normal 5 8 2 2 2" xfId="18584"/>
    <cellStyle name="Normal 5 8 2 2 2 2" xfId="18585"/>
    <cellStyle name="Normal 5 8 2 2 2 2 2" xfId="36283"/>
    <cellStyle name="Normal 5 8 2 2 2 2 2 2" xfId="36284"/>
    <cellStyle name="Normal 5 8 2 2 2 2 2 2 2" xfId="36285"/>
    <cellStyle name="Normal 5 8 2 2 2 2 2 3" xfId="36286"/>
    <cellStyle name="Normal 5 8 2 2 2 2 3" xfId="36287"/>
    <cellStyle name="Normal 5 8 2 2 2 2 3 2" xfId="36288"/>
    <cellStyle name="Normal 5 8 2 2 2 2 4" xfId="36289"/>
    <cellStyle name="Normal 5 8 2 2 2 3" xfId="36290"/>
    <cellStyle name="Normal 5 8 2 2 2 3 2" xfId="36291"/>
    <cellStyle name="Normal 5 8 2 2 2 3 2 2" xfId="36292"/>
    <cellStyle name="Normal 5 8 2 2 2 3 3" xfId="36293"/>
    <cellStyle name="Normal 5 8 2 2 2 4" xfId="36294"/>
    <cellStyle name="Normal 5 8 2 2 2 4 2" xfId="36295"/>
    <cellStyle name="Normal 5 8 2 2 2 5" xfId="36296"/>
    <cellStyle name="Normal 5 8 2 2 3" xfId="18586"/>
    <cellStyle name="Normal 5 8 2 2 3 2" xfId="36297"/>
    <cellStyle name="Normal 5 8 2 2 3 2 2" xfId="36298"/>
    <cellStyle name="Normal 5 8 2 2 3 2 2 2" xfId="36299"/>
    <cellStyle name="Normal 5 8 2 2 3 2 3" xfId="36300"/>
    <cellStyle name="Normal 5 8 2 2 3 3" xfId="36301"/>
    <cellStyle name="Normal 5 8 2 2 3 3 2" xfId="36302"/>
    <cellStyle name="Normal 5 8 2 2 3 4" xfId="36303"/>
    <cellStyle name="Normal 5 8 2 2 4" xfId="36304"/>
    <cellStyle name="Normal 5 8 2 2 4 2" xfId="36305"/>
    <cellStyle name="Normal 5 8 2 2 4 2 2" xfId="36306"/>
    <cellStyle name="Normal 5 8 2 2 4 3" xfId="36307"/>
    <cellStyle name="Normal 5 8 2 2 5" xfId="36308"/>
    <cellStyle name="Normal 5 8 2 2 5 2" xfId="36309"/>
    <cellStyle name="Normal 5 8 2 2 6" xfId="36310"/>
    <cellStyle name="Normal 5 8 2 3" xfId="18587"/>
    <cellStyle name="Normal 5 8 2 3 2" xfId="18588"/>
    <cellStyle name="Normal 5 8 2 3 2 2" xfId="36311"/>
    <cellStyle name="Normal 5 8 2 3 2 2 2" xfId="36312"/>
    <cellStyle name="Normal 5 8 2 3 2 2 2 2" xfId="36313"/>
    <cellStyle name="Normal 5 8 2 3 2 2 3" xfId="36314"/>
    <cellStyle name="Normal 5 8 2 3 2 3" xfId="36315"/>
    <cellStyle name="Normal 5 8 2 3 2 3 2" xfId="36316"/>
    <cellStyle name="Normal 5 8 2 3 2 4" xfId="36317"/>
    <cellStyle name="Normal 5 8 2 3 3" xfId="36318"/>
    <cellStyle name="Normal 5 8 2 3 3 2" xfId="36319"/>
    <cellStyle name="Normal 5 8 2 3 3 2 2" xfId="36320"/>
    <cellStyle name="Normal 5 8 2 3 3 3" xfId="36321"/>
    <cellStyle name="Normal 5 8 2 3 4" xfId="36322"/>
    <cellStyle name="Normal 5 8 2 3 4 2" xfId="36323"/>
    <cellStyle name="Normal 5 8 2 3 5" xfId="36324"/>
    <cellStyle name="Normal 5 8 2 4" xfId="18589"/>
    <cellStyle name="Normal 5 8 2 4 2" xfId="36325"/>
    <cellStyle name="Normal 5 8 2 4 2 2" xfId="36326"/>
    <cellStyle name="Normal 5 8 2 4 2 2 2" xfId="36327"/>
    <cellStyle name="Normal 5 8 2 4 2 3" xfId="36328"/>
    <cellStyle name="Normal 5 8 2 4 3" xfId="36329"/>
    <cellStyle name="Normal 5 8 2 4 3 2" xfId="36330"/>
    <cellStyle name="Normal 5 8 2 4 4" xfId="36331"/>
    <cellStyle name="Normal 5 8 2 5" xfId="36332"/>
    <cellStyle name="Normal 5 8 2 5 2" xfId="36333"/>
    <cellStyle name="Normal 5 8 2 5 2 2" xfId="36334"/>
    <cellStyle name="Normal 5 8 2 5 3" xfId="36335"/>
    <cellStyle name="Normal 5 8 2 6" xfId="36336"/>
    <cellStyle name="Normal 5 8 2 6 2" xfId="36337"/>
    <cellStyle name="Normal 5 8 2 7" xfId="36338"/>
    <cellStyle name="Normal 5 8 3" xfId="18590"/>
    <cellStyle name="Normal 5 8 3 2" xfId="18591"/>
    <cellStyle name="Normal 5 8 3 2 2" xfId="18592"/>
    <cellStyle name="Normal 5 8 3 2 2 2" xfId="36339"/>
    <cellStyle name="Normal 5 8 3 2 2 2 2" xfId="36340"/>
    <cellStyle name="Normal 5 8 3 2 2 2 2 2" xfId="36341"/>
    <cellStyle name="Normal 5 8 3 2 2 2 3" xfId="36342"/>
    <cellStyle name="Normal 5 8 3 2 2 3" xfId="36343"/>
    <cellStyle name="Normal 5 8 3 2 2 3 2" xfId="36344"/>
    <cellStyle name="Normal 5 8 3 2 2 4" xfId="36345"/>
    <cellStyle name="Normal 5 8 3 2 3" xfId="36346"/>
    <cellStyle name="Normal 5 8 3 2 3 2" xfId="36347"/>
    <cellStyle name="Normal 5 8 3 2 3 2 2" xfId="36348"/>
    <cellStyle name="Normal 5 8 3 2 3 3" xfId="36349"/>
    <cellStyle name="Normal 5 8 3 2 4" xfId="36350"/>
    <cellStyle name="Normal 5 8 3 2 4 2" xfId="36351"/>
    <cellStyle name="Normal 5 8 3 2 5" xfId="36352"/>
    <cellStyle name="Normal 5 8 3 3" xfId="18593"/>
    <cellStyle name="Normal 5 8 3 3 2" xfId="36353"/>
    <cellStyle name="Normal 5 8 3 3 2 2" xfId="36354"/>
    <cellStyle name="Normal 5 8 3 3 2 2 2" xfId="36355"/>
    <cellStyle name="Normal 5 8 3 3 2 3" xfId="36356"/>
    <cellStyle name="Normal 5 8 3 3 3" xfId="36357"/>
    <cellStyle name="Normal 5 8 3 3 3 2" xfId="36358"/>
    <cellStyle name="Normal 5 8 3 3 4" xfId="36359"/>
    <cellStyle name="Normal 5 8 3 4" xfId="36360"/>
    <cellStyle name="Normal 5 8 3 4 2" xfId="36361"/>
    <cellStyle name="Normal 5 8 3 4 2 2" xfId="36362"/>
    <cellStyle name="Normal 5 8 3 4 3" xfId="36363"/>
    <cellStyle name="Normal 5 8 3 5" xfId="36364"/>
    <cellStyle name="Normal 5 8 3 5 2" xfId="36365"/>
    <cellStyle name="Normal 5 8 3 6" xfId="36366"/>
    <cellStyle name="Normal 5 8 4" xfId="18594"/>
    <cellStyle name="Normal 5 8 4 2" xfId="18595"/>
    <cellStyle name="Normal 5 8 4 2 2" xfId="36367"/>
    <cellStyle name="Normal 5 8 4 2 2 2" xfId="36368"/>
    <cellStyle name="Normal 5 8 4 2 2 2 2" xfId="36369"/>
    <cellStyle name="Normal 5 8 4 2 2 3" xfId="36370"/>
    <cellStyle name="Normal 5 8 4 2 3" xfId="36371"/>
    <cellStyle name="Normal 5 8 4 2 3 2" xfId="36372"/>
    <cellStyle name="Normal 5 8 4 2 4" xfId="36373"/>
    <cellStyle name="Normal 5 8 4 3" xfId="36374"/>
    <cellStyle name="Normal 5 8 4 3 2" xfId="36375"/>
    <cellStyle name="Normal 5 8 4 3 2 2" xfId="36376"/>
    <cellStyle name="Normal 5 8 4 3 3" xfId="36377"/>
    <cellStyle name="Normal 5 8 4 4" xfId="36378"/>
    <cellStyle name="Normal 5 8 4 4 2" xfId="36379"/>
    <cellStyle name="Normal 5 8 4 5" xfId="36380"/>
    <cellStyle name="Normal 5 8 5" xfId="18596"/>
    <cellStyle name="Normal 5 8 5 2" xfId="36381"/>
    <cellStyle name="Normal 5 8 5 2 2" xfId="36382"/>
    <cellStyle name="Normal 5 8 5 2 2 2" xfId="36383"/>
    <cellStyle name="Normal 5 8 5 2 3" xfId="36384"/>
    <cellStyle name="Normal 5 8 5 3" xfId="36385"/>
    <cellStyle name="Normal 5 8 5 3 2" xfId="36386"/>
    <cellStyle name="Normal 5 8 5 4" xfId="36387"/>
    <cellStyle name="Normal 5 8 6" xfId="36388"/>
    <cellStyle name="Normal 5 8 6 2" xfId="36389"/>
    <cellStyle name="Normal 5 8 6 2 2" xfId="36390"/>
    <cellStyle name="Normal 5 8 6 3" xfId="36391"/>
    <cellStyle name="Normal 5 8 7" xfId="36392"/>
    <cellStyle name="Normal 5 8 7 2" xfId="36393"/>
    <cellStyle name="Normal 5 8 8" xfId="36394"/>
    <cellStyle name="Normal 5 9" xfId="10109"/>
    <cellStyle name="Normal 5 9 2" xfId="18597"/>
    <cellStyle name="Normal 5 9 2 2" xfId="18598"/>
    <cellStyle name="Normal 5 9 2 2 2" xfId="18599"/>
    <cellStyle name="Normal 5 9 2 2 2 2" xfId="18600"/>
    <cellStyle name="Normal 5 9 2 2 2 2 2" xfId="36395"/>
    <cellStyle name="Normal 5 9 2 2 2 2 2 2" xfId="36396"/>
    <cellStyle name="Normal 5 9 2 2 2 2 2 2 2" xfId="36397"/>
    <cellStyle name="Normal 5 9 2 2 2 2 2 3" xfId="36398"/>
    <cellStyle name="Normal 5 9 2 2 2 2 3" xfId="36399"/>
    <cellStyle name="Normal 5 9 2 2 2 2 3 2" xfId="36400"/>
    <cellStyle name="Normal 5 9 2 2 2 2 4" xfId="36401"/>
    <cellStyle name="Normal 5 9 2 2 2 3" xfId="36402"/>
    <cellStyle name="Normal 5 9 2 2 2 3 2" xfId="36403"/>
    <cellStyle name="Normal 5 9 2 2 2 3 2 2" xfId="36404"/>
    <cellStyle name="Normal 5 9 2 2 2 3 3" xfId="36405"/>
    <cellStyle name="Normal 5 9 2 2 2 4" xfId="36406"/>
    <cellStyle name="Normal 5 9 2 2 2 4 2" xfId="36407"/>
    <cellStyle name="Normal 5 9 2 2 2 5" xfId="36408"/>
    <cellStyle name="Normal 5 9 2 2 3" xfId="18601"/>
    <cellStyle name="Normal 5 9 2 2 3 2" xfId="36409"/>
    <cellStyle name="Normal 5 9 2 2 3 2 2" xfId="36410"/>
    <cellStyle name="Normal 5 9 2 2 3 2 2 2" xfId="36411"/>
    <cellStyle name="Normal 5 9 2 2 3 2 3" xfId="36412"/>
    <cellStyle name="Normal 5 9 2 2 3 3" xfId="36413"/>
    <cellStyle name="Normal 5 9 2 2 3 3 2" xfId="36414"/>
    <cellStyle name="Normal 5 9 2 2 3 4" xfId="36415"/>
    <cellStyle name="Normal 5 9 2 2 4" xfId="36416"/>
    <cellStyle name="Normal 5 9 2 2 4 2" xfId="36417"/>
    <cellStyle name="Normal 5 9 2 2 4 2 2" xfId="36418"/>
    <cellStyle name="Normal 5 9 2 2 4 3" xfId="36419"/>
    <cellStyle name="Normal 5 9 2 2 5" xfId="36420"/>
    <cellStyle name="Normal 5 9 2 2 5 2" xfId="36421"/>
    <cellStyle name="Normal 5 9 2 2 6" xfId="36422"/>
    <cellStyle name="Normal 5 9 2 3" xfId="18602"/>
    <cellStyle name="Normal 5 9 2 3 2" xfId="18603"/>
    <cellStyle name="Normal 5 9 2 3 2 2" xfId="36423"/>
    <cellStyle name="Normal 5 9 2 3 2 2 2" xfId="36424"/>
    <cellStyle name="Normal 5 9 2 3 2 2 2 2" xfId="36425"/>
    <cellStyle name="Normal 5 9 2 3 2 2 3" xfId="36426"/>
    <cellStyle name="Normal 5 9 2 3 2 3" xfId="36427"/>
    <cellStyle name="Normal 5 9 2 3 2 3 2" xfId="36428"/>
    <cellStyle name="Normal 5 9 2 3 2 4" xfId="36429"/>
    <cellStyle name="Normal 5 9 2 3 3" xfId="36430"/>
    <cellStyle name="Normal 5 9 2 3 3 2" xfId="36431"/>
    <cellStyle name="Normal 5 9 2 3 3 2 2" xfId="36432"/>
    <cellStyle name="Normal 5 9 2 3 3 3" xfId="36433"/>
    <cellStyle name="Normal 5 9 2 3 4" xfId="36434"/>
    <cellStyle name="Normal 5 9 2 3 4 2" xfId="36435"/>
    <cellStyle name="Normal 5 9 2 3 5" xfId="36436"/>
    <cellStyle name="Normal 5 9 2 4" xfId="18604"/>
    <cellStyle name="Normal 5 9 2 4 2" xfId="36437"/>
    <cellStyle name="Normal 5 9 2 4 2 2" xfId="36438"/>
    <cellStyle name="Normal 5 9 2 4 2 2 2" xfId="36439"/>
    <cellStyle name="Normal 5 9 2 4 2 3" xfId="36440"/>
    <cellStyle name="Normal 5 9 2 4 3" xfId="36441"/>
    <cellStyle name="Normal 5 9 2 4 3 2" xfId="36442"/>
    <cellStyle name="Normal 5 9 2 4 4" xfId="36443"/>
    <cellStyle name="Normal 5 9 2 5" xfId="36444"/>
    <cellStyle name="Normal 5 9 2 5 2" xfId="36445"/>
    <cellStyle name="Normal 5 9 2 5 2 2" xfId="36446"/>
    <cellStyle name="Normal 5 9 2 5 3" xfId="36447"/>
    <cellStyle name="Normal 5 9 2 6" xfId="36448"/>
    <cellStyle name="Normal 5 9 2 6 2" xfId="36449"/>
    <cellStyle name="Normal 5 9 2 7" xfId="36450"/>
    <cellStyle name="Normal 5 9 3" xfId="18605"/>
    <cellStyle name="Normal 5 9 3 2" xfId="18606"/>
    <cellStyle name="Normal 5 9 3 2 2" xfId="18607"/>
    <cellStyle name="Normal 5 9 3 2 2 2" xfId="36451"/>
    <cellStyle name="Normal 5 9 3 2 2 2 2" xfId="36452"/>
    <cellStyle name="Normal 5 9 3 2 2 2 2 2" xfId="36453"/>
    <cellStyle name="Normal 5 9 3 2 2 2 3" xfId="36454"/>
    <cellStyle name="Normal 5 9 3 2 2 3" xfId="36455"/>
    <cellStyle name="Normal 5 9 3 2 2 3 2" xfId="36456"/>
    <cellStyle name="Normal 5 9 3 2 2 4" xfId="36457"/>
    <cellStyle name="Normal 5 9 3 2 3" xfId="36458"/>
    <cellStyle name="Normal 5 9 3 2 3 2" xfId="36459"/>
    <cellStyle name="Normal 5 9 3 2 3 2 2" xfId="36460"/>
    <cellStyle name="Normal 5 9 3 2 3 3" xfId="36461"/>
    <cellStyle name="Normal 5 9 3 2 4" xfId="36462"/>
    <cellStyle name="Normal 5 9 3 2 4 2" xfId="36463"/>
    <cellStyle name="Normal 5 9 3 2 5" xfId="36464"/>
    <cellStyle name="Normal 5 9 3 3" xfId="18608"/>
    <cellStyle name="Normal 5 9 3 3 2" xfId="36465"/>
    <cellStyle name="Normal 5 9 3 3 2 2" xfId="36466"/>
    <cellStyle name="Normal 5 9 3 3 2 2 2" xfId="36467"/>
    <cellStyle name="Normal 5 9 3 3 2 3" xfId="36468"/>
    <cellStyle name="Normal 5 9 3 3 3" xfId="36469"/>
    <cellStyle name="Normal 5 9 3 3 3 2" xfId="36470"/>
    <cellStyle name="Normal 5 9 3 3 4" xfId="36471"/>
    <cellStyle name="Normal 5 9 3 4" xfId="36472"/>
    <cellStyle name="Normal 5 9 3 4 2" xfId="36473"/>
    <cellStyle name="Normal 5 9 3 4 2 2" xfId="36474"/>
    <cellStyle name="Normal 5 9 3 4 3" xfId="36475"/>
    <cellStyle name="Normal 5 9 3 5" xfId="36476"/>
    <cellStyle name="Normal 5 9 3 5 2" xfId="36477"/>
    <cellStyle name="Normal 5 9 3 6" xfId="36478"/>
    <cellStyle name="Normal 5 9 4" xfId="18609"/>
    <cellStyle name="Normal 5 9 4 2" xfId="18610"/>
    <cellStyle name="Normal 5 9 4 2 2" xfId="36479"/>
    <cellStyle name="Normal 5 9 4 2 2 2" xfId="36480"/>
    <cellStyle name="Normal 5 9 4 2 2 2 2" xfId="36481"/>
    <cellStyle name="Normal 5 9 4 2 2 3" xfId="36482"/>
    <cellStyle name="Normal 5 9 4 2 3" xfId="36483"/>
    <cellStyle name="Normal 5 9 4 2 3 2" xfId="36484"/>
    <cellStyle name="Normal 5 9 4 2 4" xfId="36485"/>
    <cellStyle name="Normal 5 9 4 3" xfId="36486"/>
    <cellStyle name="Normal 5 9 4 3 2" xfId="36487"/>
    <cellStyle name="Normal 5 9 4 3 2 2" xfId="36488"/>
    <cellStyle name="Normal 5 9 4 3 3" xfId="36489"/>
    <cellStyle name="Normal 5 9 4 4" xfId="36490"/>
    <cellStyle name="Normal 5 9 4 4 2" xfId="36491"/>
    <cellStyle name="Normal 5 9 4 5" xfId="36492"/>
    <cellStyle name="Normal 5 9 5" xfId="18611"/>
    <cellStyle name="Normal 5 9 5 2" xfId="36493"/>
    <cellStyle name="Normal 5 9 5 2 2" xfId="36494"/>
    <cellStyle name="Normal 5 9 5 2 2 2" xfId="36495"/>
    <cellStyle name="Normal 5 9 5 2 3" xfId="36496"/>
    <cellStyle name="Normal 5 9 5 3" xfId="36497"/>
    <cellStyle name="Normal 5 9 5 3 2" xfId="36498"/>
    <cellStyle name="Normal 5 9 5 4" xfId="36499"/>
    <cellStyle name="Normal 5 9 6" xfId="36500"/>
    <cellStyle name="Normal 5 9 6 2" xfId="36501"/>
    <cellStyle name="Normal 5 9 6 2 2" xfId="36502"/>
    <cellStyle name="Normal 5 9 6 3" xfId="36503"/>
    <cellStyle name="Normal 5 9 7" xfId="36504"/>
    <cellStyle name="Normal 5 9 7 2" xfId="36505"/>
    <cellStyle name="Normal 5 9 8" xfId="36506"/>
    <cellStyle name="Normal 50" xfId="18612"/>
    <cellStyle name="Normal 50 2" xfId="18613"/>
    <cellStyle name="Normal 50 2 2" xfId="18614"/>
    <cellStyle name="Normal 50 2 2 2" xfId="18615"/>
    <cellStyle name="Normal 50 2 2 2 2" xfId="18616"/>
    <cellStyle name="Normal 50 2 2 2 2 2" xfId="36507"/>
    <cellStyle name="Normal 50 2 2 2 2 2 2" xfId="36508"/>
    <cellStyle name="Normal 50 2 2 2 2 2 2 2" xfId="36509"/>
    <cellStyle name="Normal 50 2 2 2 2 2 3" xfId="36510"/>
    <cellStyle name="Normal 50 2 2 2 2 3" xfId="36511"/>
    <cellStyle name="Normal 50 2 2 2 2 3 2" xfId="36512"/>
    <cellStyle name="Normal 50 2 2 2 2 4" xfId="36513"/>
    <cellStyle name="Normal 50 2 2 2 3" xfId="36514"/>
    <cellStyle name="Normal 50 2 2 2 3 2" xfId="36515"/>
    <cellStyle name="Normal 50 2 2 2 3 2 2" xfId="36516"/>
    <cellStyle name="Normal 50 2 2 2 3 3" xfId="36517"/>
    <cellStyle name="Normal 50 2 2 2 4" xfId="36518"/>
    <cellStyle name="Normal 50 2 2 2 4 2" xfId="36519"/>
    <cellStyle name="Normal 50 2 2 2 5" xfId="36520"/>
    <cellStyle name="Normal 50 2 2 3" xfId="18617"/>
    <cellStyle name="Normal 50 2 2 3 2" xfId="36521"/>
    <cellStyle name="Normal 50 2 2 3 2 2" xfId="36522"/>
    <cellStyle name="Normal 50 2 2 3 2 2 2" xfId="36523"/>
    <cellStyle name="Normal 50 2 2 3 2 3" xfId="36524"/>
    <cellStyle name="Normal 50 2 2 3 3" xfId="36525"/>
    <cellStyle name="Normal 50 2 2 3 3 2" xfId="36526"/>
    <cellStyle name="Normal 50 2 2 3 4" xfId="36527"/>
    <cellStyle name="Normal 50 2 2 4" xfId="36528"/>
    <cellStyle name="Normal 50 2 2 4 2" xfId="36529"/>
    <cellStyle name="Normal 50 2 2 4 2 2" xfId="36530"/>
    <cellStyle name="Normal 50 2 2 4 3" xfId="36531"/>
    <cellStyle name="Normal 50 2 2 5" xfId="36532"/>
    <cellStyle name="Normal 50 2 2 5 2" xfId="36533"/>
    <cellStyle name="Normal 50 2 2 6" xfId="36534"/>
    <cellStyle name="Normal 50 2 3" xfId="18618"/>
    <cellStyle name="Normal 50 2 3 2" xfId="18619"/>
    <cellStyle name="Normal 50 2 3 2 2" xfId="36535"/>
    <cellStyle name="Normal 50 2 3 2 2 2" xfId="36536"/>
    <cellStyle name="Normal 50 2 3 2 2 2 2" xfId="36537"/>
    <cellStyle name="Normal 50 2 3 2 2 3" xfId="36538"/>
    <cellStyle name="Normal 50 2 3 2 3" xfId="36539"/>
    <cellStyle name="Normal 50 2 3 2 3 2" xfId="36540"/>
    <cellStyle name="Normal 50 2 3 2 4" xfId="36541"/>
    <cellStyle name="Normal 50 2 3 3" xfId="36542"/>
    <cellStyle name="Normal 50 2 3 3 2" xfId="36543"/>
    <cellStyle name="Normal 50 2 3 3 2 2" xfId="36544"/>
    <cellStyle name="Normal 50 2 3 3 3" xfId="36545"/>
    <cellStyle name="Normal 50 2 3 4" xfId="36546"/>
    <cellStyle name="Normal 50 2 3 4 2" xfId="36547"/>
    <cellStyle name="Normal 50 2 3 5" xfId="36548"/>
    <cellStyle name="Normal 50 2 4" xfId="18620"/>
    <cellStyle name="Normal 50 2 4 2" xfId="36549"/>
    <cellStyle name="Normal 50 2 4 2 2" xfId="36550"/>
    <cellStyle name="Normal 50 2 4 2 2 2" xfId="36551"/>
    <cellStyle name="Normal 50 2 4 2 3" xfId="36552"/>
    <cellStyle name="Normal 50 2 4 3" xfId="36553"/>
    <cellStyle name="Normal 50 2 4 3 2" xfId="36554"/>
    <cellStyle name="Normal 50 2 4 4" xfId="36555"/>
    <cellStyle name="Normal 50 2 5" xfId="36556"/>
    <cellStyle name="Normal 50 2 5 2" xfId="36557"/>
    <cellStyle name="Normal 50 2 5 2 2" xfId="36558"/>
    <cellStyle name="Normal 50 2 5 3" xfId="36559"/>
    <cellStyle name="Normal 50 2 6" xfId="36560"/>
    <cellStyle name="Normal 50 2 6 2" xfId="36561"/>
    <cellStyle name="Normal 50 2 7" xfId="36562"/>
    <cellStyle name="Normal 50 3" xfId="18621"/>
    <cellStyle name="Normal 50 3 2" xfId="18622"/>
    <cellStyle name="Normal 50 3 2 2" xfId="18623"/>
    <cellStyle name="Normal 50 3 2 2 2" xfId="36563"/>
    <cellStyle name="Normal 50 3 2 2 2 2" xfId="36564"/>
    <cellStyle name="Normal 50 3 2 2 2 2 2" xfId="36565"/>
    <cellStyle name="Normal 50 3 2 2 2 3" xfId="36566"/>
    <cellStyle name="Normal 50 3 2 2 3" xfId="36567"/>
    <cellStyle name="Normal 50 3 2 2 3 2" xfId="36568"/>
    <cellStyle name="Normal 50 3 2 2 4" xfId="36569"/>
    <cellStyle name="Normal 50 3 2 3" xfId="36570"/>
    <cellStyle name="Normal 50 3 2 3 2" xfId="36571"/>
    <cellStyle name="Normal 50 3 2 3 2 2" xfId="36572"/>
    <cellStyle name="Normal 50 3 2 3 3" xfId="36573"/>
    <cellStyle name="Normal 50 3 2 4" xfId="36574"/>
    <cellStyle name="Normal 50 3 2 4 2" xfId="36575"/>
    <cellStyle name="Normal 50 3 2 5" xfId="36576"/>
    <cellStyle name="Normal 50 3 3" xfId="18624"/>
    <cellStyle name="Normal 50 3 3 2" xfId="36577"/>
    <cellStyle name="Normal 50 3 3 2 2" xfId="36578"/>
    <cellStyle name="Normal 50 3 3 2 2 2" xfId="36579"/>
    <cellStyle name="Normal 50 3 3 2 3" xfId="36580"/>
    <cellStyle name="Normal 50 3 3 3" xfId="36581"/>
    <cellStyle name="Normal 50 3 3 3 2" xfId="36582"/>
    <cellStyle name="Normal 50 3 3 4" xfId="36583"/>
    <cellStyle name="Normal 50 3 4" xfId="36584"/>
    <cellStyle name="Normal 50 3 4 2" xfId="36585"/>
    <cellStyle name="Normal 50 3 4 2 2" xfId="36586"/>
    <cellStyle name="Normal 50 3 4 3" xfId="36587"/>
    <cellStyle name="Normal 50 3 5" xfId="36588"/>
    <cellStyle name="Normal 50 3 5 2" xfId="36589"/>
    <cellStyle name="Normal 50 3 6" xfId="36590"/>
    <cellStyle name="Normal 50 4" xfId="18625"/>
    <cellStyle name="Normal 50 4 2" xfId="18626"/>
    <cellStyle name="Normal 50 4 2 2" xfId="36591"/>
    <cellStyle name="Normal 50 4 2 2 2" xfId="36592"/>
    <cellStyle name="Normal 50 4 2 2 2 2" xfId="36593"/>
    <cellStyle name="Normal 50 4 2 2 3" xfId="36594"/>
    <cellStyle name="Normal 50 4 2 3" xfId="36595"/>
    <cellStyle name="Normal 50 4 2 3 2" xfId="36596"/>
    <cellStyle name="Normal 50 4 2 4" xfId="36597"/>
    <cellStyle name="Normal 50 4 3" xfId="36598"/>
    <cellStyle name="Normal 50 4 3 2" xfId="36599"/>
    <cellStyle name="Normal 50 4 3 2 2" xfId="36600"/>
    <cellStyle name="Normal 50 4 3 3" xfId="36601"/>
    <cellStyle name="Normal 50 4 4" xfId="36602"/>
    <cellStyle name="Normal 50 4 4 2" xfId="36603"/>
    <cellStyle name="Normal 50 4 5" xfId="36604"/>
    <cellStyle name="Normal 50 5" xfId="18627"/>
    <cellStyle name="Normal 50 5 2" xfId="36605"/>
    <cellStyle name="Normal 50 5 2 2" xfId="36606"/>
    <cellStyle name="Normal 50 5 2 2 2" xfId="36607"/>
    <cellStyle name="Normal 50 5 2 3" xfId="36608"/>
    <cellStyle name="Normal 50 5 3" xfId="36609"/>
    <cellStyle name="Normal 50 5 3 2" xfId="36610"/>
    <cellStyle name="Normal 50 5 4" xfId="36611"/>
    <cellStyle name="Normal 50 6" xfId="36612"/>
    <cellStyle name="Normal 50 6 2" xfId="36613"/>
    <cellStyle name="Normal 50 6 2 2" xfId="36614"/>
    <cellStyle name="Normal 50 6 3" xfId="36615"/>
    <cellStyle name="Normal 50 7" xfId="36616"/>
    <cellStyle name="Normal 50 7 2" xfId="36617"/>
    <cellStyle name="Normal 50 8" xfId="36618"/>
    <cellStyle name="Normal 51" xfId="18628"/>
    <cellStyle name="Normal 51 2" xfId="18629"/>
    <cellStyle name="Normal 51 2 2" xfId="18630"/>
    <cellStyle name="Normal 51 2 2 2" xfId="18631"/>
    <cellStyle name="Normal 51 2 2 2 2" xfId="18632"/>
    <cellStyle name="Normal 51 2 2 2 2 2" xfId="36619"/>
    <cellStyle name="Normal 51 2 2 2 2 2 2" xfId="36620"/>
    <cellStyle name="Normal 51 2 2 2 2 2 2 2" xfId="36621"/>
    <cellStyle name="Normal 51 2 2 2 2 2 3" xfId="36622"/>
    <cellStyle name="Normal 51 2 2 2 2 3" xfId="36623"/>
    <cellStyle name="Normal 51 2 2 2 2 3 2" xfId="36624"/>
    <cellStyle name="Normal 51 2 2 2 2 4" xfId="36625"/>
    <cellStyle name="Normal 51 2 2 2 3" xfId="36626"/>
    <cellStyle name="Normal 51 2 2 2 3 2" xfId="36627"/>
    <cellStyle name="Normal 51 2 2 2 3 2 2" xfId="36628"/>
    <cellStyle name="Normal 51 2 2 2 3 3" xfId="36629"/>
    <cellStyle name="Normal 51 2 2 2 4" xfId="36630"/>
    <cellStyle name="Normal 51 2 2 2 4 2" xfId="36631"/>
    <cellStyle name="Normal 51 2 2 2 5" xfId="36632"/>
    <cellStyle name="Normal 51 2 2 3" xfId="18633"/>
    <cellStyle name="Normal 51 2 2 3 2" xfId="36633"/>
    <cellStyle name="Normal 51 2 2 3 2 2" xfId="36634"/>
    <cellStyle name="Normal 51 2 2 3 2 2 2" xfId="36635"/>
    <cellStyle name="Normal 51 2 2 3 2 3" xfId="36636"/>
    <cellStyle name="Normal 51 2 2 3 3" xfId="36637"/>
    <cellStyle name="Normal 51 2 2 3 3 2" xfId="36638"/>
    <cellStyle name="Normal 51 2 2 3 4" xfId="36639"/>
    <cellStyle name="Normal 51 2 2 4" xfId="36640"/>
    <cellStyle name="Normal 51 2 2 4 2" xfId="36641"/>
    <cellStyle name="Normal 51 2 2 4 2 2" xfId="36642"/>
    <cellStyle name="Normal 51 2 2 4 3" xfId="36643"/>
    <cellStyle name="Normal 51 2 2 5" xfId="36644"/>
    <cellStyle name="Normal 51 2 2 5 2" xfId="36645"/>
    <cellStyle name="Normal 51 2 2 6" xfId="36646"/>
    <cellStyle name="Normal 51 2 3" xfId="18634"/>
    <cellStyle name="Normal 51 2 3 2" xfId="18635"/>
    <cellStyle name="Normal 51 2 3 2 2" xfId="36647"/>
    <cellStyle name="Normal 51 2 3 2 2 2" xfId="36648"/>
    <cellStyle name="Normal 51 2 3 2 2 2 2" xfId="36649"/>
    <cellStyle name="Normal 51 2 3 2 2 3" xfId="36650"/>
    <cellStyle name="Normal 51 2 3 2 3" xfId="36651"/>
    <cellStyle name="Normal 51 2 3 2 3 2" xfId="36652"/>
    <cellStyle name="Normal 51 2 3 2 4" xfId="36653"/>
    <cellStyle name="Normal 51 2 3 3" xfId="36654"/>
    <cellStyle name="Normal 51 2 3 3 2" xfId="36655"/>
    <cellStyle name="Normal 51 2 3 3 2 2" xfId="36656"/>
    <cellStyle name="Normal 51 2 3 3 3" xfId="36657"/>
    <cellStyle name="Normal 51 2 3 4" xfId="36658"/>
    <cellStyle name="Normal 51 2 3 4 2" xfId="36659"/>
    <cellStyle name="Normal 51 2 3 5" xfId="36660"/>
    <cellStyle name="Normal 51 2 4" xfId="18636"/>
    <cellStyle name="Normal 51 2 4 2" xfId="36661"/>
    <cellStyle name="Normal 51 2 4 2 2" xfId="36662"/>
    <cellStyle name="Normal 51 2 4 2 2 2" xfId="36663"/>
    <cellStyle name="Normal 51 2 4 2 3" xfId="36664"/>
    <cellStyle name="Normal 51 2 4 3" xfId="36665"/>
    <cellStyle name="Normal 51 2 4 3 2" xfId="36666"/>
    <cellStyle name="Normal 51 2 4 4" xfId="36667"/>
    <cellStyle name="Normal 51 2 5" xfId="36668"/>
    <cellStyle name="Normal 51 2 5 2" xfId="36669"/>
    <cellStyle name="Normal 51 2 5 2 2" xfId="36670"/>
    <cellStyle name="Normal 51 2 5 3" xfId="36671"/>
    <cellStyle name="Normal 51 2 6" xfId="36672"/>
    <cellStyle name="Normal 51 2 6 2" xfId="36673"/>
    <cellStyle name="Normal 51 2 7" xfId="36674"/>
    <cellStyle name="Normal 51 3" xfId="18637"/>
    <cellStyle name="Normal 51 3 2" xfId="18638"/>
    <cellStyle name="Normal 51 3 2 2" xfId="18639"/>
    <cellStyle name="Normal 51 3 2 2 2" xfId="36675"/>
    <cellStyle name="Normal 51 3 2 2 2 2" xfId="36676"/>
    <cellStyle name="Normal 51 3 2 2 2 2 2" xfId="36677"/>
    <cellStyle name="Normal 51 3 2 2 2 3" xfId="36678"/>
    <cellStyle name="Normal 51 3 2 2 3" xfId="36679"/>
    <cellStyle name="Normal 51 3 2 2 3 2" xfId="36680"/>
    <cellStyle name="Normal 51 3 2 2 4" xfId="36681"/>
    <cellStyle name="Normal 51 3 2 3" xfId="36682"/>
    <cellStyle name="Normal 51 3 2 3 2" xfId="36683"/>
    <cellStyle name="Normal 51 3 2 3 2 2" xfId="36684"/>
    <cellStyle name="Normal 51 3 2 3 3" xfId="36685"/>
    <cellStyle name="Normal 51 3 2 4" xfId="36686"/>
    <cellStyle name="Normal 51 3 2 4 2" xfId="36687"/>
    <cellStyle name="Normal 51 3 2 5" xfId="36688"/>
    <cellStyle name="Normal 51 3 3" xfId="18640"/>
    <cellStyle name="Normal 51 3 3 2" xfId="36689"/>
    <cellStyle name="Normal 51 3 3 2 2" xfId="36690"/>
    <cellStyle name="Normal 51 3 3 2 2 2" xfId="36691"/>
    <cellStyle name="Normal 51 3 3 2 3" xfId="36692"/>
    <cellStyle name="Normal 51 3 3 3" xfId="36693"/>
    <cellStyle name="Normal 51 3 3 3 2" xfId="36694"/>
    <cellStyle name="Normal 51 3 3 4" xfId="36695"/>
    <cellStyle name="Normal 51 3 4" xfId="36696"/>
    <cellStyle name="Normal 51 3 4 2" xfId="36697"/>
    <cellStyle name="Normal 51 3 4 2 2" xfId="36698"/>
    <cellStyle name="Normal 51 3 4 3" xfId="36699"/>
    <cellStyle name="Normal 51 3 5" xfId="36700"/>
    <cellStyle name="Normal 51 3 5 2" xfId="36701"/>
    <cellStyle name="Normal 51 3 6" xfId="36702"/>
    <cellStyle name="Normal 51 4" xfId="18641"/>
    <cellStyle name="Normal 51 4 2" xfId="18642"/>
    <cellStyle name="Normal 51 4 2 2" xfId="36703"/>
    <cellStyle name="Normal 51 4 2 2 2" xfId="36704"/>
    <cellStyle name="Normal 51 4 2 2 2 2" xfId="36705"/>
    <cellStyle name="Normal 51 4 2 2 3" xfId="36706"/>
    <cellStyle name="Normal 51 4 2 3" xfId="36707"/>
    <cellStyle name="Normal 51 4 2 3 2" xfId="36708"/>
    <cellStyle name="Normal 51 4 2 4" xfId="36709"/>
    <cellStyle name="Normal 51 4 3" xfId="36710"/>
    <cellStyle name="Normal 51 4 3 2" xfId="36711"/>
    <cellStyle name="Normal 51 4 3 2 2" xfId="36712"/>
    <cellStyle name="Normal 51 4 3 3" xfId="36713"/>
    <cellStyle name="Normal 51 4 4" xfId="36714"/>
    <cellStyle name="Normal 51 4 4 2" xfId="36715"/>
    <cellStyle name="Normal 51 4 5" xfId="36716"/>
    <cellStyle name="Normal 51 5" xfId="18643"/>
    <cellStyle name="Normal 51 5 2" xfId="36717"/>
    <cellStyle name="Normal 51 5 2 2" xfId="36718"/>
    <cellStyle name="Normal 51 5 2 2 2" xfId="36719"/>
    <cellStyle name="Normal 51 5 2 3" xfId="36720"/>
    <cellStyle name="Normal 51 5 3" xfId="36721"/>
    <cellStyle name="Normal 51 5 3 2" xfId="36722"/>
    <cellStyle name="Normal 51 5 4" xfId="36723"/>
    <cellStyle name="Normal 51 6" xfId="36724"/>
    <cellStyle name="Normal 51 6 2" xfId="36725"/>
    <cellStyle name="Normal 51 6 2 2" xfId="36726"/>
    <cellStyle name="Normal 51 6 3" xfId="36727"/>
    <cellStyle name="Normal 51 7" xfId="36728"/>
    <cellStyle name="Normal 51 7 2" xfId="36729"/>
    <cellStyle name="Normal 51 8" xfId="36730"/>
    <cellStyle name="Normal 52" xfId="18644"/>
    <cellStyle name="Normal 52 2" xfId="18645"/>
    <cellStyle name="Normal 52 2 2" xfId="18646"/>
    <cellStyle name="Normal 52 2 2 2" xfId="18647"/>
    <cellStyle name="Normal 52 2 2 2 2" xfId="18648"/>
    <cellStyle name="Normal 52 2 2 2 2 2" xfId="36731"/>
    <cellStyle name="Normal 52 2 2 2 2 2 2" xfId="36732"/>
    <cellStyle name="Normal 52 2 2 2 2 2 2 2" xfId="36733"/>
    <cellStyle name="Normal 52 2 2 2 2 2 3" xfId="36734"/>
    <cellStyle name="Normal 52 2 2 2 2 3" xfId="36735"/>
    <cellStyle name="Normal 52 2 2 2 2 3 2" xfId="36736"/>
    <cellStyle name="Normal 52 2 2 2 2 4" xfId="36737"/>
    <cellStyle name="Normal 52 2 2 2 3" xfId="36738"/>
    <cellStyle name="Normal 52 2 2 2 3 2" xfId="36739"/>
    <cellStyle name="Normal 52 2 2 2 3 2 2" xfId="36740"/>
    <cellStyle name="Normal 52 2 2 2 3 3" xfId="36741"/>
    <cellStyle name="Normal 52 2 2 2 4" xfId="36742"/>
    <cellStyle name="Normal 52 2 2 2 4 2" xfId="36743"/>
    <cellStyle name="Normal 52 2 2 2 5" xfId="36744"/>
    <cellStyle name="Normal 52 2 2 3" xfId="18649"/>
    <cellStyle name="Normal 52 2 2 3 2" xfId="36745"/>
    <cellStyle name="Normal 52 2 2 3 2 2" xfId="36746"/>
    <cellStyle name="Normal 52 2 2 3 2 2 2" xfId="36747"/>
    <cellStyle name="Normal 52 2 2 3 2 3" xfId="36748"/>
    <cellStyle name="Normal 52 2 2 3 3" xfId="36749"/>
    <cellStyle name="Normal 52 2 2 3 3 2" xfId="36750"/>
    <cellStyle name="Normal 52 2 2 3 4" xfId="36751"/>
    <cellStyle name="Normal 52 2 2 4" xfId="36752"/>
    <cellStyle name="Normal 52 2 2 4 2" xfId="36753"/>
    <cellStyle name="Normal 52 2 2 4 2 2" xfId="36754"/>
    <cellStyle name="Normal 52 2 2 4 3" xfId="36755"/>
    <cellStyle name="Normal 52 2 2 5" xfId="36756"/>
    <cellStyle name="Normal 52 2 2 5 2" xfId="36757"/>
    <cellStyle name="Normal 52 2 2 6" xfId="36758"/>
    <cellStyle name="Normal 52 2 3" xfId="18650"/>
    <cellStyle name="Normal 52 2 3 2" xfId="18651"/>
    <cellStyle name="Normal 52 2 3 2 2" xfId="36759"/>
    <cellStyle name="Normal 52 2 3 2 2 2" xfId="36760"/>
    <cellStyle name="Normal 52 2 3 2 2 2 2" xfId="36761"/>
    <cellStyle name="Normal 52 2 3 2 2 3" xfId="36762"/>
    <cellStyle name="Normal 52 2 3 2 3" xfId="36763"/>
    <cellStyle name="Normal 52 2 3 2 3 2" xfId="36764"/>
    <cellStyle name="Normal 52 2 3 2 4" xfId="36765"/>
    <cellStyle name="Normal 52 2 3 3" xfId="36766"/>
    <cellStyle name="Normal 52 2 3 3 2" xfId="36767"/>
    <cellStyle name="Normal 52 2 3 3 2 2" xfId="36768"/>
    <cellStyle name="Normal 52 2 3 3 3" xfId="36769"/>
    <cellStyle name="Normal 52 2 3 4" xfId="36770"/>
    <cellStyle name="Normal 52 2 3 4 2" xfId="36771"/>
    <cellStyle name="Normal 52 2 3 5" xfId="36772"/>
    <cellStyle name="Normal 52 2 4" xfId="18652"/>
    <cellStyle name="Normal 52 2 4 2" xfId="36773"/>
    <cellStyle name="Normal 52 2 4 2 2" xfId="36774"/>
    <cellStyle name="Normal 52 2 4 2 2 2" xfId="36775"/>
    <cellStyle name="Normal 52 2 4 2 3" xfId="36776"/>
    <cellStyle name="Normal 52 2 4 3" xfId="36777"/>
    <cellStyle name="Normal 52 2 4 3 2" xfId="36778"/>
    <cellStyle name="Normal 52 2 4 4" xfId="36779"/>
    <cellStyle name="Normal 52 2 5" xfId="36780"/>
    <cellStyle name="Normal 52 2 5 2" xfId="36781"/>
    <cellStyle name="Normal 52 2 5 2 2" xfId="36782"/>
    <cellStyle name="Normal 52 2 5 3" xfId="36783"/>
    <cellStyle name="Normal 52 2 6" xfId="36784"/>
    <cellStyle name="Normal 52 2 6 2" xfId="36785"/>
    <cellStyle name="Normal 52 2 7" xfId="36786"/>
    <cellStyle name="Normal 52 3" xfId="18653"/>
    <cellStyle name="Normal 52 3 2" xfId="18654"/>
    <cellStyle name="Normal 52 3 2 2" xfId="18655"/>
    <cellStyle name="Normal 52 3 2 2 2" xfId="36787"/>
    <cellStyle name="Normal 52 3 2 2 2 2" xfId="36788"/>
    <cellStyle name="Normal 52 3 2 2 2 2 2" xfId="36789"/>
    <cellStyle name="Normal 52 3 2 2 2 3" xfId="36790"/>
    <cellStyle name="Normal 52 3 2 2 3" xfId="36791"/>
    <cellStyle name="Normal 52 3 2 2 3 2" xfId="36792"/>
    <cellStyle name="Normal 52 3 2 2 4" xfId="36793"/>
    <cellStyle name="Normal 52 3 2 3" xfId="36794"/>
    <cellStyle name="Normal 52 3 2 3 2" xfId="36795"/>
    <cellStyle name="Normal 52 3 2 3 2 2" xfId="36796"/>
    <cellStyle name="Normal 52 3 2 3 3" xfId="36797"/>
    <cellStyle name="Normal 52 3 2 4" xfId="36798"/>
    <cellStyle name="Normal 52 3 2 4 2" xfId="36799"/>
    <cellStyle name="Normal 52 3 2 5" xfId="36800"/>
    <cellStyle name="Normal 52 3 3" xfId="18656"/>
    <cellStyle name="Normal 52 3 3 2" xfId="36801"/>
    <cellStyle name="Normal 52 3 3 2 2" xfId="36802"/>
    <cellStyle name="Normal 52 3 3 2 2 2" xfId="36803"/>
    <cellStyle name="Normal 52 3 3 2 3" xfId="36804"/>
    <cellStyle name="Normal 52 3 3 3" xfId="36805"/>
    <cellStyle name="Normal 52 3 3 3 2" xfId="36806"/>
    <cellStyle name="Normal 52 3 3 4" xfId="36807"/>
    <cellStyle name="Normal 52 3 4" xfId="36808"/>
    <cellStyle name="Normal 52 3 4 2" xfId="36809"/>
    <cellStyle name="Normal 52 3 4 2 2" xfId="36810"/>
    <cellStyle name="Normal 52 3 4 3" xfId="36811"/>
    <cellStyle name="Normal 52 3 5" xfId="36812"/>
    <cellStyle name="Normal 52 3 5 2" xfId="36813"/>
    <cellStyle name="Normal 52 3 6" xfId="36814"/>
    <cellStyle name="Normal 52 4" xfId="18657"/>
    <cellStyle name="Normal 52 4 2" xfId="18658"/>
    <cellStyle name="Normal 52 4 2 2" xfId="36815"/>
    <cellStyle name="Normal 52 4 2 2 2" xfId="36816"/>
    <cellStyle name="Normal 52 4 2 2 2 2" xfId="36817"/>
    <cellStyle name="Normal 52 4 2 2 3" xfId="36818"/>
    <cellStyle name="Normal 52 4 2 3" xfId="36819"/>
    <cellStyle name="Normal 52 4 2 3 2" xfId="36820"/>
    <cellStyle name="Normal 52 4 2 4" xfId="36821"/>
    <cellStyle name="Normal 52 4 3" xfId="36822"/>
    <cellStyle name="Normal 52 4 3 2" xfId="36823"/>
    <cellStyle name="Normal 52 4 3 2 2" xfId="36824"/>
    <cellStyle name="Normal 52 4 3 3" xfId="36825"/>
    <cellStyle name="Normal 52 4 4" xfId="36826"/>
    <cellStyle name="Normal 52 4 4 2" xfId="36827"/>
    <cellStyle name="Normal 52 4 5" xfId="36828"/>
    <cellStyle name="Normal 52 5" xfId="18659"/>
    <cellStyle name="Normal 52 5 2" xfId="36829"/>
    <cellStyle name="Normal 52 5 2 2" xfId="36830"/>
    <cellStyle name="Normal 52 5 2 2 2" xfId="36831"/>
    <cellStyle name="Normal 52 5 2 3" xfId="36832"/>
    <cellStyle name="Normal 52 5 3" xfId="36833"/>
    <cellStyle name="Normal 52 5 3 2" xfId="36834"/>
    <cellStyle name="Normal 52 5 4" xfId="36835"/>
    <cellStyle name="Normal 52 6" xfId="36836"/>
    <cellStyle name="Normal 52 6 2" xfId="36837"/>
    <cellStyle name="Normal 52 6 2 2" xfId="36838"/>
    <cellStyle name="Normal 52 6 3" xfId="36839"/>
    <cellStyle name="Normal 52 7" xfId="36840"/>
    <cellStyle name="Normal 52 7 2" xfId="36841"/>
    <cellStyle name="Normal 52 8" xfId="36842"/>
    <cellStyle name="Normal 53" xfId="18660"/>
    <cellStyle name="Normal 54" xfId="18661"/>
    <cellStyle name="Normal 54 2" xfId="18662"/>
    <cellStyle name="Normal 55" xfId="18663"/>
    <cellStyle name="Normal 55 2" xfId="18664"/>
    <cellStyle name="Normal 55 2 2" xfId="18665"/>
    <cellStyle name="Normal 55 2 2 2" xfId="18666"/>
    <cellStyle name="Normal 55 2 2 2 2" xfId="36843"/>
    <cellStyle name="Normal 55 2 2 2 2 2" xfId="36844"/>
    <cellStyle name="Normal 55 2 2 2 2 2 2" xfId="36845"/>
    <cellStyle name="Normal 55 2 2 2 2 3" xfId="36846"/>
    <cellStyle name="Normal 55 2 2 2 3" xfId="36847"/>
    <cellStyle name="Normal 55 2 2 2 3 2" xfId="36848"/>
    <cellStyle name="Normal 55 2 2 2 4" xfId="36849"/>
    <cellStyle name="Normal 55 2 2 3" xfId="36850"/>
    <cellStyle name="Normal 55 2 2 3 2" xfId="36851"/>
    <cellStyle name="Normal 55 2 2 3 2 2" xfId="36852"/>
    <cellStyle name="Normal 55 2 2 3 3" xfId="36853"/>
    <cellStyle name="Normal 55 2 2 4" xfId="36854"/>
    <cellStyle name="Normal 55 2 2 4 2" xfId="36855"/>
    <cellStyle name="Normal 55 2 2 5" xfId="36856"/>
    <cellStyle name="Normal 55 2 3" xfId="18667"/>
    <cellStyle name="Normal 55 2 3 2" xfId="36857"/>
    <cellStyle name="Normal 55 2 3 2 2" xfId="36858"/>
    <cellStyle name="Normal 55 2 3 2 2 2" xfId="36859"/>
    <cellStyle name="Normal 55 2 3 2 3" xfId="36860"/>
    <cellStyle name="Normal 55 2 3 3" xfId="36861"/>
    <cellStyle name="Normal 55 2 3 3 2" xfId="36862"/>
    <cellStyle name="Normal 55 2 3 4" xfId="36863"/>
    <cellStyle name="Normal 55 2 4" xfId="36864"/>
    <cellStyle name="Normal 55 2 4 2" xfId="36865"/>
    <cellStyle name="Normal 55 2 4 2 2" xfId="36866"/>
    <cellStyle name="Normal 55 2 4 3" xfId="36867"/>
    <cellStyle name="Normal 55 2 5" xfId="36868"/>
    <cellStyle name="Normal 55 2 5 2" xfId="36869"/>
    <cellStyle name="Normal 55 2 6" xfId="36870"/>
    <cellStyle name="Normal 55 3" xfId="18668"/>
    <cellStyle name="Normal 55 3 2" xfId="18669"/>
    <cellStyle name="Normal 55 3 2 2" xfId="36871"/>
    <cellStyle name="Normal 55 3 2 2 2" xfId="36872"/>
    <cellStyle name="Normal 55 3 2 2 2 2" xfId="36873"/>
    <cellStyle name="Normal 55 3 2 2 3" xfId="36874"/>
    <cellStyle name="Normal 55 3 2 3" xfId="36875"/>
    <cellStyle name="Normal 55 3 2 3 2" xfId="36876"/>
    <cellStyle name="Normal 55 3 2 4" xfId="36877"/>
    <cellStyle name="Normal 55 3 3" xfId="36878"/>
    <cellStyle name="Normal 55 3 3 2" xfId="36879"/>
    <cellStyle name="Normal 55 3 3 2 2" xfId="36880"/>
    <cellStyle name="Normal 55 3 3 3" xfId="36881"/>
    <cellStyle name="Normal 55 3 4" xfId="36882"/>
    <cellStyle name="Normal 55 3 4 2" xfId="36883"/>
    <cellStyle name="Normal 55 3 5" xfId="36884"/>
    <cellStyle name="Normal 55 4" xfId="18670"/>
    <cellStyle name="Normal 55 4 2" xfId="36885"/>
    <cellStyle name="Normal 55 4 2 2" xfId="36886"/>
    <cellStyle name="Normal 55 4 2 2 2" xfId="36887"/>
    <cellStyle name="Normal 55 4 2 3" xfId="36888"/>
    <cellStyle name="Normal 55 4 3" xfId="36889"/>
    <cellStyle name="Normal 55 4 3 2" xfId="36890"/>
    <cellStyle name="Normal 55 4 4" xfId="36891"/>
    <cellStyle name="Normal 55 5" xfId="36892"/>
    <cellStyle name="Normal 55 5 2" xfId="36893"/>
    <cellStyle name="Normal 55 5 2 2" xfId="36894"/>
    <cellStyle name="Normal 55 5 3" xfId="36895"/>
    <cellStyle name="Normal 55 6" xfId="36896"/>
    <cellStyle name="Normal 55 6 2" xfId="36897"/>
    <cellStyle name="Normal 55 7" xfId="36898"/>
    <cellStyle name="Normal 56" xfId="18671"/>
    <cellStyle name="Normal 56 2" xfId="18672"/>
    <cellStyle name="Normal 56 2 2" xfId="18673"/>
    <cellStyle name="Normal 56 2 2 2" xfId="18674"/>
    <cellStyle name="Normal 56 2 2 2 2" xfId="36899"/>
    <cellStyle name="Normal 56 2 2 2 2 2" xfId="36900"/>
    <cellStyle name="Normal 56 2 2 2 2 2 2" xfId="36901"/>
    <cellStyle name="Normal 56 2 2 2 2 3" xfId="36902"/>
    <cellStyle name="Normal 56 2 2 2 3" xfId="36903"/>
    <cellStyle name="Normal 56 2 2 2 3 2" xfId="36904"/>
    <cellStyle name="Normal 56 2 2 2 4" xfId="36905"/>
    <cellStyle name="Normal 56 2 2 3" xfId="36906"/>
    <cellStyle name="Normal 56 2 2 3 2" xfId="36907"/>
    <cellStyle name="Normal 56 2 2 3 2 2" xfId="36908"/>
    <cellStyle name="Normal 56 2 2 3 3" xfId="36909"/>
    <cellStyle name="Normal 56 2 2 4" xfId="36910"/>
    <cellStyle name="Normal 56 2 2 4 2" xfId="36911"/>
    <cellStyle name="Normal 56 2 2 5" xfId="36912"/>
    <cellStyle name="Normal 56 2 3" xfId="18675"/>
    <cellStyle name="Normal 56 2 3 2" xfId="36913"/>
    <cellStyle name="Normal 56 2 3 2 2" xfId="36914"/>
    <cellStyle name="Normal 56 2 3 2 2 2" xfId="36915"/>
    <cellStyle name="Normal 56 2 3 2 3" xfId="36916"/>
    <cellStyle name="Normal 56 2 3 3" xfId="36917"/>
    <cellStyle name="Normal 56 2 3 3 2" xfId="36918"/>
    <cellStyle name="Normal 56 2 3 4" xfId="36919"/>
    <cellStyle name="Normal 56 2 4" xfId="36920"/>
    <cellStyle name="Normal 56 2 4 2" xfId="36921"/>
    <cellStyle name="Normal 56 2 4 2 2" xfId="36922"/>
    <cellStyle name="Normal 56 2 4 3" xfId="36923"/>
    <cellStyle name="Normal 56 2 5" xfId="36924"/>
    <cellStyle name="Normal 56 2 5 2" xfId="36925"/>
    <cellStyle name="Normal 56 2 6" xfId="36926"/>
    <cellStyle name="Normal 56 3" xfId="18676"/>
    <cellStyle name="Normal 56 3 2" xfId="18677"/>
    <cellStyle name="Normal 56 3 2 2" xfId="36927"/>
    <cellStyle name="Normal 56 3 2 2 2" xfId="36928"/>
    <cellStyle name="Normal 56 3 2 2 2 2" xfId="36929"/>
    <cellStyle name="Normal 56 3 2 2 3" xfId="36930"/>
    <cellStyle name="Normal 56 3 2 3" xfId="36931"/>
    <cellStyle name="Normal 56 3 2 3 2" xfId="36932"/>
    <cellStyle name="Normal 56 3 2 4" xfId="36933"/>
    <cellStyle name="Normal 56 3 3" xfId="36934"/>
    <cellStyle name="Normal 56 3 3 2" xfId="36935"/>
    <cellStyle name="Normal 56 3 3 2 2" xfId="36936"/>
    <cellStyle name="Normal 56 3 3 3" xfId="36937"/>
    <cellStyle name="Normal 56 3 4" xfId="36938"/>
    <cellStyle name="Normal 56 3 4 2" xfId="36939"/>
    <cellStyle name="Normal 56 3 5" xfId="36940"/>
    <cellStyle name="Normal 56 4" xfId="18678"/>
    <cellStyle name="Normal 56 4 2" xfId="36941"/>
    <cellStyle name="Normal 56 4 2 2" xfId="36942"/>
    <cellStyle name="Normal 56 4 2 2 2" xfId="36943"/>
    <cellStyle name="Normal 56 4 2 3" xfId="36944"/>
    <cellStyle name="Normal 56 4 3" xfId="36945"/>
    <cellStyle name="Normal 56 4 3 2" xfId="36946"/>
    <cellStyle name="Normal 56 4 4" xfId="36947"/>
    <cellStyle name="Normal 56 5" xfId="36948"/>
    <cellStyle name="Normal 56 5 2" xfId="36949"/>
    <cellStyle name="Normal 56 5 2 2" xfId="36950"/>
    <cellStyle name="Normal 56 5 3" xfId="36951"/>
    <cellStyle name="Normal 56 6" xfId="36952"/>
    <cellStyle name="Normal 56 6 2" xfId="36953"/>
    <cellStyle name="Normal 56 7" xfId="36954"/>
    <cellStyle name="Normal 57" xfId="18679"/>
    <cellStyle name="Normal 57 2" xfId="18680"/>
    <cellStyle name="Normal 57 2 2" xfId="18681"/>
    <cellStyle name="Normal 57 2 2 2" xfId="18682"/>
    <cellStyle name="Normal 57 2 2 2 2" xfId="36955"/>
    <cellStyle name="Normal 57 2 2 2 2 2" xfId="36956"/>
    <cellStyle name="Normal 57 2 2 2 2 2 2" xfId="36957"/>
    <cellStyle name="Normal 57 2 2 2 2 3" xfId="36958"/>
    <cellStyle name="Normal 57 2 2 2 3" xfId="36959"/>
    <cellStyle name="Normal 57 2 2 2 3 2" xfId="36960"/>
    <cellStyle name="Normal 57 2 2 2 4" xfId="36961"/>
    <cellStyle name="Normal 57 2 2 3" xfId="36962"/>
    <cellStyle name="Normal 57 2 2 3 2" xfId="36963"/>
    <cellStyle name="Normal 57 2 2 3 2 2" xfId="36964"/>
    <cellStyle name="Normal 57 2 2 3 3" xfId="36965"/>
    <cellStyle name="Normal 57 2 2 4" xfId="36966"/>
    <cellStyle name="Normal 57 2 2 4 2" xfId="36967"/>
    <cellStyle name="Normal 57 2 2 5" xfId="36968"/>
    <cellStyle name="Normal 57 2 3" xfId="18683"/>
    <cellStyle name="Normal 57 2 3 2" xfId="36969"/>
    <cellStyle name="Normal 57 2 3 2 2" xfId="36970"/>
    <cellStyle name="Normal 57 2 3 2 2 2" xfId="36971"/>
    <cellStyle name="Normal 57 2 3 2 3" xfId="36972"/>
    <cellStyle name="Normal 57 2 3 3" xfId="36973"/>
    <cellStyle name="Normal 57 2 3 3 2" xfId="36974"/>
    <cellStyle name="Normal 57 2 3 4" xfId="36975"/>
    <cellStyle name="Normal 57 2 4" xfId="36976"/>
    <cellStyle name="Normal 57 2 4 2" xfId="36977"/>
    <cellStyle name="Normal 57 2 4 2 2" xfId="36978"/>
    <cellStyle name="Normal 57 2 4 3" xfId="36979"/>
    <cellStyle name="Normal 57 2 5" xfId="36980"/>
    <cellStyle name="Normal 57 2 5 2" xfId="36981"/>
    <cellStyle name="Normal 57 2 6" xfId="36982"/>
    <cellStyle name="Normal 57 3" xfId="18684"/>
    <cellStyle name="Normal 57 3 2" xfId="18685"/>
    <cellStyle name="Normal 57 3 2 2" xfId="36983"/>
    <cellStyle name="Normal 57 3 2 2 2" xfId="36984"/>
    <cellStyle name="Normal 57 3 2 2 2 2" xfId="36985"/>
    <cellStyle name="Normal 57 3 2 2 3" xfId="36986"/>
    <cellStyle name="Normal 57 3 2 3" xfId="36987"/>
    <cellStyle name="Normal 57 3 2 3 2" xfId="36988"/>
    <cellStyle name="Normal 57 3 2 4" xfId="36989"/>
    <cellStyle name="Normal 57 3 3" xfId="36990"/>
    <cellStyle name="Normal 57 3 3 2" xfId="36991"/>
    <cellStyle name="Normal 57 3 3 2 2" xfId="36992"/>
    <cellStyle name="Normal 57 3 3 3" xfId="36993"/>
    <cellStyle name="Normal 57 3 4" xfId="36994"/>
    <cellStyle name="Normal 57 3 4 2" xfId="36995"/>
    <cellStyle name="Normal 57 3 5" xfId="36996"/>
    <cellStyle name="Normal 57 4" xfId="18686"/>
    <cellStyle name="Normal 57 4 2" xfId="36997"/>
    <cellStyle name="Normal 57 4 2 2" xfId="36998"/>
    <cellStyle name="Normal 57 4 2 2 2" xfId="36999"/>
    <cellStyle name="Normal 57 4 2 3" xfId="37000"/>
    <cellStyle name="Normal 57 4 3" xfId="37001"/>
    <cellStyle name="Normal 57 4 3 2" xfId="37002"/>
    <cellStyle name="Normal 57 4 4" xfId="37003"/>
    <cellStyle name="Normal 57 5" xfId="37004"/>
    <cellStyle name="Normal 57 5 2" xfId="37005"/>
    <cellStyle name="Normal 57 5 2 2" xfId="37006"/>
    <cellStyle name="Normal 57 5 3" xfId="37007"/>
    <cellStyle name="Normal 57 6" xfId="37008"/>
    <cellStyle name="Normal 57 6 2" xfId="37009"/>
    <cellStyle name="Normal 57 7" xfId="37010"/>
    <cellStyle name="Normal 58" xfId="18687"/>
    <cellStyle name="Normal 58 2" xfId="18688"/>
    <cellStyle name="Normal 58 2 2" xfId="18689"/>
    <cellStyle name="Normal 58 2 2 2" xfId="18690"/>
    <cellStyle name="Normal 58 2 2 2 2" xfId="37011"/>
    <cellStyle name="Normal 58 2 2 2 2 2" xfId="37012"/>
    <cellStyle name="Normal 58 2 2 2 2 2 2" xfId="37013"/>
    <cellStyle name="Normal 58 2 2 2 2 3" xfId="37014"/>
    <cellStyle name="Normal 58 2 2 2 3" xfId="37015"/>
    <cellStyle name="Normal 58 2 2 2 3 2" xfId="37016"/>
    <cellStyle name="Normal 58 2 2 2 4" xfId="37017"/>
    <cellStyle name="Normal 58 2 2 3" xfId="37018"/>
    <cellStyle name="Normal 58 2 2 3 2" xfId="37019"/>
    <cellStyle name="Normal 58 2 2 3 2 2" xfId="37020"/>
    <cellStyle name="Normal 58 2 2 3 3" xfId="37021"/>
    <cellStyle name="Normal 58 2 2 4" xfId="37022"/>
    <cellStyle name="Normal 58 2 2 4 2" xfId="37023"/>
    <cellStyle name="Normal 58 2 2 5" xfId="37024"/>
    <cellStyle name="Normal 58 2 3" xfId="18691"/>
    <cellStyle name="Normal 58 2 3 2" xfId="37025"/>
    <cellStyle name="Normal 58 2 3 2 2" xfId="37026"/>
    <cellStyle name="Normal 58 2 3 2 2 2" xfId="37027"/>
    <cellStyle name="Normal 58 2 3 2 3" xfId="37028"/>
    <cellStyle name="Normal 58 2 3 3" xfId="37029"/>
    <cellStyle name="Normal 58 2 3 3 2" xfId="37030"/>
    <cellStyle name="Normal 58 2 3 4" xfId="37031"/>
    <cellStyle name="Normal 58 2 4" xfId="37032"/>
    <cellStyle name="Normal 58 2 4 2" xfId="37033"/>
    <cellStyle name="Normal 58 2 4 2 2" xfId="37034"/>
    <cellStyle name="Normal 58 2 4 3" xfId="37035"/>
    <cellStyle name="Normal 58 2 5" xfId="37036"/>
    <cellStyle name="Normal 58 2 5 2" xfId="37037"/>
    <cellStyle name="Normal 58 2 6" xfId="37038"/>
    <cellStyle name="Normal 58 3" xfId="18692"/>
    <cellStyle name="Normal 58 3 2" xfId="18693"/>
    <cellStyle name="Normal 58 3 2 2" xfId="37039"/>
    <cellStyle name="Normal 58 3 2 2 2" xfId="37040"/>
    <cellStyle name="Normal 58 3 2 2 2 2" xfId="37041"/>
    <cellStyle name="Normal 58 3 2 2 3" xfId="37042"/>
    <cellStyle name="Normal 58 3 2 3" xfId="37043"/>
    <cellStyle name="Normal 58 3 2 3 2" xfId="37044"/>
    <cellStyle name="Normal 58 3 2 4" xfId="37045"/>
    <cellStyle name="Normal 58 3 3" xfId="37046"/>
    <cellStyle name="Normal 58 3 3 2" xfId="37047"/>
    <cellStyle name="Normal 58 3 3 2 2" xfId="37048"/>
    <cellStyle name="Normal 58 3 3 3" xfId="37049"/>
    <cellStyle name="Normal 58 3 4" xfId="37050"/>
    <cellStyle name="Normal 58 3 4 2" xfId="37051"/>
    <cellStyle name="Normal 58 3 5" xfId="37052"/>
    <cellStyle name="Normal 58 4" xfId="18694"/>
    <cellStyle name="Normal 58 4 2" xfId="37053"/>
    <cellStyle name="Normal 58 4 2 2" xfId="37054"/>
    <cellStyle name="Normal 58 4 2 2 2" xfId="37055"/>
    <cellStyle name="Normal 58 4 2 3" xfId="37056"/>
    <cellStyle name="Normal 58 4 3" xfId="37057"/>
    <cellStyle name="Normal 58 4 3 2" xfId="37058"/>
    <cellStyle name="Normal 58 4 4" xfId="37059"/>
    <cellStyle name="Normal 58 5" xfId="37060"/>
    <cellStyle name="Normal 58 5 2" xfId="37061"/>
    <cellStyle name="Normal 58 5 2 2" xfId="37062"/>
    <cellStyle name="Normal 58 5 3" xfId="37063"/>
    <cellStyle name="Normal 58 6" xfId="37064"/>
    <cellStyle name="Normal 58 6 2" xfId="37065"/>
    <cellStyle name="Normal 58 7" xfId="37066"/>
    <cellStyle name="Normal 59" xfId="18695"/>
    <cellStyle name="Normal 6" xfId="74"/>
    <cellStyle name="Normal 6 10" xfId="18696"/>
    <cellStyle name="Normal 6 10 2" xfId="37067"/>
    <cellStyle name="Normal 6 10 2 2" xfId="37068"/>
    <cellStyle name="Normal 6 10 2 2 2" xfId="37069"/>
    <cellStyle name="Normal 6 10 2 3" xfId="37070"/>
    <cellStyle name="Normal 6 10 3" xfId="37071"/>
    <cellStyle name="Normal 6 10 3 2" xfId="37072"/>
    <cellStyle name="Normal 6 10 4" xfId="37073"/>
    <cellStyle name="Normal 6 11" xfId="18697"/>
    <cellStyle name="Normal 6 12" xfId="37074"/>
    <cellStyle name="Normal 6 13" xfId="37075"/>
    <cellStyle name="Normal 6 13 2" xfId="37076"/>
    <cellStyle name="Normal 6 13 2 2" xfId="37077"/>
    <cellStyle name="Normal 6 13 3" xfId="37078"/>
    <cellStyle name="Normal 6 14" xfId="37079"/>
    <cellStyle name="Normal 6 14 2" xfId="37080"/>
    <cellStyle name="Normal 6 15" xfId="37081"/>
    <cellStyle name="Normal 6 2" xfId="10110"/>
    <cellStyle name="Normal 6 2 2" xfId="18698"/>
    <cellStyle name="Normal 6 2 2 2" xfId="37082"/>
    <cellStyle name="Normal 6 2 3" xfId="18699"/>
    <cellStyle name="Normal 6 2 3 2" xfId="37083"/>
    <cellStyle name="Normal 6 2 4" xfId="37084"/>
    <cellStyle name="Normal 6 3" xfId="18700"/>
    <cellStyle name="Normal 6 3 2" xfId="18701"/>
    <cellStyle name="Normal 6 3 2 2" xfId="37085"/>
    <cellStyle name="Normal 6 3 3" xfId="18702"/>
    <cellStyle name="Normal 6 4" xfId="18703"/>
    <cellStyle name="Normal 6 4 2" xfId="18704"/>
    <cellStyle name="Normal 6 4 3" xfId="18705"/>
    <cellStyle name="Normal 6 5" xfId="18706"/>
    <cellStyle name="Normal 6 5 2" xfId="18707"/>
    <cellStyle name="Normal 6 5 2 2" xfId="18708"/>
    <cellStyle name="Normal 6 5 2 2 2" xfId="18709"/>
    <cellStyle name="Normal 6 5 2 2 2 2" xfId="18710"/>
    <cellStyle name="Normal 6 5 2 2 2 2 2" xfId="37086"/>
    <cellStyle name="Normal 6 5 2 2 2 2 2 2" xfId="37087"/>
    <cellStyle name="Normal 6 5 2 2 2 2 2 2 2" xfId="37088"/>
    <cellStyle name="Normal 6 5 2 2 2 2 2 3" xfId="37089"/>
    <cellStyle name="Normal 6 5 2 2 2 2 3" xfId="37090"/>
    <cellStyle name="Normal 6 5 2 2 2 2 3 2" xfId="37091"/>
    <cellStyle name="Normal 6 5 2 2 2 2 4" xfId="37092"/>
    <cellStyle name="Normal 6 5 2 2 2 3" xfId="37093"/>
    <cellStyle name="Normal 6 5 2 2 2 3 2" xfId="37094"/>
    <cellStyle name="Normal 6 5 2 2 2 3 2 2" xfId="37095"/>
    <cellStyle name="Normal 6 5 2 2 2 3 3" xfId="37096"/>
    <cellStyle name="Normal 6 5 2 2 2 4" xfId="37097"/>
    <cellStyle name="Normal 6 5 2 2 2 4 2" xfId="37098"/>
    <cellStyle name="Normal 6 5 2 2 2 5" xfId="37099"/>
    <cellStyle name="Normal 6 5 2 2 3" xfId="18711"/>
    <cellStyle name="Normal 6 5 2 2 3 2" xfId="37100"/>
    <cellStyle name="Normal 6 5 2 2 3 2 2" xfId="37101"/>
    <cellStyle name="Normal 6 5 2 2 3 2 2 2" xfId="37102"/>
    <cellStyle name="Normal 6 5 2 2 3 2 3" xfId="37103"/>
    <cellStyle name="Normal 6 5 2 2 3 3" xfId="37104"/>
    <cellStyle name="Normal 6 5 2 2 3 3 2" xfId="37105"/>
    <cellStyle name="Normal 6 5 2 2 3 4" xfId="37106"/>
    <cellStyle name="Normal 6 5 2 2 4" xfId="37107"/>
    <cellStyle name="Normal 6 5 2 2 4 2" xfId="37108"/>
    <cellStyle name="Normal 6 5 2 2 4 2 2" xfId="37109"/>
    <cellStyle name="Normal 6 5 2 2 4 3" xfId="37110"/>
    <cellStyle name="Normal 6 5 2 2 5" xfId="37111"/>
    <cellStyle name="Normal 6 5 2 2 5 2" xfId="37112"/>
    <cellStyle name="Normal 6 5 2 2 6" xfId="37113"/>
    <cellStyle name="Normal 6 5 2 3" xfId="18712"/>
    <cellStyle name="Normal 6 5 2 3 2" xfId="18713"/>
    <cellStyle name="Normal 6 5 2 3 2 2" xfId="37114"/>
    <cellStyle name="Normal 6 5 2 3 2 2 2" xfId="37115"/>
    <cellStyle name="Normal 6 5 2 3 2 2 2 2" xfId="37116"/>
    <cellStyle name="Normal 6 5 2 3 2 2 3" xfId="37117"/>
    <cellStyle name="Normal 6 5 2 3 2 3" xfId="37118"/>
    <cellStyle name="Normal 6 5 2 3 2 3 2" xfId="37119"/>
    <cellStyle name="Normal 6 5 2 3 2 4" xfId="37120"/>
    <cellStyle name="Normal 6 5 2 3 3" xfId="37121"/>
    <cellStyle name="Normal 6 5 2 3 3 2" xfId="37122"/>
    <cellStyle name="Normal 6 5 2 3 3 2 2" xfId="37123"/>
    <cellStyle name="Normal 6 5 2 3 3 3" xfId="37124"/>
    <cellStyle name="Normal 6 5 2 3 4" xfId="37125"/>
    <cellStyle name="Normal 6 5 2 3 4 2" xfId="37126"/>
    <cellStyle name="Normal 6 5 2 3 5" xfId="37127"/>
    <cellStyle name="Normal 6 5 2 4" xfId="18714"/>
    <cellStyle name="Normal 6 5 2 4 2" xfId="37128"/>
    <cellStyle name="Normal 6 5 2 4 2 2" xfId="37129"/>
    <cellStyle name="Normal 6 5 2 4 2 2 2" xfId="37130"/>
    <cellStyle name="Normal 6 5 2 4 2 3" xfId="37131"/>
    <cellStyle name="Normal 6 5 2 4 3" xfId="37132"/>
    <cellStyle name="Normal 6 5 2 4 3 2" xfId="37133"/>
    <cellStyle name="Normal 6 5 2 4 4" xfId="37134"/>
    <cellStyle name="Normal 6 5 2 5" xfId="37135"/>
    <cellStyle name="Normal 6 5 2 5 2" xfId="37136"/>
    <cellStyle name="Normal 6 5 2 5 2 2" xfId="37137"/>
    <cellStyle name="Normal 6 5 2 5 3" xfId="37138"/>
    <cellStyle name="Normal 6 5 2 6" xfId="37139"/>
    <cellStyle name="Normal 6 5 2 6 2" xfId="37140"/>
    <cellStyle name="Normal 6 5 2 7" xfId="37141"/>
    <cellStyle name="Normal 6 5 3" xfId="18715"/>
    <cellStyle name="Normal 6 5 3 2" xfId="18716"/>
    <cellStyle name="Normal 6 5 3 2 2" xfId="18717"/>
    <cellStyle name="Normal 6 5 3 2 2 2" xfId="37142"/>
    <cellStyle name="Normal 6 5 3 2 2 2 2" xfId="37143"/>
    <cellStyle name="Normal 6 5 3 2 2 2 2 2" xfId="37144"/>
    <cellStyle name="Normal 6 5 3 2 2 2 3" xfId="37145"/>
    <cellStyle name="Normal 6 5 3 2 2 3" xfId="37146"/>
    <cellStyle name="Normal 6 5 3 2 2 3 2" xfId="37147"/>
    <cellStyle name="Normal 6 5 3 2 2 4" xfId="37148"/>
    <cellStyle name="Normal 6 5 3 2 3" xfId="37149"/>
    <cellStyle name="Normal 6 5 3 2 3 2" xfId="37150"/>
    <cellStyle name="Normal 6 5 3 2 3 2 2" xfId="37151"/>
    <cellStyle name="Normal 6 5 3 2 3 3" xfId="37152"/>
    <cellStyle name="Normal 6 5 3 2 4" xfId="37153"/>
    <cellStyle name="Normal 6 5 3 2 4 2" xfId="37154"/>
    <cellStyle name="Normal 6 5 3 2 5" xfId="37155"/>
    <cellStyle name="Normal 6 5 3 3" xfId="18718"/>
    <cellStyle name="Normal 6 5 3 3 2" xfId="37156"/>
    <cellStyle name="Normal 6 5 3 3 2 2" xfId="37157"/>
    <cellStyle name="Normal 6 5 3 3 2 2 2" xfId="37158"/>
    <cellStyle name="Normal 6 5 3 3 2 3" xfId="37159"/>
    <cellStyle name="Normal 6 5 3 3 3" xfId="37160"/>
    <cellStyle name="Normal 6 5 3 3 3 2" xfId="37161"/>
    <cellStyle name="Normal 6 5 3 3 4" xfId="37162"/>
    <cellStyle name="Normal 6 5 3 4" xfId="37163"/>
    <cellStyle name="Normal 6 5 3 4 2" xfId="37164"/>
    <cellStyle name="Normal 6 5 3 4 2 2" xfId="37165"/>
    <cellStyle name="Normal 6 5 3 4 3" xfId="37166"/>
    <cellStyle name="Normal 6 5 3 5" xfId="37167"/>
    <cellStyle name="Normal 6 5 3 5 2" xfId="37168"/>
    <cellStyle name="Normal 6 5 3 6" xfId="37169"/>
    <cellStyle name="Normal 6 5 4" xfId="18719"/>
    <cellStyle name="Normal 6 5 4 2" xfId="18720"/>
    <cellStyle name="Normal 6 5 4 2 2" xfId="37170"/>
    <cellStyle name="Normal 6 5 4 2 2 2" xfId="37171"/>
    <cellStyle name="Normal 6 5 4 2 2 2 2" xfId="37172"/>
    <cellStyle name="Normal 6 5 4 2 2 3" xfId="37173"/>
    <cellStyle name="Normal 6 5 4 2 3" xfId="37174"/>
    <cellStyle name="Normal 6 5 4 2 3 2" xfId="37175"/>
    <cellStyle name="Normal 6 5 4 2 4" xfId="37176"/>
    <cellStyle name="Normal 6 5 4 3" xfId="37177"/>
    <cellStyle name="Normal 6 5 4 3 2" xfId="37178"/>
    <cellStyle name="Normal 6 5 4 3 2 2" xfId="37179"/>
    <cellStyle name="Normal 6 5 4 3 3" xfId="37180"/>
    <cellStyle name="Normal 6 5 4 4" xfId="37181"/>
    <cellStyle name="Normal 6 5 4 4 2" xfId="37182"/>
    <cellStyle name="Normal 6 5 4 5" xfId="37183"/>
    <cellStyle name="Normal 6 5 5" xfId="18721"/>
    <cellStyle name="Normal 6 5 5 2" xfId="37184"/>
    <cellStyle name="Normal 6 5 5 2 2" xfId="37185"/>
    <cellStyle name="Normal 6 5 5 2 2 2" xfId="37186"/>
    <cellStyle name="Normal 6 5 5 2 3" xfId="37187"/>
    <cellStyle name="Normal 6 5 5 3" xfId="37188"/>
    <cellStyle name="Normal 6 5 5 3 2" xfId="37189"/>
    <cellStyle name="Normal 6 5 5 4" xfId="37190"/>
    <cellStyle name="Normal 6 5 6" xfId="37191"/>
    <cellStyle name="Normal 6 5 6 2" xfId="37192"/>
    <cellStyle name="Normal 6 5 6 2 2" xfId="37193"/>
    <cellStyle name="Normal 6 5 6 3" xfId="37194"/>
    <cellStyle name="Normal 6 5 7" xfId="37195"/>
    <cellStyle name="Normal 6 5 7 2" xfId="37196"/>
    <cellStyle name="Normal 6 5 8" xfId="37197"/>
    <cellStyle name="Normal 6 6" xfId="18722"/>
    <cellStyle name="Normal 6 6 2" xfId="18723"/>
    <cellStyle name="Normal 6 6 2 2" xfId="18724"/>
    <cellStyle name="Normal 6 6 2 2 2" xfId="18725"/>
    <cellStyle name="Normal 6 6 2 2 2 2" xfId="18726"/>
    <cellStyle name="Normal 6 6 2 2 2 2 2" xfId="37198"/>
    <cellStyle name="Normal 6 6 2 2 2 2 2 2" xfId="37199"/>
    <cellStyle name="Normal 6 6 2 2 2 2 2 2 2" xfId="37200"/>
    <cellStyle name="Normal 6 6 2 2 2 2 2 3" xfId="37201"/>
    <cellStyle name="Normal 6 6 2 2 2 2 3" xfId="37202"/>
    <cellStyle name="Normal 6 6 2 2 2 2 3 2" xfId="37203"/>
    <cellStyle name="Normal 6 6 2 2 2 2 4" xfId="37204"/>
    <cellStyle name="Normal 6 6 2 2 2 3" xfId="37205"/>
    <cellStyle name="Normal 6 6 2 2 2 3 2" xfId="37206"/>
    <cellStyle name="Normal 6 6 2 2 2 3 2 2" xfId="37207"/>
    <cellStyle name="Normal 6 6 2 2 2 3 3" xfId="37208"/>
    <cellStyle name="Normal 6 6 2 2 2 4" xfId="37209"/>
    <cellStyle name="Normal 6 6 2 2 2 4 2" xfId="37210"/>
    <cellStyle name="Normal 6 6 2 2 2 5" xfId="37211"/>
    <cellStyle name="Normal 6 6 2 2 3" xfId="18727"/>
    <cellStyle name="Normal 6 6 2 2 3 2" xfId="37212"/>
    <cellStyle name="Normal 6 6 2 2 3 2 2" xfId="37213"/>
    <cellStyle name="Normal 6 6 2 2 3 2 2 2" xfId="37214"/>
    <cellStyle name="Normal 6 6 2 2 3 2 3" xfId="37215"/>
    <cellStyle name="Normal 6 6 2 2 3 3" xfId="37216"/>
    <cellStyle name="Normal 6 6 2 2 3 3 2" xfId="37217"/>
    <cellStyle name="Normal 6 6 2 2 3 4" xfId="37218"/>
    <cellStyle name="Normal 6 6 2 2 4" xfId="37219"/>
    <cellStyle name="Normal 6 6 2 2 4 2" xfId="37220"/>
    <cellStyle name="Normal 6 6 2 2 4 2 2" xfId="37221"/>
    <cellStyle name="Normal 6 6 2 2 4 3" xfId="37222"/>
    <cellStyle name="Normal 6 6 2 2 5" xfId="37223"/>
    <cellStyle name="Normal 6 6 2 2 5 2" xfId="37224"/>
    <cellStyle name="Normal 6 6 2 2 6" xfId="37225"/>
    <cellStyle name="Normal 6 6 2 3" xfId="18728"/>
    <cellStyle name="Normal 6 6 2 3 2" xfId="18729"/>
    <cellStyle name="Normal 6 6 2 3 2 2" xfId="37226"/>
    <cellStyle name="Normal 6 6 2 3 2 2 2" xfId="37227"/>
    <cellStyle name="Normal 6 6 2 3 2 2 2 2" xfId="37228"/>
    <cellStyle name="Normal 6 6 2 3 2 2 3" xfId="37229"/>
    <cellStyle name="Normal 6 6 2 3 2 3" xfId="37230"/>
    <cellStyle name="Normal 6 6 2 3 2 3 2" xfId="37231"/>
    <cellStyle name="Normal 6 6 2 3 2 4" xfId="37232"/>
    <cellStyle name="Normal 6 6 2 3 3" xfId="37233"/>
    <cellStyle name="Normal 6 6 2 3 3 2" xfId="37234"/>
    <cellStyle name="Normal 6 6 2 3 3 2 2" xfId="37235"/>
    <cellStyle name="Normal 6 6 2 3 3 3" xfId="37236"/>
    <cellStyle name="Normal 6 6 2 3 4" xfId="37237"/>
    <cellStyle name="Normal 6 6 2 3 4 2" xfId="37238"/>
    <cellStyle name="Normal 6 6 2 3 5" xfId="37239"/>
    <cellStyle name="Normal 6 6 2 4" xfId="18730"/>
    <cellStyle name="Normal 6 6 2 4 2" xfId="37240"/>
    <cellStyle name="Normal 6 6 2 4 2 2" xfId="37241"/>
    <cellStyle name="Normal 6 6 2 4 2 2 2" xfId="37242"/>
    <cellStyle name="Normal 6 6 2 4 2 3" xfId="37243"/>
    <cellStyle name="Normal 6 6 2 4 3" xfId="37244"/>
    <cellStyle name="Normal 6 6 2 4 3 2" xfId="37245"/>
    <cellStyle name="Normal 6 6 2 4 4" xfId="37246"/>
    <cellStyle name="Normal 6 6 2 5" xfId="37247"/>
    <cellStyle name="Normal 6 6 2 5 2" xfId="37248"/>
    <cellStyle name="Normal 6 6 2 5 2 2" xfId="37249"/>
    <cellStyle name="Normal 6 6 2 5 3" xfId="37250"/>
    <cellStyle name="Normal 6 6 2 6" xfId="37251"/>
    <cellStyle name="Normal 6 6 2 6 2" xfId="37252"/>
    <cellStyle name="Normal 6 6 2 7" xfId="37253"/>
    <cellStyle name="Normal 6 6 3" xfId="18731"/>
    <cellStyle name="Normal 6 6 3 2" xfId="18732"/>
    <cellStyle name="Normal 6 6 3 2 2" xfId="18733"/>
    <cellStyle name="Normal 6 6 3 2 2 2" xfId="37254"/>
    <cellStyle name="Normal 6 6 3 2 2 2 2" xfId="37255"/>
    <cellStyle name="Normal 6 6 3 2 2 2 2 2" xfId="37256"/>
    <cellStyle name="Normal 6 6 3 2 2 2 3" xfId="37257"/>
    <cellStyle name="Normal 6 6 3 2 2 3" xfId="37258"/>
    <cellStyle name="Normal 6 6 3 2 2 3 2" xfId="37259"/>
    <cellStyle name="Normal 6 6 3 2 2 4" xfId="37260"/>
    <cellStyle name="Normal 6 6 3 2 3" xfId="37261"/>
    <cellStyle name="Normal 6 6 3 2 3 2" xfId="37262"/>
    <cellStyle name="Normal 6 6 3 2 3 2 2" xfId="37263"/>
    <cellStyle name="Normal 6 6 3 2 3 3" xfId="37264"/>
    <cellStyle name="Normal 6 6 3 2 4" xfId="37265"/>
    <cellStyle name="Normal 6 6 3 2 4 2" xfId="37266"/>
    <cellStyle name="Normal 6 6 3 2 5" xfId="37267"/>
    <cellStyle name="Normal 6 6 3 3" xfId="18734"/>
    <cellStyle name="Normal 6 6 3 3 2" xfId="37268"/>
    <cellStyle name="Normal 6 6 3 3 2 2" xfId="37269"/>
    <cellStyle name="Normal 6 6 3 3 2 2 2" xfId="37270"/>
    <cellStyle name="Normal 6 6 3 3 2 3" xfId="37271"/>
    <cellStyle name="Normal 6 6 3 3 3" xfId="37272"/>
    <cellStyle name="Normal 6 6 3 3 3 2" xfId="37273"/>
    <cellStyle name="Normal 6 6 3 3 4" xfId="37274"/>
    <cellStyle name="Normal 6 6 3 4" xfId="37275"/>
    <cellStyle name="Normal 6 6 3 4 2" xfId="37276"/>
    <cellStyle name="Normal 6 6 3 4 2 2" xfId="37277"/>
    <cellStyle name="Normal 6 6 3 4 3" xfId="37278"/>
    <cellStyle name="Normal 6 6 3 5" xfId="37279"/>
    <cellStyle name="Normal 6 6 3 5 2" xfId="37280"/>
    <cellStyle name="Normal 6 6 3 6" xfId="37281"/>
    <cellStyle name="Normal 6 6 4" xfId="18735"/>
    <cellStyle name="Normal 6 6 4 2" xfId="18736"/>
    <cellStyle name="Normal 6 6 4 2 2" xfId="37282"/>
    <cellStyle name="Normal 6 6 4 2 2 2" xfId="37283"/>
    <cellStyle name="Normal 6 6 4 2 2 2 2" xfId="37284"/>
    <cellStyle name="Normal 6 6 4 2 2 3" xfId="37285"/>
    <cellStyle name="Normal 6 6 4 2 3" xfId="37286"/>
    <cellStyle name="Normal 6 6 4 2 3 2" xfId="37287"/>
    <cellStyle name="Normal 6 6 4 2 4" xfId="37288"/>
    <cellStyle name="Normal 6 6 4 3" xfId="37289"/>
    <cellStyle name="Normal 6 6 4 3 2" xfId="37290"/>
    <cellStyle name="Normal 6 6 4 3 2 2" xfId="37291"/>
    <cellStyle name="Normal 6 6 4 3 3" xfId="37292"/>
    <cellStyle name="Normal 6 6 4 4" xfId="37293"/>
    <cellStyle name="Normal 6 6 4 4 2" xfId="37294"/>
    <cellStyle name="Normal 6 6 4 5" xfId="37295"/>
    <cellStyle name="Normal 6 6 5" xfId="18737"/>
    <cellStyle name="Normal 6 6 5 2" xfId="37296"/>
    <cellStyle name="Normal 6 6 5 2 2" xfId="37297"/>
    <cellStyle name="Normal 6 6 5 2 2 2" xfId="37298"/>
    <cellStyle name="Normal 6 6 5 2 3" xfId="37299"/>
    <cellStyle name="Normal 6 6 5 3" xfId="37300"/>
    <cellStyle name="Normal 6 6 5 3 2" xfId="37301"/>
    <cellStyle name="Normal 6 6 5 4" xfId="37302"/>
    <cellStyle name="Normal 6 6 6" xfId="37303"/>
    <cellStyle name="Normal 6 6 6 2" xfId="37304"/>
    <cellStyle name="Normal 6 6 6 2 2" xfId="37305"/>
    <cellStyle name="Normal 6 6 6 3" xfId="37306"/>
    <cellStyle name="Normal 6 6 7" xfId="37307"/>
    <cellStyle name="Normal 6 6 7 2" xfId="37308"/>
    <cellStyle name="Normal 6 6 8" xfId="37309"/>
    <cellStyle name="Normal 6 7" xfId="18738"/>
    <cellStyle name="Normal 6 7 2" xfId="18739"/>
    <cellStyle name="Normal 6 7 2 2" xfId="18740"/>
    <cellStyle name="Normal 6 7 2 2 2" xfId="18741"/>
    <cellStyle name="Normal 6 7 2 2 2 2" xfId="37310"/>
    <cellStyle name="Normal 6 7 2 2 2 2 2" xfId="37311"/>
    <cellStyle name="Normal 6 7 2 2 2 2 2 2" xfId="37312"/>
    <cellStyle name="Normal 6 7 2 2 2 2 3" xfId="37313"/>
    <cellStyle name="Normal 6 7 2 2 2 3" xfId="37314"/>
    <cellStyle name="Normal 6 7 2 2 2 3 2" xfId="37315"/>
    <cellStyle name="Normal 6 7 2 2 2 4" xfId="37316"/>
    <cellStyle name="Normal 6 7 2 2 3" xfId="37317"/>
    <cellStyle name="Normal 6 7 2 2 3 2" xfId="37318"/>
    <cellStyle name="Normal 6 7 2 2 3 2 2" xfId="37319"/>
    <cellStyle name="Normal 6 7 2 2 3 3" xfId="37320"/>
    <cellStyle name="Normal 6 7 2 2 4" xfId="37321"/>
    <cellStyle name="Normal 6 7 2 2 4 2" xfId="37322"/>
    <cellStyle name="Normal 6 7 2 2 5" xfId="37323"/>
    <cellStyle name="Normal 6 7 2 3" xfId="18742"/>
    <cellStyle name="Normal 6 7 2 3 2" xfId="37324"/>
    <cellStyle name="Normal 6 7 2 3 2 2" xfId="37325"/>
    <cellStyle name="Normal 6 7 2 3 2 2 2" xfId="37326"/>
    <cellStyle name="Normal 6 7 2 3 2 3" xfId="37327"/>
    <cellStyle name="Normal 6 7 2 3 3" xfId="37328"/>
    <cellStyle name="Normal 6 7 2 3 3 2" xfId="37329"/>
    <cellStyle name="Normal 6 7 2 3 4" xfId="37330"/>
    <cellStyle name="Normal 6 7 2 4" xfId="37331"/>
    <cellStyle name="Normal 6 7 2 4 2" xfId="37332"/>
    <cellStyle name="Normal 6 7 2 4 2 2" xfId="37333"/>
    <cellStyle name="Normal 6 7 2 4 3" xfId="37334"/>
    <cellStyle name="Normal 6 7 2 5" xfId="37335"/>
    <cellStyle name="Normal 6 7 2 5 2" xfId="37336"/>
    <cellStyle name="Normal 6 7 2 6" xfId="37337"/>
    <cellStyle name="Normal 6 7 3" xfId="18743"/>
    <cellStyle name="Normal 6 7 3 2" xfId="18744"/>
    <cellStyle name="Normal 6 7 3 2 2" xfId="37338"/>
    <cellStyle name="Normal 6 7 3 2 2 2" xfId="37339"/>
    <cellStyle name="Normal 6 7 3 2 2 2 2" xfId="37340"/>
    <cellStyle name="Normal 6 7 3 2 2 3" xfId="37341"/>
    <cellStyle name="Normal 6 7 3 2 3" xfId="37342"/>
    <cellStyle name="Normal 6 7 3 2 3 2" xfId="37343"/>
    <cellStyle name="Normal 6 7 3 2 4" xfId="37344"/>
    <cellStyle name="Normal 6 7 3 3" xfId="37345"/>
    <cellStyle name="Normal 6 7 3 3 2" xfId="37346"/>
    <cellStyle name="Normal 6 7 3 3 2 2" xfId="37347"/>
    <cellStyle name="Normal 6 7 3 3 3" xfId="37348"/>
    <cellStyle name="Normal 6 7 3 4" xfId="37349"/>
    <cellStyle name="Normal 6 7 3 4 2" xfId="37350"/>
    <cellStyle name="Normal 6 7 3 5" xfId="37351"/>
    <cellStyle name="Normal 6 7 4" xfId="18745"/>
    <cellStyle name="Normal 6 7 4 2" xfId="37352"/>
    <cellStyle name="Normal 6 7 4 2 2" xfId="37353"/>
    <cellStyle name="Normal 6 7 4 2 2 2" xfId="37354"/>
    <cellStyle name="Normal 6 7 4 2 3" xfId="37355"/>
    <cellStyle name="Normal 6 7 4 3" xfId="37356"/>
    <cellStyle name="Normal 6 7 4 3 2" xfId="37357"/>
    <cellStyle name="Normal 6 7 4 4" xfId="37358"/>
    <cellStyle name="Normal 6 7 5" xfId="37359"/>
    <cellStyle name="Normal 6 7 5 2" xfId="37360"/>
    <cellStyle name="Normal 6 7 5 2 2" xfId="37361"/>
    <cellStyle name="Normal 6 7 5 3" xfId="37362"/>
    <cellStyle name="Normal 6 7 6" xfId="37363"/>
    <cellStyle name="Normal 6 7 6 2" xfId="37364"/>
    <cellStyle name="Normal 6 7 7" xfId="37365"/>
    <cellStyle name="Normal 6 8" xfId="18746"/>
    <cellStyle name="Normal 6 8 2" xfId="18747"/>
    <cellStyle name="Normal 6 8 2 2" xfId="18748"/>
    <cellStyle name="Normal 6 8 2 2 2" xfId="37366"/>
    <cellStyle name="Normal 6 8 2 2 2 2" xfId="37367"/>
    <cellStyle name="Normal 6 8 2 2 2 2 2" xfId="37368"/>
    <cellStyle name="Normal 6 8 2 2 2 3" xfId="37369"/>
    <cellStyle name="Normal 6 8 2 2 3" xfId="37370"/>
    <cellStyle name="Normal 6 8 2 2 3 2" xfId="37371"/>
    <cellStyle name="Normal 6 8 2 2 4" xfId="37372"/>
    <cellStyle name="Normal 6 8 2 3" xfId="37373"/>
    <cellStyle name="Normal 6 8 2 3 2" xfId="37374"/>
    <cellStyle name="Normal 6 8 2 3 2 2" xfId="37375"/>
    <cellStyle name="Normal 6 8 2 3 3" xfId="37376"/>
    <cellStyle name="Normal 6 8 2 4" xfId="37377"/>
    <cellStyle name="Normal 6 8 2 4 2" xfId="37378"/>
    <cellStyle name="Normal 6 8 2 5" xfId="37379"/>
    <cellStyle name="Normal 6 8 3" xfId="18749"/>
    <cellStyle name="Normal 6 8 3 2" xfId="37380"/>
    <cellStyle name="Normal 6 8 3 2 2" xfId="37381"/>
    <cellStyle name="Normal 6 8 3 2 2 2" xfId="37382"/>
    <cellStyle name="Normal 6 8 3 2 3" xfId="37383"/>
    <cellStyle name="Normal 6 8 3 3" xfId="37384"/>
    <cellStyle name="Normal 6 8 3 3 2" xfId="37385"/>
    <cellStyle name="Normal 6 8 3 4" xfId="37386"/>
    <cellStyle name="Normal 6 8 4" xfId="37387"/>
    <cellStyle name="Normal 6 8 4 2" xfId="37388"/>
    <cellStyle name="Normal 6 8 4 2 2" xfId="37389"/>
    <cellStyle name="Normal 6 8 4 3" xfId="37390"/>
    <cellStyle name="Normal 6 8 5" xfId="37391"/>
    <cellStyle name="Normal 6 8 5 2" xfId="37392"/>
    <cellStyle name="Normal 6 8 6" xfId="37393"/>
    <cellStyle name="Normal 6 9" xfId="18750"/>
    <cellStyle name="Normal 6 9 2" xfId="18751"/>
    <cellStyle name="Normal 6 9 2 2" xfId="37394"/>
    <cellStyle name="Normal 6 9 2 2 2" xfId="37395"/>
    <cellStyle name="Normal 6 9 2 2 2 2" xfId="37396"/>
    <cellStyle name="Normal 6 9 2 2 3" xfId="37397"/>
    <cellStyle name="Normal 6 9 2 3" xfId="37398"/>
    <cellStyle name="Normal 6 9 2 3 2" xfId="37399"/>
    <cellStyle name="Normal 6 9 2 4" xfId="37400"/>
    <cellStyle name="Normal 6 9 3" xfId="37401"/>
    <cellStyle name="Normal 6 9 3 2" xfId="37402"/>
    <cellStyle name="Normal 6 9 3 2 2" xfId="37403"/>
    <cellStyle name="Normal 6 9 3 3" xfId="37404"/>
    <cellStyle name="Normal 6 9 4" xfId="37405"/>
    <cellStyle name="Normal 6 9 4 2" xfId="37406"/>
    <cellStyle name="Normal 6 9 5" xfId="37407"/>
    <cellStyle name="Normal 60" xfId="18752"/>
    <cellStyle name="Normal 60 2" xfId="18753"/>
    <cellStyle name="Normal 60 2 2" xfId="18754"/>
    <cellStyle name="Normal 60 2 2 2" xfId="18755"/>
    <cellStyle name="Normal 60 2 2 2 2" xfId="37408"/>
    <cellStyle name="Normal 60 2 2 2 2 2" xfId="37409"/>
    <cellStyle name="Normal 60 2 2 2 2 2 2" xfId="37410"/>
    <cellStyle name="Normal 60 2 2 2 2 3" xfId="37411"/>
    <cellStyle name="Normal 60 2 2 2 3" xfId="37412"/>
    <cellStyle name="Normal 60 2 2 2 3 2" xfId="37413"/>
    <cellStyle name="Normal 60 2 2 2 4" xfId="37414"/>
    <cellStyle name="Normal 60 2 2 3" xfId="37415"/>
    <cellStyle name="Normal 60 2 2 3 2" xfId="37416"/>
    <cellStyle name="Normal 60 2 2 3 2 2" xfId="37417"/>
    <cellStyle name="Normal 60 2 2 3 3" xfId="37418"/>
    <cellStyle name="Normal 60 2 2 4" xfId="37419"/>
    <cellStyle name="Normal 60 2 2 4 2" xfId="37420"/>
    <cellStyle name="Normal 60 2 2 5" xfId="37421"/>
    <cellStyle name="Normal 60 2 3" xfId="18756"/>
    <cellStyle name="Normal 60 2 3 2" xfId="37422"/>
    <cellStyle name="Normal 60 2 3 2 2" xfId="37423"/>
    <cellStyle name="Normal 60 2 3 2 2 2" xfId="37424"/>
    <cellStyle name="Normal 60 2 3 2 3" xfId="37425"/>
    <cellStyle name="Normal 60 2 3 3" xfId="37426"/>
    <cellStyle name="Normal 60 2 3 3 2" xfId="37427"/>
    <cellStyle name="Normal 60 2 3 4" xfId="37428"/>
    <cellStyle name="Normal 60 2 4" xfId="37429"/>
    <cellStyle name="Normal 60 2 4 2" xfId="37430"/>
    <cellStyle name="Normal 60 2 4 2 2" xfId="37431"/>
    <cellStyle name="Normal 60 2 4 3" xfId="37432"/>
    <cellStyle name="Normal 60 2 5" xfId="37433"/>
    <cellStyle name="Normal 60 2 5 2" xfId="37434"/>
    <cellStyle name="Normal 60 2 6" xfId="37435"/>
    <cellStyle name="Normal 60 3" xfId="18757"/>
    <cellStyle name="Normal 60 3 2" xfId="18758"/>
    <cellStyle name="Normal 60 3 2 2" xfId="37436"/>
    <cellStyle name="Normal 60 3 2 2 2" xfId="37437"/>
    <cellStyle name="Normal 60 3 2 2 2 2" xfId="37438"/>
    <cellStyle name="Normal 60 3 2 2 3" xfId="37439"/>
    <cellStyle name="Normal 60 3 2 3" xfId="37440"/>
    <cellStyle name="Normal 60 3 2 3 2" xfId="37441"/>
    <cellStyle name="Normal 60 3 2 4" xfId="37442"/>
    <cellStyle name="Normal 60 3 3" xfId="37443"/>
    <cellStyle name="Normal 60 3 3 2" xfId="37444"/>
    <cellStyle name="Normal 60 3 3 2 2" xfId="37445"/>
    <cellStyle name="Normal 60 3 3 3" xfId="37446"/>
    <cellStyle name="Normal 60 3 4" xfId="37447"/>
    <cellStyle name="Normal 60 3 4 2" xfId="37448"/>
    <cellStyle name="Normal 60 3 5" xfId="37449"/>
    <cellStyle name="Normal 60 4" xfId="18759"/>
    <cellStyle name="Normal 60 4 2" xfId="37450"/>
    <cellStyle name="Normal 60 4 2 2" xfId="37451"/>
    <cellStyle name="Normal 60 4 2 2 2" xfId="37452"/>
    <cellStyle name="Normal 60 4 2 3" xfId="37453"/>
    <cellStyle name="Normal 60 4 3" xfId="37454"/>
    <cellStyle name="Normal 60 4 3 2" xfId="37455"/>
    <cellStyle name="Normal 60 4 4" xfId="37456"/>
    <cellStyle name="Normal 60 5" xfId="37457"/>
    <cellStyle name="Normal 60 5 2" xfId="37458"/>
    <cellStyle name="Normal 60 5 2 2" xfId="37459"/>
    <cellStyle name="Normal 60 5 3" xfId="37460"/>
    <cellStyle name="Normal 60 6" xfId="37461"/>
    <cellStyle name="Normal 60 6 2" xfId="37462"/>
    <cellStyle name="Normal 60 7" xfId="37463"/>
    <cellStyle name="Normal 61" xfId="18760"/>
    <cellStyle name="Normal 61 2" xfId="18761"/>
    <cellStyle name="Normal 61 2 2" xfId="18762"/>
    <cellStyle name="Normal 61 2 2 2" xfId="18763"/>
    <cellStyle name="Normal 61 2 2 2 2" xfId="37464"/>
    <cellStyle name="Normal 61 2 2 2 2 2" xfId="37465"/>
    <cellStyle name="Normal 61 2 2 2 2 2 2" xfId="37466"/>
    <cellStyle name="Normal 61 2 2 2 2 3" xfId="37467"/>
    <cellStyle name="Normal 61 2 2 2 3" xfId="37468"/>
    <cellStyle name="Normal 61 2 2 2 3 2" xfId="37469"/>
    <cellStyle name="Normal 61 2 2 2 4" xfId="37470"/>
    <cellStyle name="Normal 61 2 2 3" xfId="37471"/>
    <cellStyle name="Normal 61 2 2 3 2" xfId="37472"/>
    <cellStyle name="Normal 61 2 2 3 2 2" xfId="37473"/>
    <cellStyle name="Normal 61 2 2 3 3" xfId="37474"/>
    <cellStyle name="Normal 61 2 2 4" xfId="37475"/>
    <cellStyle name="Normal 61 2 2 4 2" xfId="37476"/>
    <cellStyle name="Normal 61 2 2 5" xfId="37477"/>
    <cellStyle name="Normal 61 2 3" xfId="18764"/>
    <cellStyle name="Normal 61 2 3 2" xfId="37478"/>
    <cellStyle name="Normal 61 2 3 2 2" xfId="37479"/>
    <cellStyle name="Normal 61 2 3 2 2 2" xfId="37480"/>
    <cellStyle name="Normal 61 2 3 2 3" xfId="37481"/>
    <cellStyle name="Normal 61 2 3 3" xfId="37482"/>
    <cellStyle name="Normal 61 2 3 3 2" xfId="37483"/>
    <cellStyle name="Normal 61 2 3 4" xfId="37484"/>
    <cellStyle name="Normal 61 2 4" xfId="37485"/>
    <cellStyle name="Normal 61 2 4 2" xfId="37486"/>
    <cellStyle name="Normal 61 2 4 2 2" xfId="37487"/>
    <cellStyle name="Normal 61 2 4 3" xfId="37488"/>
    <cellStyle name="Normal 61 2 5" xfId="37489"/>
    <cellStyle name="Normal 61 2 5 2" xfId="37490"/>
    <cellStyle name="Normal 61 2 6" xfId="37491"/>
    <cellStyle name="Normal 61 3" xfId="18765"/>
    <cellStyle name="Normal 61 3 2" xfId="18766"/>
    <cellStyle name="Normal 61 3 2 2" xfId="37492"/>
    <cellStyle name="Normal 61 3 2 2 2" xfId="37493"/>
    <cellStyle name="Normal 61 3 2 2 2 2" xfId="37494"/>
    <cellStyle name="Normal 61 3 2 2 3" xfId="37495"/>
    <cellStyle name="Normal 61 3 2 3" xfId="37496"/>
    <cellStyle name="Normal 61 3 2 3 2" xfId="37497"/>
    <cellStyle name="Normal 61 3 2 4" xfId="37498"/>
    <cellStyle name="Normal 61 3 3" xfId="37499"/>
    <cellStyle name="Normal 61 3 3 2" xfId="37500"/>
    <cellStyle name="Normal 61 3 3 2 2" xfId="37501"/>
    <cellStyle name="Normal 61 3 3 3" xfId="37502"/>
    <cellStyle name="Normal 61 3 4" xfId="37503"/>
    <cellStyle name="Normal 61 3 4 2" xfId="37504"/>
    <cellStyle name="Normal 61 3 5" xfId="37505"/>
    <cellStyle name="Normal 61 4" xfId="18767"/>
    <cellStyle name="Normal 61 4 2" xfId="37506"/>
    <cellStyle name="Normal 61 4 2 2" xfId="37507"/>
    <cellStyle name="Normal 61 4 2 2 2" xfId="37508"/>
    <cellStyle name="Normal 61 4 2 3" xfId="37509"/>
    <cellStyle name="Normal 61 4 3" xfId="37510"/>
    <cellStyle name="Normal 61 4 3 2" xfId="37511"/>
    <cellStyle name="Normal 61 4 4" xfId="37512"/>
    <cellStyle name="Normal 61 5" xfId="37513"/>
    <cellStyle name="Normal 61 5 2" xfId="37514"/>
    <cellStyle name="Normal 61 5 2 2" xfId="37515"/>
    <cellStyle name="Normal 61 5 3" xfId="37516"/>
    <cellStyle name="Normal 61 6" xfId="37517"/>
    <cellStyle name="Normal 61 6 2" xfId="37518"/>
    <cellStyle name="Normal 61 7" xfId="37519"/>
    <cellStyle name="Normal 62" xfId="18768"/>
    <cellStyle name="Normal 62 2" xfId="18769"/>
    <cellStyle name="Normal 62 2 2" xfId="18770"/>
    <cellStyle name="Normal 62 2 2 2" xfId="18771"/>
    <cellStyle name="Normal 62 2 2 2 2" xfId="37520"/>
    <cellStyle name="Normal 62 2 2 2 2 2" xfId="37521"/>
    <cellStyle name="Normal 62 2 2 2 2 2 2" xfId="37522"/>
    <cellStyle name="Normal 62 2 2 2 2 3" xfId="37523"/>
    <cellStyle name="Normal 62 2 2 2 3" xfId="37524"/>
    <cellStyle name="Normal 62 2 2 2 3 2" xfId="37525"/>
    <cellStyle name="Normal 62 2 2 2 4" xfId="37526"/>
    <cellStyle name="Normal 62 2 2 3" xfId="37527"/>
    <cellStyle name="Normal 62 2 2 3 2" xfId="37528"/>
    <cellStyle name="Normal 62 2 2 3 2 2" xfId="37529"/>
    <cellStyle name="Normal 62 2 2 3 3" xfId="37530"/>
    <cellStyle name="Normal 62 2 2 4" xfId="37531"/>
    <cellStyle name="Normal 62 2 2 4 2" xfId="37532"/>
    <cellStyle name="Normal 62 2 2 5" xfId="37533"/>
    <cellStyle name="Normal 62 2 3" xfId="18772"/>
    <cellStyle name="Normal 62 2 3 2" xfId="37534"/>
    <cellStyle name="Normal 62 2 3 2 2" xfId="37535"/>
    <cellStyle name="Normal 62 2 3 2 2 2" xfId="37536"/>
    <cellStyle name="Normal 62 2 3 2 3" xfId="37537"/>
    <cellStyle name="Normal 62 2 3 3" xfId="37538"/>
    <cellStyle name="Normal 62 2 3 3 2" xfId="37539"/>
    <cellStyle name="Normal 62 2 3 4" xfId="37540"/>
    <cellStyle name="Normal 62 2 4" xfId="37541"/>
    <cellStyle name="Normal 62 2 4 2" xfId="37542"/>
    <cellStyle name="Normal 62 2 4 2 2" xfId="37543"/>
    <cellStyle name="Normal 62 2 4 3" xfId="37544"/>
    <cellStyle name="Normal 62 2 5" xfId="37545"/>
    <cellStyle name="Normal 62 2 5 2" xfId="37546"/>
    <cellStyle name="Normal 62 2 6" xfId="37547"/>
    <cellStyle name="Normal 62 3" xfId="18773"/>
    <cellStyle name="Normal 62 3 2" xfId="18774"/>
    <cellStyle name="Normal 62 3 2 2" xfId="37548"/>
    <cellStyle name="Normal 62 3 2 2 2" xfId="37549"/>
    <cellStyle name="Normal 62 3 2 2 2 2" xfId="37550"/>
    <cellStyle name="Normal 62 3 2 2 3" xfId="37551"/>
    <cellStyle name="Normal 62 3 2 3" xfId="37552"/>
    <cellStyle name="Normal 62 3 2 3 2" xfId="37553"/>
    <cellStyle name="Normal 62 3 2 4" xfId="37554"/>
    <cellStyle name="Normal 62 3 3" xfId="37555"/>
    <cellStyle name="Normal 62 3 3 2" xfId="37556"/>
    <cellStyle name="Normal 62 3 3 2 2" xfId="37557"/>
    <cellStyle name="Normal 62 3 3 3" xfId="37558"/>
    <cellStyle name="Normal 62 3 4" xfId="37559"/>
    <cellStyle name="Normal 62 3 4 2" xfId="37560"/>
    <cellStyle name="Normal 62 3 5" xfId="37561"/>
    <cellStyle name="Normal 62 4" xfId="18775"/>
    <cellStyle name="Normal 62 4 2" xfId="37562"/>
    <cellStyle name="Normal 62 4 2 2" xfId="37563"/>
    <cellStyle name="Normal 62 4 2 2 2" xfId="37564"/>
    <cellStyle name="Normal 62 4 2 3" xfId="37565"/>
    <cellStyle name="Normal 62 4 3" xfId="37566"/>
    <cellStyle name="Normal 62 4 3 2" xfId="37567"/>
    <cellStyle name="Normal 62 4 4" xfId="37568"/>
    <cellStyle name="Normal 62 5" xfId="37569"/>
    <cellStyle name="Normal 62 5 2" xfId="37570"/>
    <cellStyle name="Normal 62 5 2 2" xfId="37571"/>
    <cellStyle name="Normal 62 5 3" xfId="37572"/>
    <cellStyle name="Normal 62 6" xfId="37573"/>
    <cellStyle name="Normal 62 6 2" xfId="37574"/>
    <cellStyle name="Normal 62 7" xfId="37575"/>
    <cellStyle name="Normal 63" xfId="18776"/>
    <cellStyle name="Normal 63 2" xfId="18777"/>
    <cellStyle name="Normal 63 2 2" xfId="18778"/>
    <cellStyle name="Normal 63 2 2 2" xfId="18779"/>
    <cellStyle name="Normal 63 2 2 2 2" xfId="37576"/>
    <cellStyle name="Normal 63 2 2 2 2 2" xfId="37577"/>
    <cellStyle name="Normal 63 2 2 2 2 2 2" xfId="37578"/>
    <cellStyle name="Normal 63 2 2 2 2 3" xfId="37579"/>
    <cellStyle name="Normal 63 2 2 2 3" xfId="37580"/>
    <cellStyle name="Normal 63 2 2 2 3 2" xfId="37581"/>
    <cellStyle name="Normal 63 2 2 2 4" xfId="37582"/>
    <cellStyle name="Normal 63 2 2 3" xfId="37583"/>
    <cellStyle name="Normal 63 2 2 3 2" xfId="37584"/>
    <cellStyle name="Normal 63 2 2 3 2 2" xfId="37585"/>
    <cellStyle name="Normal 63 2 2 3 3" xfId="37586"/>
    <cellStyle name="Normal 63 2 2 4" xfId="37587"/>
    <cellStyle name="Normal 63 2 2 4 2" xfId="37588"/>
    <cellStyle name="Normal 63 2 2 5" xfId="37589"/>
    <cellStyle name="Normal 63 2 3" xfId="18780"/>
    <cellStyle name="Normal 63 2 3 2" xfId="37590"/>
    <cellStyle name="Normal 63 2 3 2 2" xfId="37591"/>
    <cellStyle name="Normal 63 2 3 2 2 2" xfId="37592"/>
    <cellStyle name="Normal 63 2 3 2 3" xfId="37593"/>
    <cellStyle name="Normal 63 2 3 3" xfId="37594"/>
    <cellStyle name="Normal 63 2 3 3 2" xfId="37595"/>
    <cellStyle name="Normal 63 2 3 4" xfId="37596"/>
    <cellStyle name="Normal 63 2 4" xfId="37597"/>
    <cellStyle name="Normal 63 2 4 2" xfId="37598"/>
    <cellStyle name="Normal 63 2 4 2 2" xfId="37599"/>
    <cellStyle name="Normal 63 2 4 3" xfId="37600"/>
    <cellStyle name="Normal 63 2 5" xfId="37601"/>
    <cellStyle name="Normal 63 2 5 2" xfId="37602"/>
    <cellStyle name="Normal 63 2 6" xfId="37603"/>
    <cellStyle name="Normal 63 3" xfId="18781"/>
    <cellStyle name="Normal 63 3 2" xfId="18782"/>
    <cellStyle name="Normal 63 3 2 2" xfId="37604"/>
    <cellStyle name="Normal 63 3 2 2 2" xfId="37605"/>
    <cellStyle name="Normal 63 3 2 2 2 2" xfId="37606"/>
    <cellStyle name="Normal 63 3 2 2 3" xfId="37607"/>
    <cellStyle name="Normal 63 3 2 3" xfId="37608"/>
    <cellStyle name="Normal 63 3 2 3 2" xfId="37609"/>
    <cellStyle name="Normal 63 3 2 4" xfId="37610"/>
    <cellStyle name="Normal 63 3 3" xfId="37611"/>
    <cellStyle name="Normal 63 3 3 2" xfId="37612"/>
    <cellStyle name="Normal 63 3 3 2 2" xfId="37613"/>
    <cellStyle name="Normal 63 3 3 3" xfId="37614"/>
    <cellStyle name="Normal 63 3 4" xfId="37615"/>
    <cellStyle name="Normal 63 3 4 2" xfId="37616"/>
    <cellStyle name="Normal 63 3 5" xfId="37617"/>
    <cellStyle name="Normal 63 4" xfId="18783"/>
    <cellStyle name="Normal 63 4 2" xfId="37618"/>
    <cellStyle name="Normal 63 4 2 2" xfId="37619"/>
    <cellStyle name="Normal 63 4 2 2 2" xfId="37620"/>
    <cellStyle name="Normal 63 4 2 3" xfId="37621"/>
    <cellStyle name="Normal 63 4 3" xfId="37622"/>
    <cellStyle name="Normal 63 4 3 2" xfId="37623"/>
    <cellStyle name="Normal 63 4 4" xfId="37624"/>
    <cellStyle name="Normal 63 5" xfId="37625"/>
    <cellStyle name="Normal 63 5 2" xfId="37626"/>
    <cellStyle name="Normal 63 5 2 2" xfId="37627"/>
    <cellStyle name="Normal 63 5 3" xfId="37628"/>
    <cellStyle name="Normal 63 6" xfId="37629"/>
    <cellStyle name="Normal 63 6 2" xfId="37630"/>
    <cellStyle name="Normal 63 7" xfId="37631"/>
    <cellStyle name="Normal 64" xfId="18784"/>
    <cellStyle name="Normal 64 2" xfId="18785"/>
    <cellStyle name="Normal 64 2 2" xfId="18786"/>
    <cellStyle name="Normal 64 2 2 2" xfId="18787"/>
    <cellStyle name="Normal 64 2 2 2 2" xfId="37632"/>
    <cellStyle name="Normal 64 2 2 2 2 2" xfId="37633"/>
    <cellStyle name="Normal 64 2 2 2 2 2 2" xfId="37634"/>
    <cellStyle name="Normal 64 2 2 2 2 3" xfId="37635"/>
    <cellStyle name="Normal 64 2 2 2 3" xfId="37636"/>
    <cellStyle name="Normal 64 2 2 2 3 2" xfId="37637"/>
    <cellStyle name="Normal 64 2 2 2 4" xfId="37638"/>
    <cellStyle name="Normal 64 2 2 3" xfId="37639"/>
    <cellStyle name="Normal 64 2 2 3 2" xfId="37640"/>
    <cellStyle name="Normal 64 2 2 3 2 2" xfId="37641"/>
    <cellStyle name="Normal 64 2 2 3 3" xfId="37642"/>
    <cellStyle name="Normal 64 2 2 4" xfId="37643"/>
    <cellStyle name="Normal 64 2 2 4 2" xfId="37644"/>
    <cellStyle name="Normal 64 2 2 5" xfId="37645"/>
    <cellStyle name="Normal 64 2 3" xfId="18788"/>
    <cellStyle name="Normal 64 2 3 2" xfId="37646"/>
    <cellStyle name="Normal 64 2 3 2 2" xfId="37647"/>
    <cellStyle name="Normal 64 2 3 2 2 2" xfId="37648"/>
    <cellStyle name="Normal 64 2 3 2 3" xfId="37649"/>
    <cellStyle name="Normal 64 2 3 3" xfId="37650"/>
    <cellStyle name="Normal 64 2 3 3 2" xfId="37651"/>
    <cellStyle name="Normal 64 2 3 4" xfId="37652"/>
    <cellStyle name="Normal 64 2 4" xfId="37653"/>
    <cellStyle name="Normal 64 2 4 2" xfId="37654"/>
    <cellStyle name="Normal 64 2 4 2 2" xfId="37655"/>
    <cellStyle name="Normal 64 2 4 3" xfId="37656"/>
    <cellStyle name="Normal 64 2 5" xfId="37657"/>
    <cellStyle name="Normal 64 2 5 2" xfId="37658"/>
    <cellStyle name="Normal 64 2 6" xfId="37659"/>
    <cellStyle name="Normal 64 3" xfId="18789"/>
    <cellStyle name="Normal 64 3 2" xfId="18790"/>
    <cellStyle name="Normal 64 3 2 2" xfId="37660"/>
    <cellStyle name="Normal 64 3 2 2 2" xfId="37661"/>
    <cellStyle name="Normal 64 3 2 2 2 2" xfId="37662"/>
    <cellStyle name="Normal 64 3 2 2 3" xfId="37663"/>
    <cellStyle name="Normal 64 3 2 3" xfId="37664"/>
    <cellStyle name="Normal 64 3 2 3 2" xfId="37665"/>
    <cellStyle name="Normal 64 3 2 4" xfId="37666"/>
    <cellStyle name="Normal 64 3 3" xfId="37667"/>
    <cellStyle name="Normal 64 3 3 2" xfId="37668"/>
    <cellStyle name="Normal 64 3 3 2 2" xfId="37669"/>
    <cellStyle name="Normal 64 3 3 3" xfId="37670"/>
    <cellStyle name="Normal 64 3 4" xfId="37671"/>
    <cellStyle name="Normal 64 3 4 2" xfId="37672"/>
    <cellStyle name="Normal 64 3 5" xfId="37673"/>
    <cellStyle name="Normal 64 4" xfId="18791"/>
    <cellStyle name="Normal 64 4 2" xfId="37674"/>
    <cellStyle name="Normal 64 4 2 2" xfId="37675"/>
    <cellStyle name="Normal 64 4 2 2 2" xfId="37676"/>
    <cellStyle name="Normal 64 4 2 3" xfId="37677"/>
    <cellStyle name="Normal 64 4 3" xfId="37678"/>
    <cellStyle name="Normal 64 4 3 2" xfId="37679"/>
    <cellStyle name="Normal 64 4 4" xfId="37680"/>
    <cellStyle name="Normal 64 5" xfId="37681"/>
    <cellStyle name="Normal 64 5 2" xfId="37682"/>
    <cellStyle name="Normal 64 5 2 2" xfId="37683"/>
    <cellStyle name="Normal 64 5 3" xfId="37684"/>
    <cellStyle name="Normal 64 6" xfId="37685"/>
    <cellStyle name="Normal 64 6 2" xfId="37686"/>
    <cellStyle name="Normal 64 7" xfId="37687"/>
    <cellStyle name="Normal 65" xfId="18792"/>
    <cellStyle name="Normal 65 2" xfId="18793"/>
    <cellStyle name="Normal 65 2 2" xfId="18794"/>
    <cellStyle name="Normal 65 2 2 2" xfId="18795"/>
    <cellStyle name="Normal 65 2 2 2 2" xfId="37688"/>
    <cellStyle name="Normal 65 2 2 2 2 2" xfId="37689"/>
    <cellStyle name="Normal 65 2 2 2 2 2 2" xfId="37690"/>
    <cellStyle name="Normal 65 2 2 2 2 3" xfId="37691"/>
    <cellStyle name="Normal 65 2 2 2 3" xfId="37692"/>
    <cellStyle name="Normal 65 2 2 2 3 2" xfId="37693"/>
    <cellStyle name="Normal 65 2 2 2 4" xfId="37694"/>
    <cellStyle name="Normal 65 2 2 3" xfId="37695"/>
    <cellStyle name="Normal 65 2 2 3 2" xfId="37696"/>
    <cellStyle name="Normal 65 2 2 3 2 2" xfId="37697"/>
    <cellStyle name="Normal 65 2 2 3 3" xfId="37698"/>
    <cellStyle name="Normal 65 2 2 4" xfId="37699"/>
    <cellStyle name="Normal 65 2 2 4 2" xfId="37700"/>
    <cellStyle name="Normal 65 2 2 5" xfId="37701"/>
    <cellStyle name="Normal 65 2 3" xfId="18796"/>
    <cellStyle name="Normal 65 2 3 2" xfId="37702"/>
    <cellStyle name="Normal 65 2 3 2 2" xfId="37703"/>
    <cellStyle name="Normal 65 2 3 2 2 2" xfId="37704"/>
    <cellStyle name="Normal 65 2 3 2 3" xfId="37705"/>
    <cellStyle name="Normal 65 2 3 3" xfId="37706"/>
    <cellStyle name="Normal 65 2 3 3 2" xfId="37707"/>
    <cellStyle name="Normal 65 2 3 4" xfId="37708"/>
    <cellStyle name="Normal 65 2 4" xfId="37709"/>
    <cellStyle name="Normal 65 2 4 2" xfId="37710"/>
    <cellStyle name="Normal 65 2 4 2 2" xfId="37711"/>
    <cellStyle name="Normal 65 2 4 3" xfId="37712"/>
    <cellStyle name="Normal 65 2 5" xfId="37713"/>
    <cellStyle name="Normal 65 2 5 2" xfId="37714"/>
    <cellStyle name="Normal 65 2 6" xfId="37715"/>
    <cellStyle name="Normal 65 3" xfId="18797"/>
    <cellStyle name="Normal 65 3 2" xfId="18798"/>
    <cellStyle name="Normal 65 3 2 2" xfId="37716"/>
    <cellStyle name="Normal 65 3 2 2 2" xfId="37717"/>
    <cellStyle name="Normal 65 3 2 2 2 2" xfId="37718"/>
    <cellStyle name="Normal 65 3 2 2 3" xfId="37719"/>
    <cellStyle name="Normal 65 3 2 3" xfId="37720"/>
    <cellStyle name="Normal 65 3 2 3 2" xfId="37721"/>
    <cellStyle name="Normal 65 3 2 4" xfId="37722"/>
    <cellStyle name="Normal 65 3 3" xfId="37723"/>
    <cellStyle name="Normal 65 3 3 2" xfId="37724"/>
    <cellStyle name="Normal 65 3 3 2 2" xfId="37725"/>
    <cellStyle name="Normal 65 3 3 3" xfId="37726"/>
    <cellStyle name="Normal 65 3 4" xfId="37727"/>
    <cellStyle name="Normal 65 3 4 2" xfId="37728"/>
    <cellStyle name="Normal 65 3 5" xfId="37729"/>
    <cellStyle name="Normal 65 4" xfId="18799"/>
    <cellStyle name="Normal 65 4 2" xfId="37730"/>
    <cellStyle name="Normal 65 4 2 2" xfId="37731"/>
    <cellStyle name="Normal 65 4 2 2 2" xfId="37732"/>
    <cellStyle name="Normal 65 4 2 3" xfId="37733"/>
    <cellStyle name="Normal 65 4 3" xfId="37734"/>
    <cellStyle name="Normal 65 4 3 2" xfId="37735"/>
    <cellStyle name="Normal 65 4 4" xfId="37736"/>
    <cellStyle name="Normal 65 5" xfId="37737"/>
    <cellStyle name="Normal 65 5 2" xfId="37738"/>
    <cellStyle name="Normal 65 5 2 2" xfId="37739"/>
    <cellStyle name="Normal 65 5 3" xfId="37740"/>
    <cellStyle name="Normal 65 6" xfId="37741"/>
    <cellStyle name="Normal 65 6 2" xfId="37742"/>
    <cellStyle name="Normal 65 7" xfId="37743"/>
    <cellStyle name="Normal 66" xfId="18800"/>
    <cellStyle name="Normal 66 2" xfId="18801"/>
    <cellStyle name="Normal 66 2 2" xfId="18802"/>
    <cellStyle name="Normal 66 2 2 2" xfId="18803"/>
    <cellStyle name="Normal 66 2 2 2 2" xfId="37744"/>
    <cellStyle name="Normal 66 2 2 2 2 2" xfId="37745"/>
    <cellStyle name="Normal 66 2 2 2 2 2 2" xfId="37746"/>
    <cellStyle name="Normal 66 2 2 2 2 3" xfId="37747"/>
    <cellStyle name="Normal 66 2 2 2 3" xfId="37748"/>
    <cellStyle name="Normal 66 2 2 2 3 2" xfId="37749"/>
    <cellStyle name="Normal 66 2 2 2 4" xfId="37750"/>
    <cellStyle name="Normal 66 2 2 3" xfId="37751"/>
    <cellStyle name="Normal 66 2 2 3 2" xfId="37752"/>
    <cellStyle name="Normal 66 2 2 3 2 2" xfId="37753"/>
    <cellStyle name="Normal 66 2 2 3 3" xfId="37754"/>
    <cellStyle name="Normal 66 2 2 4" xfId="37755"/>
    <cellStyle name="Normal 66 2 2 4 2" xfId="37756"/>
    <cellStyle name="Normal 66 2 2 5" xfId="37757"/>
    <cellStyle name="Normal 66 2 3" xfId="18804"/>
    <cellStyle name="Normal 66 2 3 2" xfId="37758"/>
    <cellStyle name="Normal 66 2 3 2 2" xfId="37759"/>
    <cellStyle name="Normal 66 2 3 2 2 2" xfId="37760"/>
    <cellStyle name="Normal 66 2 3 2 3" xfId="37761"/>
    <cellStyle name="Normal 66 2 3 3" xfId="37762"/>
    <cellStyle name="Normal 66 2 3 3 2" xfId="37763"/>
    <cellStyle name="Normal 66 2 3 4" xfId="37764"/>
    <cellStyle name="Normal 66 2 4" xfId="37765"/>
    <cellStyle name="Normal 66 2 4 2" xfId="37766"/>
    <cellStyle name="Normal 66 2 4 2 2" xfId="37767"/>
    <cellStyle name="Normal 66 2 4 3" xfId="37768"/>
    <cellStyle name="Normal 66 2 5" xfId="37769"/>
    <cellStyle name="Normal 66 2 5 2" xfId="37770"/>
    <cellStyle name="Normal 66 2 6" xfId="37771"/>
    <cellStyle name="Normal 66 3" xfId="18805"/>
    <cellStyle name="Normal 66 3 2" xfId="18806"/>
    <cellStyle name="Normal 66 3 2 2" xfId="37772"/>
    <cellStyle name="Normal 66 3 2 2 2" xfId="37773"/>
    <cellStyle name="Normal 66 3 2 2 2 2" xfId="37774"/>
    <cellStyle name="Normal 66 3 2 2 3" xfId="37775"/>
    <cellStyle name="Normal 66 3 2 3" xfId="37776"/>
    <cellStyle name="Normal 66 3 2 3 2" xfId="37777"/>
    <cellStyle name="Normal 66 3 2 4" xfId="37778"/>
    <cellStyle name="Normal 66 3 3" xfId="37779"/>
    <cellStyle name="Normal 66 3 3 2" xfId="37780"/>
    <cellStyle name="Normal 66 3 3 2 2" xfId="37781"/>
    <cellStyle name="Normal 66 3 3 3" xfId="37782"/>
    <cellStyle name="Normal 66 3 4" xfId="37783"/>
    <cellStyle name="Normal 66 3 4 2" xfId="37784"/>
    <cellStyle name="Normal 66 3 5" xfId="37785"/>
    <cellStyle name="Normal 66 4" xfId="18807"/>
    <cellStyle name="Normal 66 4 2" xfId="37786"/>
    <cellStyle name="Normal 66 4 2 2" xfId="37787"/>
    <cellStyle name="Normal 66 4 2 2 2" xfId="37788"/>
    <cellStyle name="Normal 66 4 2 3" xfId="37789"/>
    <cellStyle name="Normal 66 4 3" xfId="37790"/>
    <cellStyle name="Normal 66 4 3 2" xfId="37791"/>
    <cellStyle name="Normal 66 4 4" xfId="37792"/>
    <cellStyle name="Normal 66 5" xfId="37793"/>
    <cellStyle name="Normal 66 5 2" xfId="37794"/>
    <cellStyle name="Normal 66 5 2 2" xfId="37795"/>
    <cellStyle name="Normal 66 5 3" xfId="37796"/>
    <cellStyle name="Normal 66 6" xfId="37797"/>
    <cellStyle name="Normal 66 6 2" xfId="37798"/>
    <cellStyle name="Normal 66 7" xfId="37799"/>
    <cellStyle name="Normal 67" xfId="18808"/>
    <cellStyle name="Normal 67 2" xfId="18809"/>
    <cellStyle name="Normal 67 2 2" xfId="18810"/>
    <cellStyle name="Normal 67 2 2 2" xfId="18811"/>
    <cellStyle name="Normal 67 2 2 2 2" xfId="37800"/>
    <cellStyle name="Normal 67 2 2 2 2 2" xfId="37801"/>
    <cellStyle name="Normal 67 2 2 2 2 2 2" xfId="37802"/>
    <cellStyle name="Normal 67 2 2 2 2 3" xfId="37803"/>
    <cellStyle name="Normal 67 2 2 2 3" xfId="37804"/>
    <cellStyle name="Normal 67 2 2 2 3 2" xfId="37805"/>
    <cellStyle name="Normal 67 2 2 2 4" xfId="37806"/>
    <cellStyle name="Normal 67 2 2 3" xfId="37807"/>
    <cellStyle name="Normal 67 2 2 3 2" xfId="37808"/>
    <cellStyle name="Normal 67 2 2 3 2 2" xfId="37809"/>
    <cellStyle name="Normal 67 2 2 3 3" xfId="37810"/>
    <cellStyle name="Normal 67 2 2 4" xfId="37811"/>
    <cellStyle name="Normal 67 2 2 4 2" xfId="37812"/>
    <cellStyle name="Normal 67 2 2 5" xfId="37813"/>
    <cellStyle name="Normal 67 2 3" xfId="18812"/>
    <cellStyle name="Normal 67 2 3 2" xfId="37814"/>
    <cellStyle name="Normal 67 2 3 2 2" xfId="37815"/>
    <cellStyle name="Normal 67 2 3 2 2 2" xfId="37816"/>
    <cellStyle name="Normal 67 2 3 2 3" xfId="37817"/>
    <cellStyle name="Normal 67 2 3 3" xfId="37818"/>
    <cellStyle name="Normal 67 2 3 3 2" xfId="37819"/>
    <cellStyle name="Normal 67 2 3 4" xfId="37820"/>
    <cellStyle name="Normal 67 2 4" xfId="37821"/>
    <cellStyle name="Normal 67 2 4 2" xfId="37822"/>
    <cellStyle name="Normal 67 2 4 2 2" xfId="37823"/>
    <cellStyle name="Normal 67 2 4 3" xfId="37824"/>
    <cellStyle name="Normal 67 2 5" xfId="37825"/>
    <cellStyle name="Normal 67 2 5 2" xfId="37826"/>
    <cellStyle name="Normal 67 2 6" xfId="37827"/>
    <cellStyle name="Normal 67 3" xfId="18813"/>
    <cellStyle name="Normal 67 3 2" xfId="18814"/>
    <cellStyle name="Normal 67 3 2 2" xfId="37828"/>
    <cellStyle name="Normal 67 3 2 2 2" xfId="37829"/>
    <cellStyle name="Normal 67 3 2 2 2 2" xfId="37830"/>
    <cellStyle name="Normal 67 3 2 2 3" xfId="37831"/>
    <cellStyle name="Normal 67 3 2 3" xfId="37832"/>
    <cellStyle name="Normal 67 3 2 3 2" xfId="37833"/>
    <cellStyle name="Normal 67 3 2 4" xfId="37834"/>
    <cellStyle name="Normal 67 3 3" xfId="37835"/>
    <cellStyle name="Normal 67 3 3 2" xfId="37836"/>
    <cellStyle name="Normal 67 3 3 2 2" xfId="37837"/>
    <cellStyle name="Normal 67 3 3 3" xfId="37838"/>
    <cellStyle name="Normal 67 3 4" xfId="37839"/>
    <cellStyle name="Normal 67 3 4 2" xfId="37840"/>
    <cellStyle name="Normal 67 3 5" xfId="37841"/>
    <cellStyle name="Normal 67 4" xfId="18815"/>
    <cellStyle name="Normal 67 4 2" xfId="37842"/>
    <cellStyle name="Normal 67 4 2 2" xfId="37843"/>
    <cellStyle name="Normal 67 4 2 2 2" xfId="37844"/>
    <cellStyle name="Normal 67 4 2 3" xfId="37845"/>
    <cellStyle name="Normal 67 4 3" xfId="37846"/>
    <cellStyle name="Normal 67 4 3 2" xfId="37847"/>
    <cellStyle name="Normal 67 4 4" xfId="37848"/>
    <cellStyle name="Normal 67 5" xfId="37849"/>
    <cellStyle name="Normal 67 5 2" xfId="37850"/>
    <cellStyle name="Normal 67 5 2 2" xfId="37851"/>
    <cellStyle name="Normal 67 5 3" xfId="37852"/>
    <cellStyle name="Normal 67 6" xfId="37853"/>
    <cellStyle name="Normal 67 6 2" xfId="37854"/>
    <cellStyle name="Normal 67 7" xfId="37855"/>
    <cellStyle name="Normal 68" xfId="18816"/>
    <cellStyle name="Normal 68 2" xfId="18817"/>
    <cellStyle name="Normal 68 2 2" xfId="18818"/>
    <cellStyle name="Normal 68 2 2 2" xfId="18819"/>
    <cellStyle name="Normal 68 2 2 2 2" xfId="37856"/>
    <cellStyle name="Normal 68 2 2 2 2 2" xfId="37857"/>
    <cellStyle name="Normal 68 2 2 2 2 2 2" xfId="37858"/>
    <cellStyle name="Normal 68 2 2 2 2 3" xfId="37859"/>
    <cellStyle name="Normal 68 2 2 2 3" xfId="37860"/>
    <cellStyle name="Normal 68 2 2 2 3 2" xfId="37861"/>
    <cellStyle name="Normal 68 2 2 2 4" xfId="37862"/>
    <cellStyle name="Normal 68 2 2 3" xfId="37863"/>
    <cellStyle name="Normal 68 2 2 3 2" xfId="37864"/>
    <cellStyle name="Normal 68 2 2 3 2 2" xfId="37865"/>
    <cellStyle name="Normal 68 2 2 3 3" xfId="37866"/>
    <cellStyle name="Normal 68 2 2 4" xfId="37867"/>
    <cellStyle name="Normal 68 2 2 4 2" xfId="37868"/>
    <cellStyle name="Normal 68 2 2 5" xfId="37869"/>
    <cellStyle name="Normal 68 2 3" xfId="18820"/>
    <cellStyle name="Normal 68 2 3 2" xfId="37870"/>
    <cellStyle name="Normal 68 2 3 2 2" xfId="37871"/>
    <cellStyle name="Normal 68 2 3 2 2 2" xfId="37872"/>
    <cellStyle name="Normal 68 2 3 2 3" xfId="37873"/>
    <cellStyle name="Normal 68 2 3 3" xfId="37874"/>
    <cellStyle name="Normal 68 2 3 3 2" xfId="37875"/>
    <cellStyle name="Normal 68 2 3 4" xfId="37876"/>
    <cellStyle name="Normal 68 2 4" xfId="37877"/>
    <cellStyle name="Normal 68 2 4 2" xfId="37878"/>
    <cellStyle name="Normal 68 2 4 2 2" xfId="37879"/>
    <cellStyle name="Normal 68 2 4 3" xfId="37880"/>
    <cellStyle name="Normal 68 2 5" xfId="37881"/>
    <cellStyle name="Normal 68 2 5 2" xfId="37882"/>
    <cellStyle name="Normal 68 2 6" xfId="37883"/>
    <cellStyle name="Normal 68 3" xfId="18821"/>
    <cellStyle name="Normal 68 3 2" xfId="18822"/>
    <cellStyle name="Normal 68 3 2 2" xfId="37884"/>
    <cellStyle name="Normal 68 3 2 2 2" xfId="37885"/>
    <cellStyle name="Normal 68 3 2 2 2 2" xfId="37886"/>
    <cellStyle name="Normal 68 3 2 2 3" xfId="37887"/>
    <cellStyle name="Normal 68 3 2 3" xfId="37888"/>
    <cellStyle name="Normal 68 3 2 3 2" xfId="37889"/>
    <cellStyle name="Normal 68 3 2 4" xfId="37890"/>
    <cellStyle name="Normal 68 3 3" xfId="37891"/>
    <cellStyle name="Normal 68 3 3 2" xfId="37892"/>
    <cellStyle name="Normal 68 3 3 2 2" xfId="37893"/>
    <cellStyle name="Normal 68 3 3 3" xfId="37894"/>
    <cellStyle name="Normal 68 3 4" xfId="37895"/>
    <cellStyle name="Normal 68 3 4 2" xfId="37896"/>
    <cellStyle name="Normal 68 3 5" xfId="37897"/>
    <cellStyle name="Normal 68 4" xfId="18823"/>
    <cellStyle name="Normal 68 4 2" xfId="37898"/>
    <cellStyle name="Normal 68 4 2 2" xfId="37899"/>
    <cellStyle name="Normal 68 4 2 2 2" xfId="37900"/>
    <cellStyle name="Normal 68 4 2 3" xfId="37901"/>
    <cellStyle name="Normal 68 4 3" xfId="37902"/>
    <cellStyle name="Normal 68 4 3 2" xfId="37903"/>
    <cellStyle name="Normal 68 4 4" xfId="37904"/>
    <cellStyle name="Normal 68 5" xfId="37905"/>
    <cellStyle name="Normal 68 5 2" xfId="37906"/>
    <cellStyle name="Normal 68 5 2 2" xfId="37907"/>
    <cellStyle name="Normal 68 5 3" xfId="37908"/>
    <cellStyle name="Normal 68 6" xfId="37909"/>
    <cellStyle name="Normal 68 6 2" xfId="37910"/>
    <cellStyle name="Normal 68 7" xfId="37911"/>
    <cellStyle name="Normal 69" xfId="10111"/>
    <cellStyle name="Normal 69 2" xfId="10112"/>
    <cellStyle name="Normal 69 2 2" xfId="10113"/>
    <cellStyle name="Normal 69 2 2 2" xfId="18824"/>
    <cellStyle name="Normal 69 2 2 2 2" xfId="37912"/>
    <cellStyle name="Normal 69 2 2 2 2 2" xfId="37913"/>
    <cellStyle name="Normal 69 2 2 2 2 2 2" xfId="37914"/>
    <cellStyle name="Normal 69 2 2 2 2 3" xfId="37915"/>
    <cellStyle name="Normal 69 2 2 2 3" xfId="37916"/>
    <cellStyle name="Normal 69 2 2 2 3 2" xfId="37917"/>
    <cellStyle name="Normal 69 2 2 2 4" xfId="37918"/>
    <cellStyle name="Normal 69 2 2 3" xfId="37919"/>
    <cellStyle name="Normal 69 2 2 3 2" xfId="37920"/>
    <cellStyle name="Normal 69 2 2 3 2 2" xfId="37921"/>
    <cellStyle name="Normal 69 2 2 3 3" xfId="37922"/>
    <cellStyle name="Normal 69 2 2 4" xfId="37923"/>
    <cellStyle name="Normal 69 2 2 4 2" xfId="37924"/>
    <cellStyle name="Normal 69 2 2 5" xfId="37925"/>
    <cellStyle name="Normal 69 2 3" xfId="10114"/>
    <cellStyle name="Normal 69 2 3 2" xfId="37926"/>
    <cellStyle name="Normal 69 2 3 2 2" xfId="37927"/>
    <cellStyle name="Normal 69 2 3 2 2 2" xfId="37928"/>
    <cellStyle name="Normal 69 2 3 2 3" xfId="37929"/>
    <cellStyle name="Normal 69 2 3 3" xfId="37930"/>
    <cellStyle name="Normal 69 2 3 3 2" xfId="37931"/>
    <cellStyle name="Normal 69 2 3 4" xfId="37932"/>
    <cellStyle name="Normal 69 2 4" xfId="10115"/>
    <cellStyle name="Normal 69 2 4 2" xfId="37933"/>
    <cellStyle name="Normal 69 2 4 2 2" xfId="37934"/>
    <cellStyle name="Normal 69 2 4 3" xfId="37935"/>
    <cellStyle name="Normal 69 2 5" xfId="37936"/>
    <cellStyle name="Normal 69 2 5 2" xfId="37937"/>
    <cellStyle name="Normal 69 2 6" xfId="37938"/>
    <cellStyle name="Normal 69 3" xfId="10116"/>
    <cellStyle name="Normal 69 3 2" xfId="10117"/>
    <cellStyle name="Normal 69 3 2 2" xfId="37939"/>
    <cellStyle name="Normal 69 3 2 2 2" xfId="37940"/>
    <cellStyle name="Normal 69 3 2 2 2 2" xfId="37941"/>
    <cellStyle name="Normal 69 3 2 2 3" xfId="37942"/>
    <cellStyle name="Normal 69 3 2 3" xfId="37943"/>
    <cellStyle name="Normal 69 3 2 3 2" xfId="37944"/>
    <cellStyle name="Normal 69 3 2 4" xfId="37945"/>
    <cellStyle name="Normal 69 3 3" xfId="10118"/>
    <cellStyle name="Normal 69 3 3 2" xfId="37946"/>
    <cellStyle name="Normal 69 3 3 2 2" xfId="37947"/>
    <cellStyle name="Normal 69 3 3 3" xfId="37948"/>
    <cellStyle name="Normal 69 3 4" xfId="10119"/>
    <cellStyle name="Normal 69 3 4 2" xfId="37949"/>
    <cellStyle name="Normal 69 3 5" xfId="37950"/>
    <cellStyle name="Normal 69 4" xfId="10120"/>
    <cellStyle name="Normal 69 4 2" xfId="37951"/>
    <cellStyle name="Normal 69 4 2 2" xfId="37952"/>
    <cellStyle name="Normal 69 4 2 2 2" xfId="37953"/>
    <cellStyle name="Normal 69 4 2 3" xfId="37954"/>
    <cellStyle name="Normal 69 4 3" xfId="37955"/>
    <cellStyle name="Normal 69 4 3 2" xfId="37956"/>
    <cellStyle name="Normal 69 4 4" xfId="37957"/>
    <cellStyle name="Normal 69 5" xfId="10121"/>
    <cellStyle name="Normal 69 5 2" xfId="37958"/>
    <cellStyle name="Normal 69 5 2 2" xfId="37959"/>
    <cellStyle name="Normal 69 5 3" xfId="37960"/>
    <cellStyle name="Normal 69 6" xfId="10122"/>
    <cellStyle name="Normal 69 6 2" xfId="37961"/>
    <cellStyle name="Normal 69 7" xfId="37962"/>
    <cellStyle name="Normal 7" xfId="75"/>
    <cellStyle name="Normal 7 10" xfId="37963"/>
    <cellStyle name="Normal 7 11" xfId="37964"/>
    <cellStyle name="Normal 7 12" xfId="37965"/>
    <cellStyle name="Normal 7 12 2" xfId="37966"/>
    <cellStyle name="Normal 7 12 2 2" xfId="37967"/>
    <cellStyle name="Normal 7 12 3" xfId="37968"/>
    <cellStyle name="Normal 7 13" xfId="37969"/>
    <cellStyle name="Normal 7 13 2" xfId="37970"/>
    <cellStyle name="Normal 7 14" xfId="37971"/>
    <cellStyle name="Normal 7 15" xfId="37972"/>
    <cellStyle name="Normal 7 2" xfId="18825"/>
    <cellStyle name="Normal 7 2 10" xfId="37973"/>
    <cellStyle name="Normal 7 2 2" xfId="18826"/>
    <cellStyle name="Normal 7 2 2 2" xfId="18827"/>
    <cellStyle name="Normal 7 2 2 2 2" xfId="18828"/>
    <cellStyle name="Normal 7 2 2 2 2 2" xfId="18829"/>
    <cellStyle name="Normal 7 2 2 2 2 2 2" xfId="37974"/>
    <cellStyle name="Normal 7 2 2 2 2 2 2 2" xfId="37975"/>
    <cellStyle name="Normal 7 2 2 2 2 2 2 2 2" xfId="37976"/>
    <cellStyle name="Normal 7 2 2 2 2 2 2 3" xfId="37977"/>
    <cellStyle name="Normal 7 2 2 2 2 2 3" xfId="37978"/>
    <cellStyle name="Normal 7 2 2 2 2 2 3 2" xfId="37979"/>
    <cellStyle name="Normal 7 2 2 2 2 2 4" xfId="37980"/>
    <cellStyle name="Normal 7 2 2 2 2 3" xfId="37981"/>
    <cellStyle name="Normal 7 2 2 2 2 3 2" xfId="37982"/>
    <cellStyle name="Normal 7 2 2 2 2 3 2 2" xfId="37983"/>
    <cellStyle name="Normal 7 2 2 2 2 3 3" xfId="37984"/>
    <cellStyle name="Normal 7 2 2 2 2 4" xfId="37985"/>
    <cellStyle name="Normal 7 2 2 2 2 4 2" xfId="37986"/>
    <cellStyle name="Normal 7 2 2 2 2 5" xfId="37987"/>
    <cellStyle name="Normal 7 2 2 2 3" xfId="18830"/>
    <cellStyle name="Normal 7 2 2 2 3 2" xfId="37988"/>
    <cellStyle name="Normal 7 2 2 2 3 2 2" xfId="37989"/>
    <cellStyle name="Normal 7 2 2 2 3 2 2 2" xfId="37990"/>
    <cellStyle name="Normal 7 2 2 2 3 2 3" xfId="37991"/>
    <cellStyle name="Normal 7 2 2 2 3 3" xfId="37992"/>
    <cellStyle name="Normal 7 2 2 2 3 3 2" xfId="37993"/>
    <cellStyle name="Normal 7 2 2 2 3 4" xfId="37994"/>
    <cellStyle name="Normal 7 2 2 2 4" xfId="37995"/>
    <cellStyle name="Normal 7 2 2 2 4 2" xfId="37996"/>
    <cellStyle name="Normal 7 2 2 2 4 2 2" xfId="37997"/>
    <cellStyle name="Normal 7 2 2 2 4 3" xfId="37998"/>
    <cellStyle name="Normal 7 2 2 2 5" xfId="37999"/>
    <cellStyle name="Normal 7 2 2 2 5 2" xfId="38000"/>
    <cellStyle name="Normal 7 2 2 2 6" xfId="38001"/>
    <cellStyle name="Normal 7 2 2 3" xfId="18831"/>
    <cellStyle name="Normal 7 2 2 3 2" xfId="18832"/>
    <cellStyle name="Normal 7 2 2 3 2 2" xfId="38002"/>
    <cellStyle name="Normal 7 2 2 3 2 2 2" xfId="38003"/>
    <cellStyle name="Normal 7 2 2 3 2 2 2 2" xfId="38004"/>
    <cellStyle name="Normal 7 2 2 3 2 2 3" xfId="38005"/>
    <cellStyle name="Normal 7 2 2 3 2 3" xfId="38006"/>
    <cellStyle name="Normal 7 2 2 3 2 3 2" xfId="38007"/>
    <cellStyle name="Normal 7 2 2 3 2 4" xfId="38008"/>
    <cellStyle name="Normal 7 2 2 3 3" xfId="38009"/>
    <cellStyle name="Normal 7 2 2 3 3 2" xfId="38010"/>
    <cellStyle name="Normal 7 2 2 3 3 2 2" xfId="38011"/>
    <cellStyle name="Normal 7 2 2 3 3 3" xfId="38012"/>
    <cellStyle name="Normal 7 2 2 3 4" xfId="38013"/>
    <cellStyle name="Normal 7 2 2 3 4 2" xfId="38014"/>
    <cellStyle name="Normal 7 2 2 3 5" xfId="38015"/>
    <cellStyle name="Normal 7 2 2 4" xfId="18833"/>
    <cellStyle name="Normal 7 2 2 4 2" xfId="38016"/>
    <cellStyle name="Normal 7 2 2 4 2 2" xfId="38017"/>
    <cellStyle name="Normal 7 2 2 4 2 2 2" xfId="38018"/>
    <cellStyle name="Normal 7 2 2 4 2 3" xfId="38019"/>
    <cellStyle name="Normal 7 2 2 4 3" xfId="38020"/>
    <cellStyle name="Normal 7 2 2 4 3 2" xfId="38021"/>
    <cellStyle name="Normal 7 2 2 4 4" xfId="38022"/>
    <cellStyle name="Normal 7 2 2 5" xfId="38023"/>
    <cellStyle name="Normal 7 2 2 6" xfId="38024"/>
    <cellStyle name="Normal 7 2 2 6 2" xfId="38025"/>
    <cellStyle name="Normal 7 2 2 6 2 2" xfId="38026"/>
    <cellStyle name="Normal 7 2 2 6 3" xfId="38027"/>
    <cellStyle name="Normal 7 2 2 7" xfId="38028"/>
    <cellStyle name="Normal 7 2 2 7 2" xfId="38029"/>
    <cellStyle name="Normal 7 2 2 8" xfId="38030"/>
    <cellStyle name="Normal 7 2 3" xfId="18834"/>
    <cellStyle name="Normal 7 2 3 2" xfId="18835"/>
    <cellStyle name="Normal 7 2 3 2 2" xfId="18836"/>
    <cellStyle name="Normal 7 2 3 2 2 2" xfId="38031"/>
    <cellStyle name="Normal 7 2 3 2 2 2 2" xfId="38032"/>
    <cellStyle name="Normal 7 2 3 2 2 2 2 2" xfId="38033"/>
    <cellStyle name="Normal 7 2 3 2 2 2 3" xfId="38034"/>
    <cellStyle name="Normal 7 2 3 2 2 3" xfId="38035"/>
    <cellStyle name="Normal 7 2 3 2 2 3 2" xfId="38036"/>
    <cellStyle name="Normal 7 2 3 2 2 4" xfId="38037"/>
    <cellStyle name="Normal 7 2 3 2 3" xfId="38038"/>
    <cellStyle name="Normal 7 2 3 2 3 2" xfId="38039"/>
    <cellStyle name="Normal 7 2 3 2 3 2 2" xfId="38040"/>
    <cellStyle name="Normal 7 2 3 2 3 3" xfId="38041"/>
    <cellStyle name="Normal 7 2 3 2 4" xfId="38042"/>
    <cellStyle name="Normal 7 2 3 2 4 2" xfId="38043"/>
    <cellStyle name="Normal 7 2 3 2 5" xfId="38044"/>
    <cellStyle name="Normal 7 2 3 3" xfId="18837"/>
    <cellStyle name="Normal 7 2 3 3 2" xfId="38045"/>
    <cellStyle name="Normal 7 2 3 3 2 2" xfId="38046"/>
    <cellStyle name="Normal 7 2 3 3 2 2 2" xfId="38047"/>
    <cellStyle name="Normal 7 2 3 3 2 3" xfId="38048"/>
    <cellStyle name="Normal 7 2 3 3 3" xfId="38049"/>
    <cellStyle name="Normal 7 2 3 3 3 2" xfId="38050"/>
    <cellStyle name="Normal 7 2 3 3 4" xfId="38051"/>
    <cellStyle name="Normal 7 2 3 4" xfId="38052"/>
    <cellStyle name="Normal 7 2 3 4 2" xfId="38053"/>
    <cellStyle name="Normal 7 2 3 4 2 2" xfId="38054"/>
    <cellStyle name="Normal 7 2 3 4 3" xfId="38055"/>
    <cellStyle name="Normal 7 2 3 5" xfId="38056"/>
    <cellStyle name="Normal 7 2 3 5 2" xfId="38057"/>
    <cellStyle name="Normal 7 2 3 6" xfId="38058"/>
    <cellStyle name="Normal 7 2 4" xfId="18838"/>
    <cellStyle name="Normal 7 2 4 2" xfId="18839"/>
    <cellStyle name="Normal 7 2 4 2 2" xfId="38059"/>
    <cellStyle name="Normal 7 2 4 2 2 2" xfId="38060"/>
    <cellStyle name="Normal 7 2 4 2 2 2 2" xfId="38061"/>
    <cellStyle name="Normal 7 2 4 2 2 3" xfId="38062"/>
    <cellStyle name="Normal 7 2 4 2 3" xfId="38063"/>
    <cellStyle name="Normal 7 2 4 2 3 2" xfId="38064"/>
    <cellStyle name="Normal 7 2 4 2 4" xfId="38065"/>
    <cellStyle name="Normal 7 2 4 3" xfId="38066"/>
    <cellStyle name="Normal 7 2 4 3 2" xfId="38067"/>
    <cellStyle name="Normal 7 2 4 3 2 2" xfId="38068"/>
    <cellStyle name="Normal 7 2 4 3 3" xfId="38069"/>
    <cellStyle name="Normal 7 2 4 4" xfId="38070"/>
    <cellStyle name="Normal 7 2 4 4 2" xfId="38071"/>
    <cellStyle name="Normal 7 2 4 5" xfId="38072"/>
    <cellStyle name="Normal 7 2 5" xfId="18840"/>
    <cellStyle name="Normal 7 2 6" xfId="18841"/>
    <cellStyle name="Normal 7 2 6 2" xfId="38073"/>
    <cellStyle name="Normal 7 2 6 2 2" xfId="38074"/>
    <cellStyle name="Normal 7 2 6 2 2 2" xfId="38075"/>
    <cellStyle name="Normal 7 2 6 2 3" xfId="38076"/>
    <cellStyle name="Normal 7 2 6 3" xfId="38077"/>
    <cellStyle name="Normal 7 2 6 3 2" xfId="38078"/>
    <cellStyle name="Normal 7 2 6 4" xfId="38079"/>
    <cellStyle name="Normal 7 2 7" xfId="38080"/>
    <cellStyle name="Normal 7 2 8" xfId="38081"/>
    <cellStyle name="Normal 7 2 8 2" xfId="38082"/>
    <cellStyle name="Normal 7 2 8 2 2" xfId="38083"/>
    <cellStyle name="Normal 7 2 8 3" xfId="38084"/>
    <cellStyle name="Normal 7 2 9" xfId="38085"/>
    <cellStyle name="Normal 7 2 9 2" xfId="38086"/>
    <cellStyle name="Normal 7 3" xfId="18842"/>
    <cellStyle name="Normal 7 3 2" xfId="18843"/>
    <cellStyle name="Normal 7 3 2 2" xfId="18844"/>
    <cellStyle name="Normal 7 3 2 2 2" xfId="18845"/>
    <cellStyle name="Normal 7 3 2 2 2 2" xfId="18846"/>
    <cellStyle name="Normal 7 3 2 2 2 2 2" xfId="38087"/>
    <cellStyle name="Normal 7 3 2 2 2 2 2 2" xfId="38088"/>
    <cellStyle name="Normal 7 3 2 2 2 2 2 2 2" xfId="38089"/>
    <cellStyle name="Normal 7 3 2 2 2 2 2 3" xfId="38090"/>
    <cellStyle name="Normal 7 3 2 2 2 2 3" xfId="38091"/>
    <cellStyle name="Normal 7 3 2 2 2 2 3 2" xfId="38092"/>
    <cellStyle name="Normal 7 3 2 2 2 2 4" xfId="38093"/>
    <cellStyle name="Normal 7 3 2 2 2 3" xfId="38094"/>
    <cellStyle name="Normal 7 3 2 2 2 3 2" xfId="38095"/>
    <cellStyle name="Normal 7 3 2 2 2 3 2 2" xfId="38096"/>
    <cellStyle name="Normal 7 3 2 2 2 3 3" xfId="38097"/>
    <cellStyle name="Normal 7 3 2 2 2 4" xfId="38098"/>
    <cellStyle name="Normal 7 3 2 2 2 4 2" xfId="38099"/>
    <cellStyle name="Normal 7 3 2 2 2 5" xfId="38100"/>
    <cellStyle name="Normal 7 3 2 2 3" xfId="18847"/>
    <cellStyle name="Normal 7 3 2 2 3 2" xfId="38101"/>
    <cellStyle name="Normal 7 3 2 2 3 2 2" xfId="38102"/>
    <cellStyle name="Normal 7 3 2 2 3 2 2 2" xfId="38103"/>
    <cellStyle name="Normal 7 3 2 2 3 2 3" xfId="38104"/>
    <cellStyle name="Normal 7 3 2 2 3 3" xfId="38105"/>
    <cellStyle name="Normal 7 3 2 2 3 3 2" xfId="38106"/>
    <cellStyle name="Normal 7 3 2 2 3 4" xfId="38107"/>
    <cellStyle name="Normal 7 3 2 2 4" xfId="38108"/>
    <cellStyle name="Normal 7 3 2 2 4 2" xfId="38109"/>
    <cellStyle name="Normal 7 3 2 2 4 2 2" xfId="38110"/>
    <cellStyle name="Normal 7 3 2 2 4 3" xfId="38111"/>
    <cellStyle name="Normal 7 3 2 2 5" xfId="38112"/>
    <cellStyle name="Normal 7 3 2 2 5 2" xfId="38113"/>
    <cellStyle name="Normal 7 3 2 2 6" xfId="38114"/>
    <cellStyle name="Normal 7 3 2 3" xfId="18848"/>
    <cellStyle name="Normal 7 3 2 3 2" xfId="18849"/>
    <cellStyle name="Normal 7 3 2 3 2 2" xfId="38115"/>
    <cellStyle name="Normal 7 3 2 3 2 2 2" xfId="38116"/>
    <cellStyle name="Normal 7 3 2 3 2 2 2 2" xfId="38117"/>
    <cellStyle name="Normal 7 3 2 3 2 2 3" xfId="38118"/>
    <cellStyle name="Normal 7 3 2 3 2 3" xfId="38119"/>
    <cellStyle name="Normal 7 3 2 3 2 3 2" xfId="38120"/>
    <cellStyle name="Normal 7 3 2 3 2 4" xfId="38121"/>
    <cellStyle name="Normal 7 3 2 3 3" xfId="38122"/>
    <cellStyle name="Normal 7 3 2 3 3 2" xfId="38123"/>
    <cellStyle name="Normal 7 3 2 3 3 2 2" xfId="38124"/>
    <cellStyle name="Normal 7 3 2 3 3 3" xfId="38125"/>
    <cellStyle name="Normal 7 3 2 3 4" xfId="38126"/>
    <cellStyle name="Normal 7 3 2 3 4 2" xfId="38127"/>
    <cellStyle name="Normal 7 3 2 3 5" xfId="38128"/>
    <cellStyle name="Normal 7 3 2 4" xfId="18850"/>
    <cellStyle name="Normal 7 3 2 4 2" xfId="38129"/>
    <cellStyle name="Normal 7 3 2 4 2 2" xfId="38130"/>
    <cellStyle name="Normal 7 3 2 4 2 2 2" xfId="38131"/>
    <cellStyle name="Normal 7 3 2 4 2 3" xfId="38132"/>
    <cellStyle name="Normal 7 3 2 4 3" xfId="38133"/>
    <cellStyle name="Normal 7 3 2 4 3 2" xfId="38134"/>
    <cellStyle name="Normal 7 3 2 4 4" xfId="38135"/>
    <cellStyle name="Normal 7 3 2 5" xfId="38136"/>
    <cellStyle name="Normal 7 3 2 5 2" xfId="38137"/>
    <cellStyle name="Normal 7 3 2 5 2 2" xfId="38138"/>
    <cellStyle name="Normal 7 3 2 5 3" xfId="38139"/>
    <cellStyle name="Normal 7 3 2 6" xfId="38140"/>
    <cellStyle name="Normal 7 3 2 6 2" xfId="38141"/>
    <cellStyle name="Normal 7 3 2 7" xfId="38142"/>
    <cellStyle name="Normal 7 3 3" xfId="18851"/>
    <cellStyle name="Normal 7 3 3 2" xfId="18852"/>
    <cellStyle name="Normal 7 3 3 2 2" xfId="18853"/>
    <cellStyle name="Normal 7 3 3 2 2 2" xfId="38143"/>
    <cellStyle name="Normal 7 3 3 2 2 2 2" xfId="38144"/>
    <cellStyle name="Normal 7 3 3 2 2 2 2 2" xfId="38145"/>
    <cellStyle name="Normal 7 3 3 2 2 2 3" xfId="38146"/>
    <cellStyle name="Normal 7 3 3 2 2 3" xfId="38147"/>
    <cellStyle name="Normal 7 3 3 2 2 3 2" xfId="38148"/>
    <cellStyle name="Normal 7 3 3 2 2 4" xfId="38149"/>
    <cellStyle name="Normal 7 3 3 2 3" xfId="38150"/>
    <cellStyle name="Normal 7 3 3 2 3 2" xfId="38151"/>
    <cellStyle name="Normal 7 3 3 2 3 2 2" xfId="38152"/>
    <cellStyle name="Normal 7 3 3 2 3 3" xfId="38153"/>
    <cellStyle name="Normal 7 3 3 2 4" xfId="38154"/>
    <cellStyle name="Normal 7 3 3 2 4 2" xfId="38155"/>
    <cellStyle name="Normal 7 3 3 2 5" xfId="38156"/>
    <cellStyle name="Normal 7 3 3 3" xfId="18854"/>
    <cellStyle name="Normal 7 3 3 3 2" xfId="38157"/>
    <cellStyle name="Normal 7 3 3 3 2 2" xfId="38158"/>
    <cellStyle name="Normal 7 3 3 3 2 2 2" xfId="38159"/>
    <cellStyle name="Normal 7 3 3 3 2 3" xfId="38160"/>
    <cellStyle name="Normal 7 3 3 3 3" xfId="38161"/>
    <cellStyle name="Normal 7 3 3 3 3 2" xfId="38162"/>
    <cellStyle name="Normal 7 3 3 3 4" xfId="38163"/>
    <cellStyle name="Normal 7 3 3 4" xfId="38164"/>
    <cellStyle name="Normal 7 3 3 4 2" xfId="38165"/>
    <cellStyle name="Normal 7 3 3 4 2 2" xfId="38166"/>
    <cellStyle name="Normal 7 3 3 4 3" xfId="38167"/>
    <cellStyle name="Normal 7 3 3 5" xfId="38168"/>
    <cellStyle name="Normal 7 3 3 5 2" xfId="38169"/>
    <cellStyle name="Normal 7 3 3 6" xfId="38170"/>
    <cellStyle name="Normal 7 3 4" xfId="18855"/>
    <cellStyle name="Normal 7 3 4 2" xfId="18856"/>
    <cellStyle name="Normal 7 3 4 2 2" xfId="38171"/>
    <cellStyle name="Normal 7 3 4 2 2 2" xfId="38172"/>
    <cellStyle name="Normal 7 3 4 2 2 2 2" xfId="38173"/>
    <cellStyle name="Normal 7 3 4 2 2 3" xfId="38174"/>
    <cellStyle name="Normal 7 3 4 2 3" xfId="38175"/>
    <cellStyle name="Normal 7 3 4 2 3 2" xfId="38176"/>
    <cellStyle name="Normal 7 3 4 2 4" xfId="38177"/>
    <cellStyle name="Normal 7 3 4 3" xfId="38178"/>
    <cellStyle name="Normal 7 3 4 3 2" xfId="38179"/>
    <cellStyle name="Normal 7 3 4 3 2 2" xfId="38180"/>
    <cellStyle name="Normal 7 3 4 3 3" xfId="38181"/>
    <cellStyle name="Normal 7 3 4 4" xfId="38182"/>
    <cellStyle name="Normal 7 3 4 4 2" xfId="38183"/>
    <cellStyle name="Normal 7 3 4 5" xfId="38184"/>
    <cellStyle name="Normal 7 3 5" xfId="18857"/>
    <cellStyle name="Normal 7 3 5 2" xfId="38185"/>
    <cellStyle name="Normal 7 3 5 2 2" xfId="38186"/>
    <cellStyle name="Normal 7 3 5 2 2 2" xfId="38187"/>
    <cellStyle name="Normal 7 3 5 2 3" xfId="38188"/>
    <cellStyle name="Normal 7 3 5 3" xfId="38189"/>
    <cellStyle name="Normal 7 3 5 3 2" xfId="38190"/>
    <cellStyle name="Normal 7 3 5 4" xfId="38191"/>
    <cellStyle name="Normal 7 3 6" xfId="38192"/>
    <cellStyle name="Normal 7 3 7" xfId="38193"/>
    <cellStyle name="Normal 7 3 7 2" xfId="38194"/>
    <cellStyle name="Normal 7 3 7 2 2" xfId="38195"/>
    <cellStyle name="Normal 7 3 7 3" xfId="38196"/>
    <cellStyle name="Normal 7 3 8" xfId="38197"/>
    <cellStyle name="Normal 7 3 8 2" xfId="38198"/>
    <cellStyle name="Normal 7 3 9" xfId="38199"/>
    <cellStyle name="Normal 7 4" xfId="18858"/>
    <cellStyle name="Normal 7 4 2" xfId="18859"/>
    <cellStyle name="Normal 7 4 2 2" xfId="18860"/>
    <cellStyle name="Normal 7 4 2 2 2" xfId="18861"/>
    <cellStyle name="Normal 7 4 2 2 2 2" xfId="38200"/>
    <cellStyle name="Normal 7 4 2 2 2 2 2" xfId="38201"/>
    <cellStyle name="Normal 7 4 2 2 2 2 2 2" xfId="38202"/>
    <cellStyle name="Normal 7 4 2 2 2 2 3" xfId="38203"/>
    <cellStyle name="Normal 7 4 2 2 2 3" xfId="38204"/>
    <cellStyle name="Normal 7 4 2 2 2 3 2" xfId="38205"/>
    <cellStyle name="Normal 7 4 2 2 2 4" xfId="38206"/>
    <cellStyle name="Normal 7 4 2 2 3" xfId="38207"/>
    <cellStyle name="Normal 7 4 2 2 3 2" xfId="38208"/>
    <cellStyle name="Normal 7 4 2 2 3 2 2" xfId="38209"/>
    <cellStyle name="Normal 7 4 2 2 3 3" xfId="38210"/>
    <cellStyle name="Normal 7 4 2 2 4" xfId="38211"/>
    <cellStyle name="Normal 7 4 2 2 4 2" xfId="38212"/>
    <cellStyle name="Normal 7 4 2 2 5" xfId="38213"/>
    <cellStyle name="Normal 7 4 2 3" xfId="18862"/>
    <cellStyle name="Normal 7 4 2 3 2" xfId="38214"/>
    <cellStyle name="Normal 7 4 2 3 2 2" xfId="38215"/>
    <cellStyle name="Normal 7 4 2 3 2 2 2" xfId="38216"/>
    <cellStyle name="Normal 7 4 2 3 2 3" xfId="38217"/>
    <cellStyle name="Normal 7 4 2 3 3" xfId="38218"/>
    <cellStyle name="Normal 7 4 2 3 3 2" xfId="38219"/>
    <cellStyle name="Normal 7 4 2 3 4" xfId="38220"/>
    <cellStyle name="Normal 7 4 2 4" xfId="38221"/>
    <cellStyle name="Normal 7 4 2 4 2" xfId="38222"/>
    <cellStyle name="Normal 7 4 2 4 2 2" xfId="38223"/>
    <cellStyle name="Normal 7 4 2 4 3" xfId="38224"/>
    <cellStyle name="Normal 7 4 2 5" xfId="38225"/>
    <cellStyle name="Normal 7 4 2 5 2" xfId="38226"/>
    <cellStyle name="Normal 7 4 2 6" xfId="38227"/>
    <cellStyle name="Normal 7 4 3" xfId="18863"/>
    <cellStyle name="Normal 7 4 3 2" xfId="18864"/>
    <cellStyle name="Normal 7 4 3 2 2" xfId="38228"/>
    <cellStyle name="Normal 7 4 3 2 2 2" xfId="38229"/>
    <cellStyle name="Normal 7 4 3 2 2 2 2" xfId="38230"/>
    <cellStyle name="Normal 7 4 3 2 2 3" xfId="38231"/>
    <cellStyle name="Normal 7 4 3 2 3" xfId="38232"/>
    <cellStyle name="Normal 7 4 3 2 3 2" xfId="38233"/>
    <cellStyle name="Normal 7 4 3 2 4" xfId="38234"/>
    <cellStyle name="Normal 7 4 3 3" xfId="38235"/>
    <cellStyle name="Normal 7 4 3 3 2" xfId="38236"/>
    <cellStyle name="Normal 7 4 3 3 2 2" xfId="38237"/>
    <cellStyle name="Normal 7 4 3 3 3" xfId="38238"/>
    <cellStyle name="Normal 7 4 3 4" xfId="38239"/>
    <cellStyle name="Normal 7 4 3 4 2" xfId="38240"/>
    <cellStyle name="Normal 7 4 3 5" xfId="38241"/>
    <cellStyle name="Normal 7 4 4" xfId="18865"/>
    <cellStyle name="Normal 7 4 4 2" xfId="38242"/>
    <cellStyle name="Normal 7 4 4 2 2" xfId="38243"/>
    <cellStyle name="Normal 7 4 4 2 2 2" xfId="38244"/>
    <cellStyle name="Normal 7 4 4 2 3" xfId="38245"/>
    <cellStyle name="Normal 7 4 4 3" xfId="38246"/>
    <cellStyle name="Normal 7 4 4 3 2" xfId="38247"/>
    <cellStyle name="Normal 7 4 4 4" xfId="38248"/>
    <cellStyle name="Normal 7 4 5" xfId="38249"/>
    <cellStyle name="Normal 7 4 5 2" xfId="38250"/>
    <cellStyle name="Normal 7 4 5 2 2" xfId="38251"/>
    <cellStyle name="Normal 7 4 5 3" xfId="38252"/>
    <cellStyle name="Normal 7 4 6" xfId="38253"/>
    <cellStyle name="Normal 7 4 6 2" xfId="38254"/>
    <cellStyle name="Normal 7 4 7" xfId="38255"/>
    <cellStyle name="Normal 7 5" xfId="18866"/>
    <cellStyle name="Normal 7 5 2" xfId="18867"/>
    <cellStyle name="Normal 7 5 2 2" xfId="18868"/>
    <cellStyle name="Normal 7 5 2 2 2" xfId="38256"/>
    <cellStyle name="Normal 7 5 2 2 2 2" xfId="38257"/>
    <cellStyle name="Normal 7 5 2 2 2 2 2" xfId="38258"/>
    <cellStyle name="Normal 7 5 2 2 2 3" xfId="38259"/>
    <cellStyle name="Normal 7 5 2 2 3" xfId="38260"/>
    <cellStyle name="Normal 7 5 2 2 3 2" xfId="38261"/>
    <cellStyle name="Normal 7 5 2 2 4" xfId="38262"/>
    <cellStyle name="Normal 7 5 2 3" xfId="38263"/>
    <cellStyle name="Normal 7 5 2 3 2" xfId="38264"/>
    <cellStyle name="Normal 7 5 2 3 2 2" xfId="38265"/>
    <cellStyle name="Normal 7 5 2 3 3" xfId="38266"/>
    <cellStyle name="Normal 7 5 2 4" xfId="38267"/>
    <cellStyle name="Normal 7 5 2 4 2" xfId="38268"/>
    <cellStyle name="Normal 7 5 2 5" xfId="38269"/>
    <cellStyle name="Normal 7 5 3" xfId="18869"/>
    <cellStyle name="Normal 7 5 3 2" xfId="38270"/>
    <cellStyle name="Normal 7 5 3 2 2" xfId="38271"/>
    <cellStyle name="Normal 7 5 3 2 2 2" xfId="38272"/>
    <cellStyle name="Normal 7 5 3 2 3" xfId="38273"/>
    <cellStyle name="Normal 7 5 3 3" xfId="38274"/>
    <cellStyle name="Normal 7 5 3 3 2" xfId="38275"/>
    <cellStyle name="Normal 7 5 3 4" xfId="38276"/>
    <cellStyle name="Normal 7 5 4" xfId="38277"/>
    <cellStyle name="Normal 7 5 4 2" xfId="38278"/>
    <cellStyle name="Normal 7 5 4 2 2" xfId="38279"/>
    <cellStyle name="Normal 7 5 4 3" xfId="38280"/>
    <cellStyle name="Normal 7 5 5" xfId="38281"/>
    <cellStyle name="Normal 7 5 5 2" xfId="38282"/>
    <cellStyle name="Normal 7 5 6" xfId="38283"/>
    <cellStyle name="Normal 7 6" xfId="18870"/>
    <cellStyle name="Normal 7 6 2" xfId="18871"/>
    <cellStyle name="Normal 7 6 2 2" xfId="38284"/>
    <cellStyle name="Normal 7 6 2 2 2" xfId="38285"/>
    <cellStyle name="Normal 7 6 2 2 2 2" xfId="38286"/>
    <cellStyle name="Normal 7 6 2 2 3" xfId="38287"/>
    <cellStyle name="Normal 7 6 2 3" xfId="38288"/>
    <cellStyle name="Normal 7 6 2 3 2" xfId="38289"/>
    <cellStyle name="Normal 7 6 2 4" xfId="38290"/>
    <cellStyle name="Normal 7 6 3" xfId="38291"/>
    <cellStyle name="Normal 7 6 3 2" xfId="38292"/>
    <cellStyle name="Normal 7 6 3 2 2" xfId="38293"/>
    <cellStyle name="Normal 7 6 3 3" xfId="38294"/>
    <cellStyle name="Normal 7 6 4" xfId="38295"/>
    <cellStyle name="Normal 7 6 4 2" xfId="38296"/>
    <cellStyle name="Normal 7 6 5" xfId="38297"/>
    <cellStyle name="Normal 7 7" xfId="18872"/>
    <cellStyle name="Normal 7 8" xfId="18873"/>
    <cellStyle name="Normal 7 8 2" xfId="38298"/>
    <cellStyle name="Normal 7 8 2 2" xfId="38299"/>
    <cellStyle name="Normal 7 8 2 2 2" xfId="38300"/>
    <cellStyle name="Normal 7 8 2 3" xfId="38301"/>
    <cellStyle name="Normal 7 8 3" xfId="38302"/>
    <cellStyle name="Normal 7 8 3 2" xfId="38303"/>
    <cellStyle name="Normal 7 8 4" xfId="38304"/>
    <cellStyle name="Normal 7 9" xfId="18874"/>
    <cellStyle name="Normal 7_05-29-2012 Cuadre MDR" xfId="18875"/>
    <cellStyle name="Normal 70" xfId="18876"/>
    <cellStyle name="Normal 70 2" xfId="18877"/>
    <cellStyle name="Normal 70 2 2" xfId="18878"/>
    <cellStyle name="Normal 70 2 2 2" xfId="18879"/>
    <cellStyle name="Normal 70 2 2 2 2" xfId="38305"/>
    <cellStyle name="Normal 70 2 2 2 2 2" xfId="38306"/>
    <cellStyle name="Normal 70 2 2 2 2 2 2" xfId="38307"/>
    <cellStyle name="Normal 70 2 2 2 2 3" xfId="38308"/>
    <cellStyle name="Normal 70 2 2 2 3" xfId="38309"/>
    <cellStyle name="Normal 70 2 2 2 3 2" xfId="38310"/>
    <cellStyle name="Normal 70 2 2 2 4" xfId="38311"/>
    <cellStyle name="Normal 70 2 2 3" xfId="38312"/>
    <cellStyle name="Normal 70 2 2 3 2" xfId="38313"/>
    <cellStyle name="Normal 70 2 2 3 2 2" xfId="38314"/>
    <cellStyle name="Normal 70 2 2 3 3" xfId="38315"/>
    <cellStyle name="Normal 70 2 2 4" xfId="38316"/>
    <cellStyle name="Normal 70 2 2 4 2" xfId="38317"/>
    <cellStyle name="Normal 70 2 2 5" xfId="38318"/>
    <cellStyle name="Normal 70 2 3" xfId="18880"/>
    <cellStyle name="Normal 70 2 3 2" xfId="38319"/>
    <cellStyle name="Normal 70 2 3 2 2" xfId="38320"/>
    <cellStyle name="Normal 70 2 3 2 2 2" xfId="38321"/>
    <cellStyle name="Normal 70 2 3 2 3" xfId="38322"/>
    <cellStyle name="Normal 70 2 3 3" xfId="38323"/>
    <cellStyle name="Normal 70 2 3 3 2" xfId="38324"/>
    <cellStyle name="Normal 70 2 3 4" xfId="38325"/>
    <cellStyle name="Normal 70 2 4" xfId="38326"/>
    <cellStyle name="Normal 70 2 4 2" xfId="38327"/>
    <cellStyle name="Normal 70 2 4 2 2" xfId="38328"/>
    <cellStyle name="Normal 70 2 4 3" xfId="38329"/>
    <cellStyle name="Normal 70 2 5" xfId="38330"/>
    <cellStyle name="Normal 70 2 5 2" xfId="38331"/>
    <cellStyle name="Normal 70 2 6" xfId="38332"/>
    <cellStyle name="Normal 70 3" xfId="18881"/>
    <cellStyle name="Normal 70 3 2" xfId="18882"/>
    <cellStyle name="Normal 70 3 2 2" xfId="38333"/>
    <cellStyle name="Normal 70 3 2 2 2" xfId="38334"/>
    <cellStyle name="Normal 70 3 2 2 2 2" xfId="38335"/>
    <cellStyle name="Normal 70 3 2 2 3" xfId="38336"/>
    <cellStyle name="Normal 70 3 2 3" xfId="38337"/>
    <cellStyle name="Normal 70 3 2 3 2" xfId="38338"/>
    <cellStyle name="Normal 70 3 2 4" xfId="38339"/>
    <cellStyle name="Normal 70 3 3" xfId="38340"/>
    <cellStyle name="Normal 70 3 3 2" xfId="38341"/>
    <cellStyle name="Normal 70 3 3 2 2" xfId="38342"/>
    <cellStyle name="Normal 70 3 3 3" xfId="38343"/>
    <cellStyle name="Normal 70 3 4" xfId="38344"/>
    <cellStyle name="Normal 70 3 4 2" xfId="38345"/>
    <cellStyle name="Normal 70 3 5" xfId="38346"/>
    <cellStyle name="Normal 70 4" xfId="18883"/>
    <cellStyle name="Normal 70 4 2" xfId="38347"/>
    <cellStyle name="Normal 70 4 2 2" xfId="38348"/>
    <cellStyle name="Normal 70 4 2 2 2" xfId="38349"/>
    <cellStyle name="Normal 70 4 2 3" xfId="38350"/>
    <cellStyle name="Normal 70 4 3" xfId="38351"/>
    <cellStyle name="Normal 70 4 3 2" xfId="38352"/>
    <cellStyle name="Normal 70 4 4" xfId="38353"/>
    <cellStyle name="Normal 70 5" xfId="18884"/>
    <cellStyle name="Normal 70 5 2" xfId="38354"/>
    <cellStyle name="Normal 70 5 2 2" xfId="38355"/>
    <cellStyle name="Normal 70 5 3" xfId="38356"/>
    <cellStyle name="Normal 70 6" xfId="38357"/>
    <cellStyle name="Normal 70 6 2" xfId="38358"/>
    <cellStyle name="Normal 70 7" xfId="38359"/>
    <cellStyle name="Normal 71" xfId="18885"/>
    <cellStyle name="Normal 71 2" xfId="18886"/>
    <cellStyle name="Normal 71 2 2" xfId="18887"/>
    <cellStyle name="Normal 71 2 2 2" xfId="18888"/>
    <cellStyle name="Normal 71 2 2 2 2" xfId="38360"/>
    <cellStyle name="Normal 71 2 2 2 2 2" xfId="38361"/>
    <cellStyle name="Normal 71 2 2 2 2 2 2" xfId="38362"/>
    <cellStyle name="Normal 71 2 2 2 2 3" xfId="38363"/>
    <cellStyle name="Normal 71 2 2 2 3" xfId="38364"/>
    <cellStyle name="Normal 71 2 2 2 3 2" xfId="38365"/>
    <cellStyle name="Normal 71 2 2 2 4" xfId="38366"/>
    <cellStyle name="Normal 71 2 2 3" xfId="38367"/>
    <cellStyle name="Normal 71 2 2 3 2" xfId="38368"/>
    <cellStyle name="Normal 71 2 2 3 2 2" xfId="38369"/>
    <cellStyle name="Normal 71 2 2 3 3" xfId="38370"/>
    <cellStyle name="Normal 71 2 2 4" xfId="38371"/>
    <cellStyle name="Normal 71 2 2 4 2" xfId="38372"/>
    <cellStyle name="Normal 71 2 2 5" xfId="38373"/>
    <cellStyle name="Normal 71 2 3" xfId="18889"/>
    <cellStyle name="Normal 71 2 3 2" xfId="38374"/>
    <cellStyle name="Normal 71 2 3 2 2" xfId="38375"/>
    <cellStyle name="Normal 71 2 3 2 2 2" xfId="38376"/>
    <cellStyle name="Normal 71 2 3 2 3" xfId="38377"/>
    <cellStyle name="Normal 71 2 3 3" xfId="38378"/>
    <cellStyle name="Normal 71 2 3 3 2" xfId="38379"/>
    <cellStyle name="Normal 71 2 3 4" xfId="38380"/>
    <cellStyle name="Normal 71 2 4" xfId="38381"/>
    <cellStyle name="Normal 71 2 4 2" xfId="38382"/>
    <cellStyle name="Normal 71 2 4 2 2" xfId="38383"/>
    <cellStyle name="Normal 71 2 4 3" xfId="38384"/>
    <cellStyle name="Normal 71 2 5" xfId="38385"/>
    <cellStyle name="Normal 71 2 5 2" xfId="38386"/>
    <cellStyle name="Normal 71 2 6" xfId="38387"/>
    <cellStyle name="Normal 71 3" xfId="18890"/>
    <cellStyle name="Normal 71 3 2" xfId="18891"/>
    <cellStyle name="Normal 71 3 2 2" xfId="38388"/>
    <cellStyle name="Normal 71 3 2 2 2" xfId="38389"/>
    <cellStyle name="Normal 71 3 2 2 2 2" xfId="38390"/>
    <cellStyle name="Normal 71 3 2 2 3" xfId="38391"/>
    <cellStyle name="Normal 71 3 2 3" xfId="38392"/>
    <cellStyle name="Normal 71 3 2 3 2" xfId="38393"/>
    <cellStyle name="Normal 71 3 2 4" xfId="38394"/>
    <cellStyle name="Normal 71 3 3" xfId="38395"/>
    <cellStyle name="Normal 71 3 3 2" xfId="38396"/>
    <cellStyle name="Normal 71 3 3 2 2" xfId="38397"/>
    <cellStyle name="Normal 71 3 3 3" xfId="38398"/>
    <cellStyle name="Normal 71 3 4" xfId="38399"/>
    <cellStyle name="Normal 71 3 4 2" xfId="38400"/>
    <cellStyle name="Normal 71 3 5" xfId="38401"/>
    <cellStyle name="Normal 71 4" xfId="18892"/>
    <cellStyle name="Normal 71 4 2" xfId="38402"/>
    <cellStyle name="Normal 71 4 2 2" xfId="38403"/>
    <cellStyle name="Normal 71 4 2 2 2" xfId="38404"/>
    <cellStyle name="Normal 71 4 2 3" xfId="38405"/>
    <cellStyle name="Normal 71 4 3" xfId="38406"/>
    <cellStyle name="Normal 71 4 3 2" xfId="38407"/>
    <cellStyle name="Normal 71 4 4" xfId="38408"/>
    <cellStyle name="Normal 71 5" xfId="19314"/>
    <cellStyle name="Normal 71 5 2" xfId="38409"/>
    <cellStyle name="Normal 71 5 2 2" xfId="38410"/>
    <cellStyle name="Normal 71 5 3" xfId="38411"/>
    <cellStyle name="Normal 71 6" xfId="38412"/>
    <cellStyle name="Normal 71 6 2" xfId="38413"/>
    <cellStyle name="Normal 71 7" xfId="38414"/>
    <cellStyle name="Normal 72" xfId="18893"/>
    <cellStyle name="Normal 72 2" xfId="18894"/>
    <cellStyle name="Normal 72 2 2" xfId="18895"/>
    <cellStyle name="Normal 72 2 2 2" xfId="18896"/>
    <cellStyle name="Normal 72 2 2 2 2" xfId="38415"/>
    <cellStyle name="Normal 72 2 2 2 2 2" xfId="38416"/>
    <cellStyle name="Normal 72 2 2 2 2 2 2" xfId="38417"/>
    <cellStyle name="Normal 72 2 2 2 2 3" xfId="38418"/>
    <cellStyle name="Normal 72 2 2 2 3" xfId="38419"/>
    <cellStyle name="Normal 72 2 2 2 3 2" xfId="38420"/>
    <cellStyle name="Normal 72 2 2 2 4" xfId="38421"/>
    <cellStyle name="Normal 72 2 2 3" xfId="38422"/>
    <cellStyle name="Normal 72 2 2 3 2" xfId="38423"/>
    <cellStyle name="Normal 72 2 2 3 2 2" xfId="38424"/>
    <cellStyle name="Normal 72 2 2 3 3" xfId="38425"/>
    <cellStyle name="Normal 72 2 2 4" xfId="38426"/>
    <cellStyle name="Normal 72 2 2 4 2" xfId="38427"/>
    <cellStyle name="Normal 72 2 2 5" xfId="38428"/>
    <cellStyle name="Normal 72 2 3" xfId="18897"/>
    <cellStyle name="Normal 72 2 3 2" xfId="38429"/>
    <cellStyle name="Normal 72 2 3 2 2" xfId="38430"/>
    <cellStyle name="Normal 72 2 3 2 2 2" xfId="38431"/>
    <cellStyle name="Normal 72 2 3 2 3" xfId="38432"/>
    <cellStyle name="Normal 72 2 3 3" xfId="38433"/>
    <cellStyle name="Normal 72 2 3 3 2" xfId="38434"/>
    <cellStyle name="Normal 72 2 3 4" xfId="38435"/>
    <cellStyle name="Normal 72 2 4" xfId="38436"/>
    <cellStyle name="Normal 72 2 4 2" xfId="38437"/>
    <cellStyle name="Normal 72 2 4 2 2" xfId="38438"/>
    <cellStyle name="Normal 72 2 4 3" xfId="38439"/>
    <cellStyle name="Normal 72 2 5" xfId="38440"/>
    <cellStyle name="Normal 72 2 5 2" xfId="38441"/>
    <cellStyle name="Normal 72 2 6" xfId="38442"/>
    <cellStyle name="Normal 72 3" xfId="18898"/>
    <cellStyle name="Normal 72 3 2" xfId="18899"/>
    <cellStyle name="Normal 72 3 2 2" xfId="38443"/>
    <cellStyle name="Normal 72 3 2 2 2" xfId="38444"/>
    <cellStyle name="Normal 72 3 2 2 2 2" xfId="38445"/>
    <cellStyle name="Normal 72 3 2 2 3" xfId="38446"/>
    <cellStyle name="Normal 72 3 2 3" xfId="38447"/>
    <cellStyle name="Normal 72 3 2 3 2" xfId="38448"/>
    <cellStyle name="Normal 72 3 2 4" xfId="38449"/>
    <cellStyle name="Normal 72 3 3" xfId="38450"/>
    <cellStyle name="Normal 72 3 3 2" xfId="38451"/>
    <cellStyle name="Normal 72 3 3 2 2" xfId="38452"/>
    <cellStyle name="Normal 72 3 3 3" xfId="38453"/>
    <cellStyle name="Normal 72 3 4" xfId="38454"/>
    <cellStyle name="Normal 72 3 4 2" xfId="38455"/>
    <cellStyle name="Normal 72 3 5" xfId="38456"/>
    <cellStyle name="Normal 72 4" xfId="18900"/>
    <cellStyle name="Normal 72 4 2" xfId="38457"/>
    <cellStyle name="Normal 72 4 2 2" xfId="38458"/>
    <cellStyle name="Normal 72 4 2 2 2" xfId="38459"/>
    <cellStyle name="Normal 72 4 2 3" xfId="38460"/>
    <cellStyle name="Normal 72 4 3" xfId="38461"/>
    <cellStyle name="Normal 72 4 3 2" xfId="38462"/>
    <cellStyle name="Normal 72 4 4" xfId="38463"/>
    <cellStyle name="Normal 72 5" xfId="38464"/>
    <cellStyle name="Normal 72 5 2" xfId="38465"/>
    <cellStyle name="Normal 72 5 2 2" xfId="38466"/>
    <cellStyle name="Normal 72 5 3" xfId="38467"/>
    <cellStyle name="Normal 72 6" xfId="38468"/>
    <cellStyle name="Normal 72 6 2" xfId="38469"/>
    <cellStyle name="Normal 72 7" xfId="38470"/>
    <cellStyle name="Normal 73" xfId="18901"/>
    <cellStyle name="Normal 73 2" xfId="18902"/>
    <cellStyle name="Normal 73 2 2" xfId="18903"/>
    <cellStyle name="Normal 73 2 2 2" xfId="18904"/>
    <cellStyle name="Normal 73 2 2 2 2" xfId="38471"/>
    <cellStyle name="Normal 73 2 2 2 2 2" xfId="38472"/>
    <cellStyle name="Normal 73 2 2 2 2 2 2" xfId="38473"/>
    <cellStyle name="Normal 73 2 2 2 2 3" xfId="38474"/>
    <cellStyle name="Normal 73 2 2 2 3" xfId="38475"/>
    <cellStyle name="Normal 73 2 2 2 3 2" xfId="38476"/>
    <cellStyle name="Normal 73 2 2 2 4" xfId="38477"/>
    <cellStyle name="Normal 73 2 2 3" xfId="38478"/>
    <cellStyle name="Normal 73 2 2 3 2" xfId="38479"/>
    <cellStyle name="Normal 73 2 2 3 2 2" xfId="38480"/>
    <cellStyle name="Normal 73 2 2 3 3" xfId="38481"/>
    <cellStyle name="Normal 73 2 2 4" xfId="38482"/>
    <cellStyle name="Normal 73 2 2 4 2" xfId="38483"/>
    <cellStyle name="Normal 73 2 2 5" xfId="38484"/>
    <cellStyle name="Normal 73 2 3" xfId="18905"/>
    <cellStyle name="Normal 73 2 3 2" xfId="38485"/>
    <cellStyle name="Normal 73 2 3 2 2" xfId="38486"/>
    <cellStyle name="Normal 73 2 3 2 2 2" xfId="38487"/>
    <cellStyle name="Normal 73 2 3 2 3" xfId="38488"/>
    <cellStyle name="Normal 73 2 3 3" xfId="38489"/>
    <cellStyle name="Normal 73 2 3 3 2" xfId="38490"/>
    <cellStyle name="Normal 73 2 3 4" xfId="38491"/>
    <cellStyle name="Normal 73 2 4" xfId="38492"/>
    <cellStyle name="Normal 73 2 4 2" xfId="38493"/>
    <cellStyle name="Normal 73 2 4 2 2" xfId="38494"/>
    <cellStyle name="Normal 73 2 4 3" xfId="38495"/>
    <cellStyle name="Normal 73 2 5" xfId="38496"/>
    <cellStyle name="Normal 73 2 5 2" xfId="38497"/>
    <cellStyle name="Normal 73 2 6" xfId="38498"/>
    <cellStyle name="Normal 73 3" xfId="18906"/>
    <cellStyle name="Normal 73 3 2" xfId="18907"/>
    <cellStyle name="Normal 73 3 2 2" xfId="38499"/>
    <cellStyle name="Normal 73 3 2 2 2" xfId="38500"/>
    <cellStyle name="Normal 73 3 2 2 2 2" xfId="38501"/>
    <cellStyle name="Normal 73 3 2 2 3" xfId="38502"/>
    <cellStyle name="Normal 73 3 2 3" xfId="38503"/>
    <cellStyle name="Normal 73 3 2 3 2" xfId="38504"/>
    <cellStyle name="Normal 73 3 2 4" xfId="38505"/>
    <cellStyle name="Normal 73 3 3" xfId="38506"/>
    <cellStyle name="Normal 73 3 3 2" xfId="38507"/>
    <cellStyle name="Normal 73 3 3 2 2" xfId="38508"/>
    <cellStyle name="Normal 73 3 3 3" xfId="38509"/>
    <cellStyle name="Normal 73 3 4" xfId="38510"/>
    <cellStyle name="Normal 73 3 4 2" xfId="38511"/>
    <cellStyle name="Normal 73 3 5" xfId="38512"/>
    <cellStyle name="Normal 73 4" xfId="18908"/>
    <cellStyle name="Normal 73 4 2" xfId="38513"/>
    <cellStyle name="Normal 73 4 2 2" xfId="38514"/>
    <cellStyle name="Normal 73 4 2 2 2" xfId="38515"/>
    <cellStyle name="Normal 73 4 2 3" xfId="38516"/>
    <cellStyle name="Normal 73 4 3" xfId="38517"/>
    <cellStyle name="Normal 73 4 3 2" xfId="38518"/>
    <cellStyle name="Normal 73 4 4" xfId="38519"/>
    <cellStyle name="Normal 73 5" xfId="38520"/>
    <cellStyle name="Normal 73 5 2" xfId="38521"/>
    <cellStyle name="Normal 73 5 2 2" xfId="38522"/>
    <cellStyle name="Normal 73 5 3" xfId="38523"/>
    <cellStyle name="Normal 73 6" xfId="38524"/>
    <cellStyle name="Normal 73 6 2" xfId="38525"/>
    <cellStyle name="Normal 73 7" xfId="38526"/>
    <cellStyle name="Normal 74" xfId="18909"/>
    <cellStyle name="Normal 74 2" xfId="18910"/>
    <cellStyle name="Normal 74 2 2" xfId="18911"/>
    <cellStyle name="Normal 74 2 2 2" xfId="18912"/>
    <cellStyle name="Normal 74 2 2 2 2" xfId="38527"/>
    <cellStyle name="Normal 74 2 2 2 2 2" xfId="38528"/>
    <cellStyle name="Normal 74 2 2 2 2 2 2" xfId="38529"/>
    <cellStyle name="Normal 74 2 2 2 2 3" xfId="38530"/>
    <cellStyle name="Normal 74 2 2 2 3" xfId="38531"/>
    <cellStyle name="Normal 74 2 2 2 3 2" xfId="38532"/>
    <cellStyle name="Normal 74 2 2 2 4" xfId="38533"/>
    <cellStyle name="Normal 74 2 2 3" xfId="38534"/>
    <cellStyle name="Normal 74 2 2 3 2" xfId="38535"/>
    <cellStyle name="Normal 74 2 2 3 2 2" xfId="38536"/>
    <cellStyle name="Normal 74 2 2 3 3" xfId="38537"/>
    <cellStyle name="Normal 74 2 2 4" xfId="38538"/>
    <cellStyle name="Normal 74 2 2 4 2" xfId="38539"/>
    <cellStyle name="Normal 74 2 2 5" xfId="38540"/>
    <cellStyle name="Normal 74 2 3" xfId="18913"/>
    <cellStyle name="Normal 74 2 3 2" xfId="38541"/>
    <cellStyle name="Normal 74 2 3 2 2" xfId="38542"/>
    <cellStyle name="Normal 74 2 3 2 2 2" xfId="38543"/>
    <cellStyle name="Normal 74 2 3 2 3" xfId="38544"/>
    <cellStyle name="Normal 74 2 3 3" xfId="38545"/>
    <cellStyle name="Normal 74 2 3 3 2" xfId="38546"/>
    <cellStyle name="Normal 74 2 3 4" xfId="38547"/>
    <cellStyle name="Normal 74 2 4" xfId="38548"/>
    <cellStyle name="Normal 74 2 4 2" xfId="38549"/>
    <cellStyle name="Normal 74 2 4 2 2" xfId="38550"/>
    <cellStyle name="Normal 74 2 4 3" xfId="38551"/>
    <cellStyle name="Normal 74 2 5" xfId="38552"/>
    <cellStyle name="Normal 74 2 5 2" xfId="38553"/>
    <cellStyle name="Normal 74 2 6" xfId="38554"/>
    <cellStyle name="Normal 74 3" xfId="18914"/>
    <cellStyle name="Normal 74 3 2" xfId="18915"/>
    <cellStyle name="Normal 74 3 2 2" xfId="38555"/>
    <cellStyle name="Normal 74 3 2 2 2" xfId="38556"/>
    <cellStyle name="Normal 74 3 2 2 2 2" xfId="38557"/>
    <cellStyle name="Normal 74 3 2 2 3" xfId="38558"/>
    <cellStyle name="Normal 74 3 2 3" xfId="38559"/>
    <cellStyle name="Normal 74 3 2 3 2" xfId="38560"/>
    <cellStyle name="Normal 74 3 2 4" xfId="38561"/>
    <cellStyle name="Normal 74 3 3" xfId="38562"/>
    <cellStyle name="Normal 74 3 3 2" xfId="38563"/>
    <cellStyle name="Normal 74 3 3 2 2" xfId="38564"/>
    <cellStyle name="Normal 74 3 3 3" xfId="38565"/>
    <cellStyle name="Normal 74 3 4" xfId="38566"/>
    <cellStyle name="Normal 74 3 4 2" xfId="38567"/>
    <cellStyle name="Normal 74 3 5" xfId="38568"/>
    <cellStyle name="Normal 74 4" xfId="18916"/>
    <cellStyle name="Normal 74 4 2" xfId="38569"/>
    <cellStyle name="Normal 74 4 2 2" xfId="38570"/>
    <cellStyle name="Normal 74 4 2 2 2" xfId="38571"/>
    <cellStyle name="Normal 74 4 2 3" xfId="38572"/>
    <cellStyle name="Normal 74 4 3" xfId="38573"/>
    <cellStyle name="Normal 74 4 3 2" xfId="38574"/>
    <cellStyle name="Normal 74 4 4" xfId="38575"/>
    <cellStyle name="Normal 74 5" xfId="38576"/>
    <cellStyle name="Normal 74 5 2" xfId="38577"/>
    <cellStyle name="Normal 74 5 2 2" xfId="38578"/>
    <cellStyle name="Normal 74 5 3" xfId="38579"/>
    <cellStyle name="Normal 74 6" xfId="38580"/>
    <cellStyle name="Normal 74 6 2" xfId="38581"/>
    <cellStyle name="Normal 74 7" xfId="38582"/>
    <cellStyle name="Normal 75" xfId="18917"/>
    <cellStyle name="Normal 75 2" xfId="18918"/>
    <cellStyle name="Normal 76" xfId="18919"/>
    <cellStyle name="Normal 77" xfId="18920"/>
    <cellStyle name="Normal 77 2" xfId="18921"/>
    <cellStyle name="Normal 77 2 2" xfId="18922"/>
    <cellStyle name="Normal 77 2 2 2" xfId="38583"/>
    <cellStyle name="Normal 77 2 2 2 2" xfId="38584"/>
    <cellStyle name="Normal 77 2 2 2 2 2" xfId="38585"/>
    <cellStyle name="Normal 77 2 2 2 3" xfId="38586"/>
    <cellStyle name="Normal 77 2 2 3" xfId="38587"/>
    <cellStyle name="Normal 77 2 2 3 2" xfId="38588"/>
    <cellStyle name="Normal 77 2 2 4" xfId="38589"/>
    <cellStyle name="Normal 77 2 3" xfId="38590"/>
    <cellStyle name="Normal 77 2 3 2" xfId="38591"/>
    <cellStyle name="Normal 77 2 3 2 2" xfId="38592"/>
    <cellStyle name="Normal 77 2 3 3" xfId="38593"/>
    <cellStyle name="Normal 77 2 4" xfId="38594"/>
    <cellStyle name="Normal 77 2 4 2" xfId="38595"/>
    <cellStyle name="Normal 77 2 5" xfId="38596"/>
    <cellStyle name="Normal 77 3" xfId="18923"/>
    <cellStyle name="Normal 77 3 2" xfId="38597"/>
    <cellStyle name="Normal 77 3 2 2" xfId="38598"/>
    <cellStyle name="Normal 77 3 2 2 2" xfId="38599"/>
    <cellStyle name="Normal 77 3 2 3" xfId="38600"/>
    <cellStyle name="Normal 77 3 3" xfId="38601"/>
    <cellStyle name="Normal 77 3 3 2" xfId="38602"/>
    <cellStyle name="Normal 77 3 4" xfId="38603"/>
    <cellStyle name="Normal 77 4" xfId="38604"/>
    <cellStyle name="Normal 77 4 2" xfId="38605"/>
    <cellStyle name="Normal 77 4 2 2" xfId="38606"/>
    <cellStyle name="Normal 77 4 3" xfId="38607"/>
    <cellStyle name="Normal 77 5" xfId="38608"/>
    <cellStyle name="Normal 77 5 2" xfId="38609"/>
    <cellStyle name="Normal 77 6" xfId="38610"/>
    <cellStyle name="Normal 78" xfId="18924"/>
    <cellStyle name="Normal 78 2" xfId="18925"/>
    <cellStyle name="Normal 78 2 2" xfId="18926"/>
    <cellStyle name="Normal 78 2 2 2" xfId="38611"/>
    <cellStyle name="Normal 78 2 2 2 2" xfId="38612"/>
    <cellStyle name="Normal 78 2 2 2 2 2" xfId="38613"/>
    <cellStyle name="Normal 78 2 2 2 3" xfId="38614"/>
    <cellStyle name="Normal 78 2 2 3" xfId="38615"/>
    <cellStyle name="Normal 78 2 2 3 2" xfId="38616"/>
    <cellStyle name="Normal 78 2 2 4" xfId="38617"/>
    <cellStyle name="Normal 78 2 3" xfId="38618"/>
    <cellStyle name="Normal 78 2 3 2" xfId="38619"/>
    <cellStyle name="Normal 78 2 3 2 2" xfId="38620"/>
    <cellStyle name="Normal 78 2 3 3" xfId="38621"/>
    <cellStyle name="Normal 78 2 4" xfId="38622"/>
    <cellStyle name="Normal 78 2 4 2" xfId="38623"/>
    <cellStyle name="Normal 78 2 5" xfId="38624"/>
    <cellStyle name="Normal 78 3" xfId="18927"/>
    <cellStyle name="Normal 78 3 2" xfId="38625"/>
    <cellStyle name="Normal 78 3 2 2" xfId="38626"/>
    <cellStyle name="Normal 78 3 2 2 2" xfId="38627"/>
    <cellStyle name="Normal 78 3 2 3" xfId="38628"/>
    <cellStyle name="Normal 78 3 3" xfId="38629"/>
    <cellStyle name="Normal 78 3 3 2" xfId="38630"/>
    <cellStyle name="Normal 78 3 4" xfId="38631"/>
    <cellStyle name="Normal 78 4" xfId="38632"/>
    <cellStyle name="Normal 78 4 2" xfId="38633"/>
    <cellStyle name="Normal 78 4 2 2" xfId="38634"/>
    <cellStyle name="Normal 78 4 3" xfId="38635"/>
    <cellStyle name="Normal 78 5" xfId="38636"/>
    <cellStyle name="Normal 78 5 2" xfId="38637"/>
    <cellStyle name="Normal 78 6" xfId="38638"/>
    <cellStyle name="Normal 79" xfId="18928"/>
    <cellStyle name="Normal 8" xfId="76"/>
    <cellStyle name="Normal 8 10" xfId="18929"/>
    <cellStyle name="Normal 8 11" xfId="38639"/>
    <cellStyle name="Normal 8 12" xfId="38640"/>
    <cellStyle name="Normal 8 13" xfId="38641"/>
    <cellStyle name="Normal 8 13 2" xfId="38642"/>
    <cellStyle name="Normal 8 13 2 2" xfId="38643"/>
    <cellStyle name="Normal 8 13 3" xfId="38644"/>
    <cellStyle name="Normal 8 14" xfId="38645"/>
    <cellStyle name="Normal 8 14 2" xfId="38646"/>
    <cellStyle name="Normal 8 15" xfId="38647"/>
    <cellStyle name="Normal 8 2" xfId="77"/>
    <cellStyle name="Normal 8 2 10" xfId="38648"/>
    <cellStyle name="Normal 8 2 11" xfId="38649"/>
    <cellStyle name="Normal 8 2 2" xfId="10123"/>
    <cellStyle name="Normal 8 2 2 2" xfId="18930"/>
    <cellStyle name="Normal 8 2 2 2 2" xfId="18931"/>
    <cellStyle name="Normal 8 2 2 2 2 2" xfId="18932"/>
    <cellStyle name="Normal 8 2 2 2 2 2 2" xfId="38650"/>
    <cellStyle name="Normal 8 2 2 2 2 2 2 2" xfId="38651"/>
    <cellStyle name="Normal 8 2 2 2 2 2 2 2 2" xfId="38652"/>
    <cellStyle name="Normal 8 2 2 2 2 2 2 3" xfId="38653"/>
    <cellStyle name="Normal 8 2 2 2 2 2 3" xfId="38654"/>
    <cellStyle name="Normal 8 2 2 2 2 2 3 2" xfId="38655"/>
    <cellStyle name="Normal 8 2 2 2 2 2 4" xfId="38656"/>
    <cellStyle name="Normal 8 2 2 2 2 3" xfId="38657"/>
    <cellStyle name="Normal 8 2 2 2 2 3 2" xfId="38658"/>
    <cellStyle name="Normal 8 2 2 2 2 3 2 2" xfId="38659"/>
    <cellStyle name="Normal 8 2 2 2 2 3 3" xfId="38660"/>
    <cellStyle name="Normal 8 2 2 2 2 4" xfId="38661"/>
    <cellStyle name="Normal 8 2 2 2 2 4 2" xfId="38662"/>
    <cellStyle name="Normal 8 2 2 2 2 5" xfId="38663"/>
    <cellStyle name="Normal 8 2 2 2 3" xfId="18933"/>
    <cellStyle name="Normal 8 2 2 2 3 2" xfId="38664"/>
    <cellStyle name="Normal 8 2 2 2 3 2 2" xfId="38665"/>
    <cellStyle name="Normal 8 2 2 2 3 2 2 2" xfId="38666"/>
    <cellStyle name="Normal 8 2 2 2 3 2 3" xfId="38667"/>
    <cellStyle name="Normal 8 2 2 2 3 3" xfId="38668"/>
    <cellStyle name="Normal 8 2 2 2 3 3 2" xfId="38669"/>
    <cellStyle name="Normal 8 2 2 2 3 4" xfId="38670"/>
    <cellStyle name="Normal 8 2 2 2 4" xfId="38671"/>
    <cellStyle name="Normal 8 2 2 2 4 2" xfId="38672"/>
    <cellStyle name="Normal 8 2 2 2 4 2 2" xfId="38673"/>
    <cellStyle name="Normal 8 2 2 2 4 3" xfId="38674"/>
    <cellStyle name="Normal 8 2 2 2 5" xfId="38675"/>
    <cellStyle name="Normal 8 2 2 2 5 2" xfId="38676"/>
    <cellStyle name="Normal 8 2 2 2 6" xfId="38677"/>
    <cellStyle name="Normal 8 2 2 3" xfId="18934"/>
    <cellStyle name="Normal 8 2 2 3 2" xfId="18935"/>
    <cellStyle name="Normal 8 2 2 3 2 2" xfId="38678"/>
    <cellStyle name="Normal 8 2 2 3 2 2 2" xfId="38679"/>
    <cellStyle name="Normal 8 2 2 3 2 2 2 2" xfId="38680"/>
    <cellStyle name="Normal 8 2 2 3 2 2 3" xfId="38681"/>
    <cellStyle name="Normal 8 2 2 3 2 3" xfId="38682"/>
    <cellStyle name="Normal 8 2 2 3 2 3 2" xfId="38683"/>
    <cellStyle name="Normal 8 2 2 3 2 4" xfId="38684"/>
    <cellStyle name="Normal 8 2 2 3 3" xfId="38685"/>
    <cellStyle name="Normal 8 2 2 3 3 2" xfId="38686"/>
    <cellStyle name="Normal 8 2 2 3 3 2 2" xfId="38687"/>
    <cellStyle name="Normal 8 2 2 3 3 3" xfId="38688"/>
    <cellStyle name="Normal 8 2 2 3 4" xfId="38689"/>
    <cellStyle name="Normal 8 2 2 3 4 2" xfId="38690"/>
    <cellStyle name="Normal 8 2 2 3 5" xfId="38691"/>
    <cellStyle name="Normal 8 2 2 4" xfId="18936"/>
    <cellStyle name="Normal 8 2 2 4 2" xfId="38692"/>
    <cellStyle name="Normal 8 2 2 4 2 2" xfId="38693"/>
    <cellStyle name="Normal 8 2 2 4 2 2 2" xfId="38694"/>
    <cellStyle name="Normal 8 2 2 4 2 3" xfId="38695"/>
    <cellStyle name="Normal 8 2 2 4 3" xfId="38696"/>
    <cellStyle name="Normal 8 2 2 4 3 2" xfId="38697"/>
    <cellStyle name="Normal 8 2 2 4 4" xfId="38698"/>
    <cellStyle name="Normal 8 2 2 5" xfId="38699"/>
    <cellStyle name="Normal 8 2 2 5 2" xfId="38700"/>
    <cellStyle name="Normal 8 2 2 5 2 2" xfId="38701"/>
    <cellStyle name="Normal 8 2 2 5 3" xfId="38702"/>
    <cellStyle name="Normal 8 2 2 6" xfId="38703"/>
    <cellStyle name="Normal 8 2 2 6 2" xfId="38704"/>
    <cellStyle name="Normal 8 2 2 7" xfId="38705"/>
    <cellStyle name="Normal 8 2 2 8" xfId="38706"/>
    <cellStyle name="Normal 8 2 3" xfId="18937"/>
    <cellStyle name="Normal 8 2 3 2" xfId="18938"/>
    <cellStyle name="Normal 8 2 3 2 2" xfId="18939"/>
    <cellStyle name="Normal 8 2 3 2 2 2" xfId="38707"/>
    <cellStyle name="Normal 8 2 3 2 2 2 2" xfId="38708"/>
    <cellStyle name="Normal 8 2 3 2 2 2 2 2" xfId="38709"/>
    <cellStyle name="Normal 8 2 3 2 2 2 3" xfId="38710"/>
    <cellStyle name="Normal 8 2 3 2 2 3" xfId="38711"/>
    <cellStyle name="Normal 8 2 3 2 2 3 2" xfId="38712"/>
    <cellStyle name="Normal 8 2 3 2 2 4" xfId="38713"/>
    <cellStyle name="Normal 8 2 3 2 3" xfId="38714"/>
    <cellStyle name="Normal 8 2 3 2 3 2" xfId="38715"/>
    <cellStyle name="Normal 8 2 3 2 3 2 2" xfId="38716"/>
    <cellStyle name="Normal 8 2 3 2 3 3" xfId="38717"/>
    <cellStyle name="Normal 8 2 3 2 4" xfId="38718"/>
    <cellStyle name="Normal 8 2 3 2 4 2" xfId="38719"/>
    <cellStyle name="Normal 8 2 3 2 5" xfId="38720"/>
    <cellStyle name="Normal 8 2 3 3" xfId="18940"/>
    <cellStyle name="Normal 8 2 3 3 2" xfId="38721"/>
    <cellStyle name="Normal 8 2 3 3 2 2" xfId="38722"/>
    <cellStyle name="Normal 8 2 3 3 2 2 2" xfId="38723"/>
    <cellStyle name="Normal 8 2 3 3 2 3" xfId="38724"/>
    <cellStyle name="Normal 8 2 3 3 3" xfId="38725"/>
    <cellStyle name="Normal 8 2 3 3 3 2" xfId="38726"/>
    <cellStyle name="Normal 8 2 3 3 4" xfId="38727"/>
    <cellStyle name="Normal 8 2 3 4" xfId="38728"/>
    <cellStyle name="Normal 8 2 3 4 2" xfId="38729"/>
    <cellStyle name="Normal 8 2 3 4 2 2" xfId="38730"/>
    <cellStyle name="Normal 8 2 3 4 3" xfId="38731"/>
    <cellStyle name="Normal 8 2 3 5" xfId="38732"/>
    <cellStyle name="Normal 8 2 3 5 2" xfId="38733"/>
    <cellStyle name="Normal 8 2 3 6" xfId="38734"/>
    <cellStyle name="Normal 8 2 4" xfId="18941"/>
    <cellStyle name="Normal 8 2 4 2" xfId="18942"/>
    <cellStyle name="Normal 8 2 4 2 2" xfId="38735"/>
    <cellStyle name="Normal 8 2 4 2 2 2" xfId="38736"/>
    <cellStyle name="Normal 8 2 4 2 2 2 2" xfId="38737"/>
    <cellStyle name="Normal 8 2 4 2 2 3" xfId="38738"/>
    <cellStyle name="Normal 8 2 4 2 3" xfId="38739"/>
    <cellStyle name="Normal 8 2 4 2 3 2" xfId="38740"/>
    <cellStyle name="Normal 8 2 4 2 4" xfId="38741"/>
    <cellStyle name="Normal 8 2 4 3" xfId="38742"/>
    <cellStyle name="Normal 8 2 4 3 2" xfId="38743"/>
    <cellStyle name="Normal 8 2 4 3 2 2" xfId="38744"/>
    <cellStyle name="Normal 8 2 4 3 3" xfId="38745"/>
    <cellStyle name="Normal 8 2 4 4" xfId="38746"/>
    <cellStyle name="Normal 8 2 4 4 2" xfId="38747"/>
    <cellStyle name="Normal 8 2 4 5" xfId="38748"/>
    <cellStyle name="Normal 8 2 5" xfId="18943"/>
    <cellStyle name="Normal 8 2 5 2" xfId="38749"/>
    <cellStyle name="Normal 8 2 5 2 2" xfId="38750"/>
    <cellStyle name="Normal 8 2 5 2 2 2" xfId="38751"/>
    <cellStyle name="Normal 8 2 5 2 3" xfId="38752"/>
    <cellStyle name="Normal 8 2 5 3" xfId="38753"/>
    <cellStyle name="Normal 8 2 5 3 2" xfId="38754"/>
    <cellStyle name="Normal 8 2 5 4" xfId="38755"/>
    <cellStyle name="Normal 8 2 6" xfId="18944"/>
    <cellStyle name="Normal 8 2 7" xfId="38756"/>
    <cellStyle name="Normal 8 2 8" xfId="38757"/>
    <cellStyle name="Normal 8 2 8 2" xfId="38758"/>
    <cellStyle name="Normal 8 2 8 2 2" xfId="38759"/>
    <cellStyle name="Normal 8 2 8 3" xfId="38760"/>
    <cellStyle name="Normal 8 2 9" xfId="38761"/>
    <cellStyle name="Normal 8 2 9 2" xfId="38762"/>
    <cellStyle name="Normal 8 3" xfId="10124"/>
    <cellStyle name="Normal 8 3 2" xfId="18945"/>
    <cellStyle name="Normal 8 3 2 2" xfId="18946"/>
    <cellStyle name="Normal 8 3 2 2 2" xfId="18947"/>
    <cellStyle name="Normal 8 3 2 2 2 2" xfId="18948"/>
    <cellStyle name="Normal 8 3 2 2 2 2 2" xfId="38763"/>
    <cellStyle name="Normal 8 3 2 2 2 2 2 2" xfId="38764"/>
    <cellStyle name="Normal 8 3 2 2 2 2 2 2 2" xfId="38765"/>
    <cellStyle name="Normal 8 3 2 2 2 2 2 3" xfId="38766"/>
    <cellStyle name="Normal 8 3 2 2 2 2 3" xfId="38767"/>
    <cellStyle name="Normal 8 3 2 2 2 2 3 2" xfId="38768"/>
    <cellStyle name="Normal 8 3 2 2 2 2 4" xfId="38769"/>
    <cellStyle name="Normal 8 3 2 2 2 3" xfId="38770"/>
    <cellStyle name="Normal 8 3 2 2 2 3 2" xfId="38771"/>
    <cellStyle name="Normal 8 3 2 2 2 3 2 2" xfId="38772"/>
    <cellStyle name="Normal 8 3 2 2 2 3 3" xfId="38773"/>
    <cellStyle name="Normal 8 3 2 2 2 4" xfId="38774"/>
    <cellStyle name="Normal 8 3 2 2 2 4 2" xfId="38775"/>
    <cellStyle name="Normal 8 3 2 2 2 5" xfId="38776"/>
    <cellStyle name="Normal 8 3 2 2 3" xfId="18949"/>
    <cellStyle name="Normal 8 3 2 2 3 2" xfId="38777"/>
    <cellStyle name="Normal 8 3 2 2 3 2 2" xfId="38778"/>
    <cellStyle name="Normal 8 3 2 2 3 2 2 2" xfId="38779"/>
    <cellStyle name="Normal 8 3 2 2 3 2 3" xfId="38780"/>
    <cellStyle name="Normal 8 3 2 2 3 3" xfId="38781"/>
    <cellStyle name="Normal 8 3 2 2 3 3 2" xfId="38782"/>
    <cellStyle name="Normal 8 3 2 2 3 4" xfId="38783"/>
    <cellStyle name="Normal 8 3 2 2 4" xfId="38784"/>
    <cellStyle name="Normal 8 3 2 2 4 2" xfId="38785"/>
    <cellStyle name="Normal 8 3 2 2 4 2 2" xfId="38786"/>
    <cellStyle name="Normal 8 3 2 2 4 3" xfId="38787"/>
    <cellStyle name="Normal 8 3 2 2 5" xfId="38788"/>
    <cellStyle name="Normal 8 3 2 2 5 2" xfId="38789"/>
    <cellStyle name="Normal 8 3 2 2 6" xfId="38790"/>
    <cellStyle name="Normal 8 3 2 3" xfId="18950"/>
    <cellStyle name="Normal 8 3 2 3 2" xfId="18951"/>
    <cellStyle name="Normal 8 3 2 3 2 2" xfId="38791"/>
    <cellStyle name="Normal 8 3 2 3 2 2 2" xfId="38792"/>
    <cellStyle name="Normal 8 3 2 3 2 2 2 2" xfId="38793"/>
    <cellStyle name="Normal 8 3 2 3 2 2 3" xfId="38794"/>
    <cellStyle name="Normal 8 3 2 3 2 3" xfId="38795"/>
    <cellStyle name="Normal 8 3 2 3 2 3 2" xfId="38796"/>
    <cellStyle name="Normal 8 3 2 3 2 4" xfId="38797"/>
    <cellStyle name="Normal 8 3 2 3 3" xfId="38798"/>
    <cellStyle name="Normal 8 3 2 3 3 2" xfId="38799"/>
    <cellStyle name="Normal 8 3 2 3 3 2 2" xfId="38800"/>
    <cellStyle name="Normal 8 3 2 3 3 3" xfId="38801"/>
    <cellStyle name="Normal 8 3 2 3 4" xfId="38802"/>
    <cellStyle name="Normal 8 3 2 3 4 2" xfId="38803"/>
    <cellStyle name="Normal 8 3 2 3 5" xfId="38804"/>
    <cellStyle name="Normal 8 3 2 4" xfId="18952"/>
    <cellStyle name="Normal 8 3 2 4 2" xfId="38805"/>
    <cellStyle name="Normal 8 3 2 4 2 2" xfId="38806"/>
    <cellStyle name="Normal 8 3 2 4 2 2 2" xfId="38807"/>
    <cellStyle name="Normal 8 3 2 4 2 3" xfId="38808"/>
    <cellStyle name="Normal 8 3 2 4 3" xfId="38809"/>
    <cellStyle name="Normal 8 3 2 4 3 2" xfId="38810"/>
    <cellStyle name="Normal 8 3 2 4 4" xfId="38811"/>
    <cellStyle name="Normal 8 3 2 5" xfId="38812"/>
    <cellStyle name="Normal 8 3 2 5 2" xfId="38813"/>
    <cellStyle name="Normal 8 3 2 5 2 2" xfId="38814"/>
    <cellStyle name="Normal 8 3 2 5 3" xfId="38815"/>
    <cellStyle name="Normal 8 3 2 6" xfId="38816"/>
    <cellStyle name="Normal 8 3 2 6 2" xfId="38817"/>
    <cellStyle name="Normal 8 3 2 7" xfId="38818"/>
    <cellStyle name="Normal 8 3 3" xfId="18953"/>
    <cellStyle name="Normal 8 3 3 2" xfId="18954"/>
    <cellStyle name="Normal 8 3 3 2 2" xfId="18955"/>
    <cellStyle name="Normal 8 3 3 2 2 2" xfId="38819"/>
    <cellStyle name="Normal 8 3 3 2 2 2 2" xfId="38820"/>
    <cellStyle name="Normal 8 3 3 2 2 2 2 2" xfId="38821"/>
    <cellStyle name="Normal 8 3 3 2 2 2 3" xfId="38822"/>
    <cellStyle name="Normal 8 3 3 2 2 3" xfId="38823"/>
    <cellStyle name="Normal 8 3 3 2 2 3 2" xfId="38824"/>
    <cellStyle name="Normal 8 3 3 2 2 4" xfId="38825"/>
    <cellStyle name="Normal 8 3 3 2 3" xfId="38826"/>
    <cellStyle name="Normal 8 3 3 2 3 2" xfId="38827"/>
    <cellStyle name="Normal 8 3 3 2 3 2 2" xfId="38828"/>
    <cellStyle name="Normal 8 3 3 2 3 3" xfId="38829"/>
    <cellStyle name="Normal 8 3 3 2 4" xfId="38830"/>
    <cellStyle name="Normal 8 3 3 2 4 2" xfId="38831"/>
    <cellStyle name="Normal 8 3 3 2 5" xfId="38832"/>
    <cellStyle name="Normal 8 3 3 3" xfId="18956"/>
    <cellStyle name="Normal 8 3 3 3 2" xfId="38833"/>
    <cellStyle name="Normal 8 3 3 3 2 2" xfId="38834"/>
    <cellStyle name="Normal 8 3 3 3 2 2 2" xfId="38835"/>
    <cellStyle name="Normal 8 3 3 3 2 3" xfId="38836"/>
    <cellStyle name="Normal 8 3 3 3 3" xfId="38837"/>
    <cellStyle name="Normal 8 3 3 3 3 2" xfId="38838"/>
    <cellStyle name="Normal 8 3 3 3 4" xfId="38839"/>
    <cellStyle name="Normal 8 3 3 4" xfId="38840"/>
    <cellStyle name="Normal 8 3 3 4 2" xfId="38841"/>
    <cellStyle name="Normal 8 3 3 4 2 2" xfId="38842"/>
    <cellStyle name="Normal 8 3 3 4 3" xfId="38843"/>
    <cellStyle name="Normal 8 3 3 5" xfId="38844"/>
    <cellStyle name="Normal 8 3 3 5 2" xfId="38845"/>
    <cellStyle name="Normal 8 3 3 6" xfId="38846"/>
    <cellStyle name="Normal 8 3 4" xfId="18957"/>
    <cellStyle name="Normal 8 3 4 2" xfId="18958"/>
    <cellStyle name="Normal 8 3 4 2 2" xfId="38847"/>
    <cellStyle name="Normal 8 3 4 2 2 2" xfId="38848"/>
    <cellStyle name="Normal 8 3 4 2 2 2 2" xfId="38849"/>
    <cellStyle name="Normal 8 3 4 2 2 3" xfId="38850"/>
    <cellStyle name="Normal 8 3 4 2 3" xfId="38851"/>
    <cellStyle name="Normal 8 3 4 2 3 2" xfId="38852"/>
    <cellStyle name="Normal 8 3 4 2 4" xfId="38853"/>
    <cellStyle name="Normal 8 3 4 3" xfId="38854"/>
    <cellStyle name="Normal 8 3 4 3 2" xfId="38855"/>
    <cellStyle name="Normal 8 3 4 3 2 2" xfId="38856"/>
    <cellStyle name="Normal 8 3 4 3 3" xfId="38857"/>
    <cellStyle name="Normal 8 3 4 4" xfId="38858"/>
    <cellStyle name="Normal 8 3 4 4 2" xfId="38859"/>
    <cellStyle name="Normal 8 3 4 5" xfId="38860"/>
    <cellStyle name="Normal 8 3 5" xfId="18959"/>
    <cellStyle name="Normal 8 3 5 2" xfId="38861"/>
    <cellStyle name="Normal 8 3 5 2 2" xfId="38862"/>
    <cellStyle name="Normal 8 3 5 2 2 2" xfId="38863"/>
    <cellStyle name="Normal 8 3 5 2 3" xfId="38864"/>
    <cellStyle name="Normal 8 3 5 3" xfId="38865"/>
    <cellStyle name="Normal 8 3 5 3 2" xfId="38866"/>
    <cellStyle name="Normal 8 3 5 4" xfId="38867"/>
    <cellStyle name="Normal 8 3 6" xfId="38868"/>
    <cellStyle name="Normal 8 3 6 2" xfId="38869"/>
    <cellStyle name="Normal 8 3 6 2 2" xfId="38870"/>
    <cellStyle name="Normal 8 3 6 3" xfId="38871"/>
    <cellStyle name="Normal 8 3 7" xfId="38872"/>
    <cellStyle name="Normal 8 3 7 2" xfId="38873"/>
    <cellStyle name="Normal 8 3 8" xfId="38874"/>
    <cellStyle name="Normal 8 4" xfId="10125"/>
    <cellStyle name="Normal 8 4 2" xfId="18960"/>
    <cellStyle name="Normal 8 4 2 2" xfId="18961"/>
    <cellStyle name="Normal 8 4 2 2 2" xfId="18962"/>
    <cellStyle name="Normal 8 4 2 2 2 2" xfId="38875"/>
    <cellStyle name="Normal 8 4 2 2 2 2 2" xfId="38876"/>
    <cellStyle name="Normal 8 4 2 2 2 2 2 2" xfId="38877"/>
    <cellStyle name="Normal 8 4 2 2 2 2 3" xfId="38878"/>
    <cellStyle name="Normal 8 4 2 2 2 3" xfId="38879"/>
    <cellStyle name="Normal 8 4 2 2 2 3 2" xfId="38880"/>
    <cellStyle name="Normal 8 4 2 2 2 4" xfId="38881"/>
    <cellStyle name="Normal 8 4 2 2 3" xfId="38882"/>
    <cellStyle name="Normal 8 4 2 2 3 2" xfId="38883"/>
    <cellStyle name="Normal 8 4 2 2 3 2 2" xfId="38884"/>
    <cellStyle name="Normal 8 4 2 2 3 3" xfId="38885"/>
    <cellStyle name="Normal 8 4 2 2 4" xfId="38886"/>
    <cellStyle name="Normal 8 4 2 2 4 2" xfId="38887"/>
    <cellStyle name="Normal 8 4 2 2 5" xfId="38888"/>
    <cellStyle name="Normal 8 4 2 3" xfId="18963"/>
    <cellStyle name="Normal 8 4 2 3 2" xfId="38889"/>
    <cellStyle name="Normal 8 4 2 3 2 2" xfId="38890"/>
    <cellStyle name="Normal 8 4 2 3 2 2 2" xfId="38891"/>
    <cellStyle name="Normal 8 4 2 3 2 3" xfId="38892"/>
    <cellStyle name="Normal 8 4 2 3 3" xfId="38893"/>
    <cellStyle name="Normal 8 4 2 3 3 2" xfId="38894"/>
    <cellStyle name="Normal 8 4 2 3 4" xfId="38895"/>
    <cellStyle name="Normal 8 4 2 4" xfId="38896"/>
    <cellStyle name="Normal 8 4 2 4 2" xfId="38897"/>
    <cellStyle name="Normal 8 4 2 4 2 2" xfId="38898"/>
    <cellStyle name="Normal 8 4 2 4 3" xfId="38899"/>
    <cellStyle name="Normal 8 4 2 5" xfId="38900"/>
    <cellStyle name="Normal 8 4 2 5 2" xfId="38901"/>
    <cellStyle name="Normal 8 4 2 6" xfId="38902"/>
    <cellStyle name="Normal 8 4 3" xfId="18964"/>
    <cellStyle name="Normal 8 4 3 2" xfId="18965"/>
    <cellStyle name="Normal 8 4 3 2 2" xfId="38903"/>
    <cellStyle name="Normal 8 4 3 2 2 2" xfId="38904"/>
    <cellStyle name="Normal 8 4 3 2 2 2 2" xfId="38905"/>
    <cellStyle name="Normal 8 4 3 2 2 3" xfId="38906"/>
    <cellStyle name="Normal 8 4 3 2 3" xfId="38907"/>
    <cellStyle name="Normal 8 4 3 2 3 2" xfId="38908"/>
    <cellStyle name="Normal 8 4 3 2 4" xfId="38909"/>
    <cellStyle name="Normal 8 4 3 3" xfId="38910"/>
    <cellStyle name="Normal 8 4 3 3 2" xfId="38911"/>
    <cellStyle name="Normal 8 4 3 3 2 2" xfId="38912"/>
    <cellStyle name="Normal 8 4 3 3 3" xfId="38913"/>
    <cellStyle name="Normal 8 4 3 4" xfId="38914"/>
    <cellStyle name="Normal 8 4 3 4 2" xfId="38915"/>
    <cellStyle name="Normal 8 4 3 5" xfId="38916"/>
    <cellStyle name="Normal 8 4 4" xfId="18966"/>
    <cellStyle name="Normal 8 4 4 2" xfId="38917"/>
    <cellStyle name="Normal 8 4 4 2 2" xfId="38918"/>
    <cellStyle name="Normal 8 4 4 2 2 2" xfId="38919"/>
    <cellStyle name="Normal 8 4 4 2 3" xfId="38920"/>
    <cellStyle name="Normal 8 4 4 3" xfId="38921"/>
    <cellStyle name="Normal 8 4 4 3 2" xfId="38922"/>
    <cellStyle name="Normal 8 4 4 4" xfId="38923"/>
    <cellStyle name="Normal 8 4 5" xfId="38924"/>
    <cellStyle name="Normal 8 4 5 2" xfId="38925"/>
    <cellStyle name="Normal 8 4 5 2 2" xfId="38926"/>
    <cellStyle name="Normal 8 4 5 3" xfId="38927"/>
    <cellStyle name="Normal 8 4 6" xfId="38928"/>
    <cellStyle name="Normal 8 4 6 2" xfId="38929"/>
    <cellStyle name="Normal 8 4 7" xfId="38930"/>
    <cellStyle name="Normal 8 5" xfId="10126"/>
    <cellStyle name="Normal 8 5 2" xfId="10127"/>
    <cellStyle name="Normal 8 5 2 2" xfId="10128"/>
    <cellStyle name="Normal 8 5 2 2 2" xfId="38931"/>
    <cellStyle name="Normal 8 5 2 2 2 2" xfId="38932"/>
    <cellStyle name="Normal 8 5 2 2 2 2 2" xfId="38933"/>
    <cellStyle name="Normal 8 5 2 2 2 3" xfId="38934"/>
    <cellStyle name="Normal 8 5 2 2 3" xfId="38935"/>
    <cellStyle name="Normal 8 5 2 2 3 2" xfId="38936"/>
    <cellStyle name="Normal 8 5 2 2 4" xfId="38937"/>
    <cellStyle name="Normal 8 5 2 3" xfId="38938"/>
    <cellStyle name="Normal 8 5 2 3 2" xfId="38939"/>
    <cellStyle name="Normal 8 5 2 3 2 2" xfId="38940"/>
    <cellStyle name="Normal 8 5 2 3 3" xfId="38941"/>
    <cellStyle name="Normal 8 5 2 4" xfId="38942"/>
    <cellStyle name="Normal 8 5 2 4 2" xfId="38943"/>
    <cellStyle name="Normal 8 5 2 5" xfId="38944"/>
    <cellStyle name="Normal 8 5 3" xfId="10129"/>
    <cellStyle name="Normal 8 5 3 2" xfId="38945"/>
    <cellStyle name="Normal 8 5 3 2 2" xfId="38946"/>
    <cellStyle name="Normal 8 5 3 2 2 2" xfId="38947"/>
    <cellStyle name="Normal 8 5 3 2 3" xfId="38948"/>
    <cellStyle name="Normal 8 5 3 3" xfId="38949"/>
    <cellStyle name="Normal 8 5 3 3 2" xfId="38950"/>
    <cellStyle name="Normal 8 5 3 4" xfId="38951"/>
    <cellStyle name="Normal 8 5 4" xfId="10130"/>
    <cellStyle name="Normal 8 5 4 2" xfId="38952"/>
    <cellStyle name="Normal 8 5 4 2 2" xfId="38953"/>
    <cellStyle name="Normal 8 5 4 3" xfId="38954"/>
    <cellStyle name="Normal 8 5 5" xfId="38955"/>
    <cellStyle name="Normal 8 5 5 2" xfId="38956"/>
    <cellStyle name="Normal 8 5 6" xfId="38957"/>
    <cellStyle name="Normal 8 6" xfId="10131"/>
    <cellStyle name="Normal 8 6 2" xfId="18967"/>
    <cellStyle name="Normal 8 6 2 2" xfId="38958"/>
    <cellStyle name="Normal 8 6 2 2 2" xfId="38959"/>
    <cellStyle name="Normal 8 6 2 2 2 2" xfId="38960"/>
    <cellStyle name="Normal 8 6 2 2 3" xfId="38961"/>
    <cellStyle name="Normal 8 6 2 3" xfId="38962"/>
    <cellStyle name="Normal 8 6 2 3 2" xfId="38963"/>
    <cellStyle name="Normal 8 6 2 4" xfId="38964"/>
    <cellStyle name="Normal 8 6 3" xfId="38965"/>
    <cellStyle name="Normal 8 6 3 2" xfId="38966"/>
    <cellStyle name="Normal 8 6 3 2 2" xfId="38967"/>
    <cellStyle name="Normal 8 6 3 3" xfId="38968"/>
    <cellStyle name="Normal 8 6 4" xfId="38969"/>
    <cellStyle name="Normal 8 6 4 2" xfId="38970"/>
    <cellStyle name="Normal 8 6 5" xfId="38971"/>
    <cellStyle name="Normal 8 7" xfId="18968"/>
    <cellStyle name="Normal 8 7 2" xfId="38972"/>
    <cellStyle name="Normal 8 7 3" xfId="38973"/>
    <cellStyle name="Normal 8 8" xfId="18969"/>
    <cellStyle name="Normal 8 8 2" xfId="38974"/>
    <cellStyle name="Normal 8 8 2 2" xfId="38975"/>
    <cellStyle name="Normal 8 8 2 2 2" xfId="38976"/>
    <cellStyle name="Normal 8 8 2 3" xfId="38977"/>
    <cellStyle name="Normal 8 8 3" xfId="38978"/>
    <cellStyle name="Normal 8 8 3 2" xfId="38979"/>
    <cellStyle name="Normal 8 8 4" xfId="38980"/>
    <cellStyle name="Normal 8 9" xfId="18970"/>
    <cellStyle name="Normal 80" xfId="18971"/>
    <cellStyle name="Normal 80 2" xfId="18972"/>
    <cellStyle name="Normal 80 2 2" xfId="38981"/>
    <cellStyle name="Normal 80 2 2 2" xfId="38982"/>
    <cellStyle name="Normal 80 2 2 2 2" xfId="38983"/>
    <cellStyle name="Normal 80 2 2 3" xfId="38984"/>
    <cellStyle name="Normal 80 2 3" xfId="38985"/>
    <cellStyle name="Normal 80 2 3 2" xfId="38986"/>
    <cellStyle name="Normal 80 2 4" xfId="38987"/>
    <cellStyle name="Normal 80 3" xfId="38988"/>
    <cellStyle name="Normal 80 3 2" xfId="38989"/>
    <cellStyle name="Normal 80 3 2 2" xfId="38990"/>
    <cellStyle name="Normal 80 3 3" xfId="38991"/>
    <cellStyle name="Normal 80 4" xfId="38992"/>
    <cellStyle name="Normal 80 4 2" xfId="38993"/>
    <cellStyle name="Normal 80 5" xfId="38994"/>
    <cellStyle name="Normal 81" xfId="18973"/>
    <cellStyle name="Normal 81 2" xfId="18974"/>
    <cellStyle name="Normal 81 2 2" xfId="38995"/>
    <cellStyle name="Normal 81 2 2 2" xfId="38996"/>
    <cellStyle name="Normal 81 2 2 2 2" xfId="38997"/>
    <cellStyle name="Normal 81 2 2 3" xfId="38998"/>
    <cellStyle name="Normal 81 2 3" xfId="38999"/>
    <cellStyle name="Normal 81 2 3 2" xfId="39000"/>
    <cellStyle name="Normal 81 2 4" xfId="39001"/>
    <cellStyle name="Normal 81 3" xfId="39002"/>
    <cellStyle name="Normal 81 3 2" xfId="39003"/>
    <cellStyle name="Normal 81 3 2 2" xfId="39004"/>
    <cellStyle name="Normal 81 3 3" xfId="39005"/>
    <cellStyle name="Normal 81 4" xfId="39006"/>
    <cellStyle name="Normal 81 4 2" xfId="39007"/>
    <cellStyle name="Normal 81 5" xfId="39008"/>
    <cellStyle name="Normal 82" xfId="18975"/>
    <cellStyle name="Normal 82 2" xfId="18976"/>
    <cellStyle name="Normal 82 2 2" xfId="39009"/>
    <cellStyle name="Normal 82 2 2 2" xfId="39010"/>
    <cellStyle name="Normal 82 2 2 2 2" xfId="39011"/>
    <cellStyle name="Normal 82 2 2 3" xfId="39012"/>
    <cellStyle name="Normal 82 2 3" xfId="39013"/>
    <cellStyle name="Normal 82 2 3 2" xfId="39014"/>
    <cellStyle name="Normal 82 2 4" xfId="39015"/>
    <cellStyle name="Normal 82 3" xfId="39016"/>
    <cellStyle name="Normal 82 3 2" xfId="39017"/>
    <cellStyle name="Normal 82 3 2 2" xfId="39018"/>
    <cellStyle name="Normal 82 3 3" xfId="39019"/>
    <cellStyle name="Normal 82 4" xfId="39020"/>
    <cellStyle name="Normal 82 4 2" xfId="39021"/>
    <cellStyle name="Normal 82 5" xfId="39022"/>
    <cellStyle name="Normal 83" xfId="18977"/>
    <cellStyle name="Normal 83 2" xfId="18978"/>
    <cellStyle name="Normal 83 2 2" xfId="39023"/>
    <cellStyle name="Normal 83 2 2 2" xfId="39024"/>
    <cellStyle name="Normal 83 2 2 2 2" xfId="39025"/>
    <cellStyle name="Normal 83 2 2 3" xfId="39026"/>
    <cellStyle name="Normal 83 2 3" xfId="39027"/>
    <cellStyle name="Normal 83 2 3 2" xfId="39028"/>
    <cellStyle name="Normal 83 2 4" xfId="39029"/>
    <cellStyle name="Normal 83 3" xfId="39030"/>
    <cellStyle name="Normal 83 3 2" xfId="39031"/>
    <cellStyle name="Normal 83 3 2 2" xfId="39032"/>
    <cellStyle name="Normal 83 3 3" xfId="39033"/>
    <cellStyle name="Normal 83 4" xfId="39034"/>
    <cellStyle name="Normal 83 4 2" xfId="39035"/>
    <cellStyle name="Normal 83 5" xfId="39036"/>
    <cellStyle name="Normal 84" xfId="18979"/>
    <cellStyle name="Normal 84 2" xfId="18980"/>
    <cellStyle name="Normal 84 2 2" xfId="39037"/>
    <cellStyle name="Normal 84 2 2 2" xfId="39038"/>
    <cellStyle name="Normal 84 2 2 2 2" xfId="39039"/>
    <cellStyle name="Normal 84 2 2 3" xfId="39040"/>
    <cellStyle name="Normal 84 2 3" xfId="39041"/>
    <cellStyle name="Normal 84 2 3 2" xfId="39042"/>
    <cellStyle name="Normal 84 2 4" xfId="39043"/>
    <cellStyle name="Normal 84 3" xfId="39044"/>
    <cellStyle name="Normal 84 3 2" xfId="39045"/>
    <cellStyle name="Normal 84 3 2 2" xfId="39046"/>
    <cellStyle name="Normal 84 3 3" xfId="39047"/>
    <cellStyle name="Normal 84 4" xfId="39048"/>
    <cellStyle name="Normal 84 4 2" xfId="39049"/>
    <cellStyle name="Normal 84 5" xfId="39050"/>
    <cellStyle name="Normal 85" xfId="18981"/>
    <cellStyle name="Normal 85 2" xfId="18982"/>
    <cellStyle name="Normal 85 2 2" xfId="39051"/>
    <cellStyle name="Normal 85 2 2 2" xfId="39052"/>
    <cellStyle name="Normal 85 2 2 2 2" xfId="39053"/>
    <cellStyle name="Normal 85 2 2 3" xfId="39054"/>
    <cellStyle name="Normal 85 2 3" xfId="39055"/>
    <cellStyle name="Normal 85 2 3 2" xfId="39056"/>
    <cellStyle name="Normal 85 2 4" xfId="39057"/>
    <cellStyle name="Normal 85 3" xfId="39058"/>
    <cellStyle name="Normal 85 3 2" xfId="39059"/>
    <cellStyle name="Normal 85 3 2 2" xfId="39060"/>
    <cellStyle name="Normal 85 3 3" xfId="39061"/>
    <cellStyle name="Normal 85 4" xfId="39062"/>
    <cellStyle name="Normal 85 4 2" xfId="39063"/>
    <cellStyle name="Normal 85 5" xfId="39064"/>
    <cellStyle name="Normal 86" xfId="18983"/>
    <cellStyle name="Normal 86 2" xfId="18984"/>
    <cellStyle name="Normal 86 2 2" xfId="39065"/>
    <cellStyle name="Normal 86 2 2 2" xfId="39066"/>
    <cellStyle name="Normal 86 2 2 2 2" xfId="39067"/>
    <cellStyle name="Normal 86 2 2 3" xfId="39068"/>
    <cellStyle name="Normal 86 2 3" xfId="39069"/>
    <cellStyle name="Normal 86 2 3 2" xfId="39070"/>
    <cellStyle name="Normal 86 2 4" xfId="39071"/>
    <cellStyle name="Normal 86 3" xfId="39072"/>
    <cellStyle name="Normal 86 3 2" xfId="39073"/>
    <cellStyle name="Normal 86 3 2 2" xfId="39074"/>
    <cellStyle name="Normal 86 3 3" xfId="39075"/>
    <cellStyle name="Normal 86 4" xfId="39076"/>
    <cellStyle name="Normal 86 4 2" xfId="39077"/>
    <cellStyle name="Normal 86 5" xfId="39078"/>
    <cellStyle name="Normal 87" xfId="18985"/>
    <cellStyle name="Normal 87 2" xfId="18986"/>
    <cellStyle name="Normal 87 2 2" xfId="39079"/>
    <cellStyle name="Normal 87 2 2 2" xfId="39080"/>
    <cellStyle name="Normal 87 2 2 2 2" xfId="39081"/>
    <cellStyle name="Normal 87 2 2 3" xfId="39082"/>
    <cellStyle name="Normal 87 2 3" xfId="39083"/>
    <cellStyle name="Normal 87 2 3 2" xfId="39084"/>
    <cellStyle name="Normal 87 2 4" xfId="39085"/>
    <cellStyle name="Normal 87 3" xfId="39086"/>
    <cellStyle name="Normal 87 3 2" xfId="39087"/>
    <cellStyle name="Normal 87 3 2 2" xfId="39088"/>
    <cellStyle name="Normal 87 3 3" xfId="39089"/>
    <cellStyle name="Normal 87 4" xfId="39090"/>
    <cellStyle name="Normal 87 4 2" xfId="39091"/>
    <cellStyle name="Normal 87 5" xfId="39092"/>
    <cellStyle name="Normal 88" xfId="18987"/>
    <cellStyle name="Normal 88 2" xfId="18988"/>
    <cellStyle name="Normal 88 2 2" xfId="39093"/>
    <cellStyle name="Normal 88 2 2 2" xfId="39094"/>
    <cellStyle name="Normal 88 2 2 2 2" xfId="39095"/>
    <cellStyle name="Normal 88 2 2 3" xfId="39096"/>
    <cellStyle name="Normal 88 2 3" xfId="39097"/>
    <cellStyle name="Normal 88 2 3 2" xfId="39098"/>
    <cellStyle name="Normal 88 2 4" xfId="39099"/>
    <cellStyle name="Normal 88 3" xfId="39100"/>
    <cellStyle name="Normal 88 3 2" xfId="39101"/>
    <cellStyle name="Normal 88 3 2 2" xfId="39102"/>
    <cellStyle name="Normal 88 3 3" xfId="39103"/>
    <cellStyle name="Normal 88 4" xfId="39104"/>
    <cellStyle name="Normal 88 4 2" xfId="39105"/>
    <cellStyle name="Normal 88 5" xfId="39106"/>
    <cellStyle name="Normal 89" xfId="18989"/>
    <cellStyle name="Normal 89 2" xfId="18990"/>
    <cellStyle name="Normal 89 2 2" xfId="39107"/>
    <cellStyle name="Normal 89 2 2 2" xfId="39108"/>
    <cellStyle name="Normal 89 2 2 2 2" xfId="39109"/>
    <cellStyle name="Normal 89 2 2 3" xfId="39110"/>
    <cellStyle name="Normal 89 2 3" xfId="39111"/>
    <cellStyle name="Normal 89 2 3 2" xfId="39112"/>
    <cellStyle name="Normal 89 2 4" xfId="39113"/>
    <cellStyle name="Normal 89 3" xfId="39114"/>
    <cellStyle name="Normal 89 3 2" xfId="39115"/>
    <cellStyle name="Normal 89 3 2 2" xfId="39116"/>
    <cellStyle name="Normal 89 3 3" xfId="39117"/>
    <cellStyle name="Normal 89 4" xfId="39118"/>
    <cellStyle name="Normal 89 4 2" xfId="39119"/>
    <cellStyle name="Normal 89 5" xfId="39120"/>
    <cellStyle name="Normal 9" xfId="78"/>
    <cellStyle name="Normal 9 10" xfId="39121"/>
    <cellStyle name="Normal 9 11" xfId="39122"/>
    <cellStyle name="Normal 9 11 2" xfId="39123"/>
    <cellStyle name="Normal 9 12" xfId="39124"/>
    <cellStyle name="Normal 9 12 2" xfId="39125"/>
    <cellStyle name="Normal 9 12 2 2" xfId="39126"/>
    <cellStyle name="Normal 9 12 3" xfId="39127"/>
    <cellStyle name="Normal 9 13" xfId="39128"/>
    <cellStyle name="Normal 9 13 2" xfId="39129"/>
    <cellStyle name="Normal 9 14" xfId="39130"/>
    <cellStyle name="Normal 9 2" xfId="79"/>
    <cellStyle name="Normal 9 2 10" xfId="39131"/>
    <cellStyle name="Normal 9 2 11" xfId="39132"/>
    <cellStyle name="Normal 9 2 2" xfId="10132"/>
    <cellStyle name="Normal 9 2 2 2" xfId="18991"/>
    <cellStyle name="Normal 9 2 2 2 2" xfId="18992"/>
    <cellStyle name="Normal 9 2 2 2 2 2" xfId="18993"/>
    <cellStyle name="Normal 9 2 2 2 2 2 2" xfId="39133"/>
    <cellStyle name="Normal 9 2 2 2 2 2 2 2" xfId="39134"/>
    <cellStyle name="Normal 9 2 2 2 2 2 2 2 2" xfId="39135"/>
    <cellStyle name="Normal 9 2 2 2 2 2 2 3" xfId="39136"/>
    <cellStyle name="Normal 9 2 2 2 2 2 3" xfId="39137"/>
    <cellStyle name="Normal 9 2 2 2 2 2 3 2" xfId="39138"/>
    <cellStyle name="Normal 9 2 2 2 2 2 4" xfId="39139"/>
    <cellStyle name="Normal 9 2 2 2 2 3" xfId="39140"/>
    <cellStyle name="Normal 9 2 2 2 2 3 2" xfId="39141"/>
    <cellStyle name="Normal 9 2 2 2 2 3 2 2" xfId="39142"/>
    <cellStyle name="Normal 9 2 2 2 2 3 3" xfId="39143"/>
    <cellStyle name="Normal 9 2 2 2 2 4" xfId="39144"/>
    <cellStyle name="Normal 9 2 2 2 2 4 2" xfId="39145"/>
    <cellStyle name="Normal 9 2 2 2 2 5" xfId="39146"/>
    <cellStyle name="Normal 9 2 2 2 3" xfId="18994"/>
    <cellStyle name="Normal 9 2 2 2 3 2" xfId="39147"/>
    <cellStyle name="Normal 9 2 2 2 3 2 2" xfId="39148"/>
    <cellStyle name="Normal 9 2 2 2 3 2 2 2" xfId="39149"/>
    <cellStyle name="Normal 9 2 2 2 3 2 3" xfId="39150"/>
    <cellStyle name="Normal 9 2 2 2 3 3" xfId="39151"/>
    <cellStyle name="Normal 9 2 2 2 3 3 2" xfId="39152"/>
    <cellStyle name="Normal 9 2 2 2 3 4" xfId="39153"/>
    <cellStyle name="Normal 9 2 2 2 4" xfId="39154"/>
    <cellStyle name="Normal 9 2 2 2 4 2" xfId="39155"/>
    <cellStyle name="Normal 9 2 2 2 4 2 2" xfId="39156"/>
    <cellStyle name="Normal 9 2 2 2 4 3" xfId="39157"/>
    <cellStyle name="Normal 9 2 2 2 5" xfId="39158"/>
    <cellStyle name="Normal 9 2 2 2 5 2" xfId="39159"/>
    <cellStyle name="Normal 9 2 2 2 6" xfId="39160"/>
    <cellStyle name="Normal 9 2 2 3" xfId="18995"/>
    <cellStyle name="Normal 9 2 2 3 2" xfId="18996"/>
    <cellStyle name="Normal 9 2 2 3 2 2" xfId="39161"/>
    <cellStyle name="Normal 9 2 2 3 2 2 2" xfId="39162"/>
    <cellStyle name="Normal 9 2 2 3 2 2 2 2" xfId="39163"/>
    <cellStyle name="Normal 9 2 2 3 2 2 3" xfId="39164"/>
    <cellStyle name="Normal 9 2 2 3 2 3" xfId="39165"/>
    <cellStyle name="Normal 9 2 2 3 2 3 2" xfId="39166"/>
    <cellStyle name="Normal 9 2 2 3 2 4" xfId="39167"/>
    <cellStyle name="Normal 9 2 2 3 3" xfId="39168"/>
    <cellStyle name="Normal 9 2 2 3 3 2" xfId="39169"/>
    <cellStyle name="Normal 9 2 2 3 3 2 2" xfId="39170"/>
    <cellStyle name="Normal 9 2 2 3 3 3" xfId="39171"/>
    <cellStyle name="Normal 9 2 2 3 4" xfId="39172"/>
    <cellStyle name="Normal 9 2 2 3 4 2" xfId="39173"/>
    <cellStyle name="Normal 9 2 2 3 5" xfId="39174"/>
    <cellStyle name="Normal 9 2 2 4" xfId="18997"/>
    <cellStyle name="Normal 9 2 2 4 2" xfId="39175"/>
    <cellStyle name="Normal 9 2 2 4 2 2" xfId="39176"/>
    <cellStyle name="Normal 9 2 2 4 2 2 2" xfId="39177"/>
    <cellStyle name="Normal 9 2 2 4 2 3" xfId="39178"/>
    <cellStyle name="Normal 9 2 2 4 3" xfId="39179"/>
    <cellStyle name="Normal 9 2 2 4 3 2" xfId="39180"/>
    <cellStyle name="Normal 9 2 2 4 4" xfId="39181"/>
    <cellStyle name="Normal 9 2 2 5" xfId="39182"/>
    <cellStyle name="Normal 9 2 2 5 2" xfId="39183"/>
    <cellStyle name="Normal 9 2 2 5 2 2" xfId="39184"/>
    <cellStyle name="Normal 9 2 2 5 3" xfId="39185"/>
    <cellStyle name="Normal 9 2 2 6" xfId="39186"/>
    <cellStyle name="Normal 9 2 2 6 2" xfId="39187"/>
    <cellStyle name="Normal 9 2 2 7" xfId="39188"/>
    <cellStyle name="Normal 9 2 2 8" xfId="39189"/>
    <cellStyle name="Normal 9 2 3" xfId="18998"/>
    <cellStyle name="Normal 9 2 3 2" xfId="18999"/>
    <cellStyle name="Normal 9 2 3 2 2" xfId="19000"/>
    <cellStyle name="Normal 9 2 3 2 2 2" xfId="39190"/>
    <cellStyle name="Normal 9 2 3 2 2 2 2" xfId="39191"/>
    <cellStyle name="Normal 9 2 3 2 2 2 2 2" xfId="39192"/>
    <cellStyle name="Normal 9 2 3 2 2 2 3" xfId="39193"/>
    <cellStyle name="Normal 9 2 3 2 2 3" xfId="39194"/>
    <cellStyle name="Normal 9 2 3 2 2 3 2" xfId="39195"/>
    <cellStyle name="Normal 9 2 3 2 2 4" xfId="39196"/>
    <cellStyle name="Normal 9 2 3 2 3" xfId="39197"/>
    <cellStyle name="Normal 9 2 3 2 3 2" xfId="39198"/>
    <cellStyle name="Normal 9 2 3 2 3 2 2" xfId="39199"/>
    <cellStyle name="Normal 9 2 3 2 3 3" xfId="39200"/>
    <cellStyle name="Normal 9 2 3 2 4" xfId="39201"/>
    <cellStyle name="Normal 9 2 3 2 4 2" xfId="39202"/>
    <cellStyle name="Normal 9 2 3 2 5" xfId="39203"/>
    <cellStyle name="Normal 9 2 3 3" xfId="19001"/>
    <cellStyle name="Normal 9 2 3 3 2" xfId="39204"/>
    <cellStyle name="Normal 9 2 3 3 2 2" xfId="39205"/>
    <cellStyle name="Normal 9 2 3 3 2 2 2" xfId="39206"/>
    <cellStyle name="Normal 9 2 3 3 2 3" xfId="39207"/>
    <cellStyle name="Normal 9 2 3 3 3" xfId="39208"/>
    <cellStyle name="Normal 9 2 3 3 3 2" xfId="39209"/>
    <cellStyle name="Normal 9 2 3 3 4" xfId="39210"/>
    <cellStyle name="Normal 9 2 3 4" xfId="39211"/>
    <cellStyle name="Normal 9 2 3 4 2" xfId="39212"/>
    <cellStyle name="Normal 9 2 3 4 2 2" xfId="39213"/>
    <cellStyle name="Normal 9 2 3 4 3" xfId="39214"/>
    <cellStyle name="Normal 9 2 3 5" xfId="39215"/>
    <cellStyle name="Normal 9 2 3 5 2" xfId="39216"/>
    <cellStyle name="Normal 9 2 3 6" xfId="39217"/>
    <cellStyle name="Normal 9 2 4" xfId="19002"/>
    <cellStyle name="Normal 9 2 4 2" xfId="19003"/>
    <cellStyle name="Normal 9 2 4 2 2" xfId="39218"/>
    <cellStyle name="Normal 9 2 4 2 2 2" xfId="39219"/>
    <cellStyle name="Normal 9 2 4 2 2 2 2" xfId="39220"/>
    <cellStyle name="Normal 9 2 4 2 2 3" xfId="39221"/>
    <cellStyle name="Normal 9 2 4 2 3" xfId="39222"/>
    <cellStyle name="Normal 9 2 4 2 3 2" xfId="39223"/>
    <cellStyle name="Normal 9 2 4 2 4" xfId="39224"/>
    <cellStyle name="Normal 9 2 4 3" xfId="39225"/>
    <cellStyle name="Normal 9 2 4 3 2" xfId="39226"/>
    <cellStyle name="Normal 9 2 4 3 2 2" xfId="39227"/>
    <cellStyle name="Normal 9 2 4 3 3" xfId="39228"/>
    <cellStyle name="Normal 9 2 4 4" xfId="39229"/>
    <cellStyle name="Normal 9 2 4 4 2" xfId="39230"/>
    <cellStyle name="Normal 9 2 4 5" xfId="39231"/>
    <cellStyle name="Normal 9 2 5" xfId="19004"/>
    <cellStyle name="Normal 9 2 5 2" xfId="39232"/>
    <cellStyle name="Normal 9 2 5 2 2" xfId="39233"/>
    <cellStyle name="Normal 9 2 5 2 2 2" xfId="39234"/>
    <cellStyle name="Normal 9 2 5 2 3" xfId="39235"/>
    <cellStyle name="Normal 9 2 5 3" xfId="39236"/>
    <cellStyle name="Normal 9 2 5 3 2" xfId="39237"/>
    <cellStyle name="Normal 9 2 5 4" xfId="39238"/>
    <cellStyle name="Normal 9 2 6" xfId="19005"/>
    <cellStyle name="Normal 9 2 7" xfId="39239"/>
    <cellStyle name="Normal 9 2 8" xfId="39240"/>
    <cellStyle name="Normal 9 2 8 2" xfId="39241"/>
    <cellStyle name="Normal 9 2 8 2 2" xfId="39242"/>
    <cellStyle name="Normal 9 2 8 3" xfId="39243"/>
    <cellStyle name="Normal 9 2 9" xfId="39244"/>
    <cellStyle name="Normal 9 2 9 2" xfId="39245"/>
    <cellStyle name="Normal 9 3" xfId="10133"/>
    <cellStyle name="Normal 9 3 2" xfId="10134"/>
    <cellStyle name="Normal 9 3 2 2" xfId="10135"/>
    <cellStyle name="Normal 9 3 2 2 2" xfId="10136"/>
    <cellStyle name="Normal 9 3 2 2 2 2" xfId="10137"/>
    <cellStyle name="Normal 9 3 2 2 2 2 2" xfId="39246"/>
    <cellStyle name="Normal 9 3 2 2 2 2 2 2" xfId="39247"/>
    <cellStyle name="Normal 9 3 2 2 2 2 2 2 2" xfId="39248"/>
    <cellStyle name="Normal 9 3 2 2 2 2 2 3" xfId="39249"/>
    <cellStyle name="Normal 9 3 2 2 2 2 3" xfId="39250"/>
    <cellStyle name="Normal 9 3 2 2 2 2 3 2" xfId="39251"/>
    <cellStyle name="Normal 9 3 2 2 2 2 4" xfId="39252"/>
    <cellStyle name="Normal 9 3 2 2 2 3" xfId="10138"/>
    <cellStyle name="Normal 9 3 2 2 2 3 2" xfId="39253"/>
    <cellStyle name="Normal 9 3 2 2 2 3 2 2" xfId="39254"/>
    <cellStyle name="Normal 9 3 2 2 2 3 3" xfId="39255"/>
    <cellStyle name="Normal 9 3 2 2 2 4" xfId="10139"/>
    <cellStyle name="Normal 9 3 2 2 2 4 2" xfId="39256"/>
    <cellStyle name="Normal 9 3 2 2 2 5" xfId="39257"/>
    <cellStyle name="Normal 9 3 2 2 3" xfId="10140"/>
    <cellStyle name="Normal 9 3 2 2 3 2" xfId="10141"/>
    <cellStyle name="Normal 9 3 2 2 3 2 2" xfId="39258"/>
    <cellStyle name="Normal 9 3 2 2 3 2 2 2" xfId="39259"/>
    <cellStyle name="Normal 9 3 2 2 3 2 3" xfId="39260"/>
    <cellStyle name="Normal 9 3 2 2 3 3" xfId="10142"/>
    <cellStyle name="Normal 9 3 2 2 3 3 2" xfId="39261"/>
    <cellStyle name="Normal 9 3 2 2 3 4" xfId="10143"/>
    <cellStyle name="Normal 9 3 2 2 4" xfId="10144"/>
    <cellStyle name="Normal 9 3 2 2 4 2" xfId="39262"/>
    <cellStyle name="Normal 9 3 2 2 4 2 2" xfId="39263"/>
    <cellStyle name="Normal 9 3 2 2 4 3" xfId="39264"/>
    <cellStyle name="Normal 9 3 2 2 5" xfId="10145"/>
    <cellStyle name="Normal 9 3 2 2 5 2" xfId="39265"/>
    <cellStyle name="Normal 9 3 2 2 6" xfId="10146"/>
    <cellStyle name="Normal 9 3 2 3" xfId="10147"/>
    <cellStyle name="Normal 9 3 2 3 2" xfId="10148"/>
    <cellStyle name="Normal 9 3 2 3 2 2" xfId="39266"/>
    <cellStyle name="Normal 9 3 2 3 2 2 2" xfId="39267"/>
    <cellStyle name="Normal 9 3 2 3 2 2 2 2" xfId="39268"/>
    <cellStyle name="Normal 9 3 2 3 2 2 3" xfId="39269"/>
    <cellStyle name="Normal 9 3 2 3 2 3" xfId="39270"/>
    <cellStyle name="Normal 9 3 2 3 2 3 2" xfId="39271"/>
    <cellStyle name="Normal 9 3 2 3 2 4" xfId="39272"/>
    <cellStyle name="Normal 9 3 2 3 3" xfId="10149"/>
    <cellStyle name="Normal 9 3 2 3 3 2" xfId="39273"/>
    <cellStyle name="Normal 9 3 2 3 3 2 2" xfId="39274"/>
    <cellStyle name="Normal 9 3 2 3 3 3" xfId="39275"/>
    <cellStyle name="Normal 9 3 2 3 4" xfId="10150"/>
    <cellStyle name="Normal 9 3 2 3 4 2" xfId="39276"/>
    <cellStyle name="Normal 9 3 2 3 5" xfId="39277"/>
    <cellStyle name="Normal 9 3 2 4" xfId="10151"/>
    <cellStyle name="Normal 9 3 2 4 2" xfId="10152"/>
    <cellStyle name="Normal 9 3 2 4 2 2" xfId="39278"/>
    <cellStyle name="Normal 9 3 2 4 2 2 2" xfId="39279"/>
    <cellStyle name="Normal 9 3 2 4 2 3" xfId="39280"/>
    <cellStyle name="Normal 9 3 2 4 3" xfId="10153"/>
    <cellStyle name="Normal 9 3 2 4 3 2" xfId="39281"/>
    <cellStyle name="Normal 9 3 2 4 4" xfId="10154"/>
    <cellStyle name="Normal 9 3 2 5" xfId="10155"/>
    <cellStyle name="Normal 9 3 2 5 2" xfId="39282"/>
    <cellStyle name="Normal 9 3 2 5 2 2" xfId="39283"/>
    <cellStyle name="Normal 9 3 2 5 3" xfId="39284"/>
    <cellStyle name="Normal 9 3 2 6" xfId="10156"/>
    <cellStyle name="Normal 9 3 2 6 2" xfId="39285"/>
    <cellStyle name="Normal 9 3 2 7" xfId="10157"/>
    <cellStyle name="Normal 9 3 3" xfId="10158"/>
    <cellStyle name="Normal 9 3 3 2" xfId="10159"/>
    <cellStyle name="Normal 9 3 3 2 2" xfId="10160"/>
    <cellStyle name="Normal 9 3 3 2 2 2" xfId="39286"/>
    <cellStyle name="Normal 9 3 3 2 2 2 2" xfId="39287"/>
    <cellStyle name="Normal 9 3 3 2 2 2 2 2" xfId="39288"/>
    <cellStyle name="Normal 9 3 3 2 2 2 3" xfId="39289"/>
    <cellStyle name="Normal 9 3 3 2 2 3" xfId="39290"/>
    <cellStyle name="Normal 9 3 3 2 2 3 2" xfId="39291"/>
    <cellStyle name="Normal 9 3 3 2 2 4" xfId="39292"/>
    <cellStyle name="Normal 9 3 3 2 3" xfId="10161"/>
    <cellStyle name="Normal 9 3 3 2 3 2" xfId="39293"/>
    <cellStyle name="Normal 9 3 3 2 3 2 2" xfId="39294"/>
    <cellStyle name="Normal 9 3 3 2 3 3" xfId="39295"/>
    <cellStyle name="Normal 9 3 3 2 4" xfId="10162"/>
    <cellStyle name="Normal 9 3 3 2 4 2" xfId="39296"/>
    <cellStyle name="Normal 9 3 3 2 5" xfId="39297"/>
    <cellStyle name="Normal 9 3 3 3" xfId="10163"/>
    <cellStyle name="Normal 9 3 3 3 2" xfId="10164"/>
    <cellStyle name="Normal 9 3 3 3 2 2" xfId="39298"/>
    <cellStyle name="Normal 9 3 3 3 2 2 2" xfId="39299"/>
    <cellStyle name="Normal 9 3 3 3 2 3" xfId="39300"/>
    <cellStyle name="Normal 9 3 3 3 3" xfId="10165"/>
    <cellStyle name="Normal 9 3 3 3 3 2" xfId="39301"/>
    <cellStyle name="Normal 9 3 3 3 4" xfId="10166"/>
    <cellStyle name="Normal 9 3 3 4" xfId="10167"/>
    <cellStyle name="Normal 9 3 3 4 2" xfId="39302"/>
    <cellStyle name="Normal 9 3 3 4 2 2" xfId="39303"/>
    <cellStyle name="Normal 9 3 3 4 3" xfId="39304"/>
    <cellStyle name="Normal 9 3 3 5" xfId="10168"/>
    <cellStyle name="Normal 9 3 3 5 2" xfId="39305"/>
    <cellStyle name="Normal 9 3 3 6" xfId="10169"/>
    <cellStyle name="Normal 9 3 4" xfId="10170"/>
    <cellStyle name="Normal 9 3 4 2" xfId="10171"/>
    <cellStyle name="Normal 9 3 4 2 2" xfId="39306"/>
    <cellStyle name="Normal 9 3 4 2 2 2" xfId="39307"/>
    <cellStyle name="Normal 9 3 4 2 2 2 2" xfId="39308"/>
    <cellStyle name="Normal 9 3 4 2 2 3" xfId="39309"/>
    <cellStyle name="Normal 9 3 4 2 3" xfId="39310"/>
    <cellStyle name="Normal 9 3 4 2 3 2" xfId="39311"/>
    <cellStyle name="Normal 9 3 4 2 4" xfId="39312"/>
    <cellStyle name="Normal 9 3 4 3" xfId="10172"/>
    <cellStyle name="Normal 9 3 4 3 2" xfId="39313"/>
    <cellStyle name="Normal 9 3 4 3 2 2" xfId="39314"/>
    <cellStyle name="Normal 9 3 4 3 3" xfId="39315"/>
    <cellStyle name="Normal 9 3 4 4" xfId="10173"/>
    <cellStyle name="Normal 9 3 4 4 2" xfId="39316"/>
    <cellStyle name="Normal 9 3 4 5" xfId="39317"/>
    <cellStyle name="Normal 9 3 5" xfId="10174"/>
    <cellStyle name="Normal 9 3 5 2" xfId="10175"/>
    <cellStyle name="Normal 9 3 5 2 2" xfId="39318"/>
    <cellStyle name="Normal 9 3 5 2 2 2" xfId="39319"/>
    <cellStyle name="Normal 9 3 5 2 3" xfId="39320"/>
    <cellStyle name="Normal 9 3 5 3" xfId="10176"/>
    <cellStyle name="Normal 9 3 5 3 2" xfId="39321"/>
    <cellStyle name="Normal 9 3 5 4" xfId="10177"/>
    <cellStyle name="Normal 9 3 6" xfId="10178"/>
    <cellStyle name="Normal 9 3 6 2" xfId="39322"/>
    <cellStyle name="Normal 9 3 6 2 2" xfId="39323"/>
    <cellStyle name="Normal 9 3 6 3" xfId="39324"/>
    <cellStyle name="Normal 9 3 7" xfId="10179"/>
    <cellStyle name="Normal 9 3 7 2" xfId="39325"/>
    <cellStyle name="Normal 9 3 8" xfId="10180"/>
    <cellStyle name="Normal 9 4" xfId="10181"/>
    <cellStyle name="Normal 9 4 2" xfId="10182"/>
    <cellStyle name="Normal 9 4 2 2" xfId="10183"/>
    <cellStyle name="Normal 9 4 2 2 2" xfId="10184"/>
    <cellStyle name="Normal 9 4 2 2 2 2" xfId="10185"/>
    <cellStyle name="Normal 9 4 2 2 2 2 2" xfId="39326"/>
    <cellStyle name="Normal 9 4 2 2 2 2 2 2" xfId="39327"/>
    <cellStyle name="Normal 9 4 2 2 2 2 3" xfId="39328"/>
    <cellStyle name="Normal 9 4 2 2 2 3" xfId="10186"/>
    <cellStyle name="Normal 9 4 2 2 2 3 2" xfId="39329"/>
    <cellStyle name="Normal 9 4 2 2 2 4" xfId="10187"/>
    <cellStyle name="Normal 9 4 2 2 3" xfId="10188"/>
    <cellStyle name="Normal 9 4 2 2 3 2" xfId="10189"/>
    <cellStyle name="Normal 9 4 2 2 3 2 2" xfId="39330"/>
    <cellStyle name="Normal 9 4 2 2 3 3" xfId="10190"/>
    <cellStyle name="Normal 9 4 2 2 3 4" xfId="10191"/>
    <cellStyle name="Normal 9 4 2 2 4" xfId="10192"/>
    <cellStyle name="Normal 9 4 2 2 4 2" xfId="39331"/>
    <cellStyle name="Normal 9 4 2 2 5" xfId="10193"/>
    <cellStyle name="Normal 9 4 2 2 6" xfId="10194"/>
    <cellStyle name="Normal 9 4 2 3" xfId="10195"/>
    <cellStyle name="Normal 9 4 2 3 2" xfId="10196"/>
    <cellStyle name="Normal 9 4 2 3 2 2" xfId="39332"/>
    <cellStyle name="Normal 9 4 2 3 2 2 2" xfId="39333"/>
    <cellStyle name="Normal 9 4 2 3 2 3" xfId="39334"/>
    <cellStyle name="Normal 9 4 2 3 3" xfId="10197"/>
    <cellStyle name="Normal 9 4 2 3 3 2" xfId="39335"/>
    <cellStyle name="Normal 9 4 2 3 4" xfId="10198"/>
    <cellStyle name="Normal 9 4 2 4" xfId="10199"/>
    <cellStyle name="Normal 9 4 2 4 2" xfId="10200"/>
    <cellStyle name="Normal 9 4 2 4 2 2" xfId="39336"/>
    <cellStyle name="Normal 9 4 2 4 3" xfId="10201"/>
    <cellStyle name="Normal 9 4 2 4 4" xfId="10202"/>
    <cellStyle name="Normal 9 4 2 5" xfId="10203"/>
    <cellStyle name="Normal 9 4 2 5 2" xfId="39337"/>
    <cellStyle name="Normal 9 4 2 6" xfId="10204"/>
    <cellStyle name="Normal 9 4 2 7" xfId="10205"/>
    <cellStyle name="Normal 9 4 3" xfId="10206"/>
    <cellStyle name="Normal 9 4 3 2" xfId="10207"/>
    <cellStyle name="Normal 9 4 3 2 2" xfId="10208"/>
    <cellStyle name="Normal 9 4 3 2 2 2" xfId="39338"/>
    <cellStyle name="Normal 9 4 3 2 2 2 2" xfId="39339"/>
    <cellStyle name="Normal 9 4 3 2 2 3" xfId="39340"/>
    <cellStyle name="Normal 9 4 3 2 3" xfId="10209"/>
    <cellStyle name="Normal 9 4 3 2 3 2" xfId="39341"/>
    <cellStyle name="Normal 9 4 3 2 4" xfId="10210"/>
    <cellStyle name="Normal 9 4 3 3" xfId="10211"/>
    <cellStyle name="Normal 9 4 3 3 2" xfId="10212"/>
    <cellStyle name="Normal 9 4 3 3 2 2" xfId="39342"/>
    <cellStyle name="Normal 9 4 3 3 3" xfId="10213"/>
    <cellStyle name="Normal 9 4 3 3 4" xfId="10214"/>
    <cellStyle name="Normal 9 4 3 4" xfId="10215"/>
    <cellStyle name="Normal 9 4 3 4 2" xfId="39343"/>
    <cellStyle name="Normal 9 4 3 5" xfId="10216"/>
    <cellStyle name="Normal 9 4 3 6" xfId="10217"/>
    <cellStyle name="Normal 9 4 4" xfId="10218"/>
    <cellStyle name="Normal 9 4 4 2" xfId="10219"/>
    <cellStyle name="Normal 9 4 4 2 2" xfId="39344"/>
    <cellStyle name="Normal 9 4 4 2 2 2" xfId="39345"/>
    <cellStyle name="Normal 9 4 4 2 3" xfId="39346"/>
    <cellStyle name="Normal 9 4 4 3" xfId="10220"/>
    <cellStyle name="Normal 9 4 4 3 2" xfId="39347"/>
    <cellStyle name="Normal 9 4 4 4" xfId="10221"/>
    <cellStyle name="Normal 9 4 5" xfId="10222"/>
    <cellStyle name="Normal 9 4 5 2" xfId="10223"/>
    <cellStyle name="Normal 9 4 5 2 2" xfId="39348"/>
    <cellStyle name="Normal 9 4 5 3" xfId="10224"/>
    <cellStyle name="Normal 9 4 5 4" xfId="10225"/>
    <cellStyle name="Normal 9 4 6" xfId="10226"/>
    <cellStyle name="Normal 9 4 6 2" xfId="39349"/>
    <cellStyle name="Normal 9 4 7" xfId="10227"/>
    <cellStyle name="Normal 9 4 8" xfId="10228"/>
    <cellStyle name="Normal 9 5" xfId="10229"/>
    <cellStyle name="Normal 9 5 2" xfId="19006"/>
    <cellStyle name="Normal 9 5 2 2" xfId="19007"/>
    <cellStyle name="Normal 9 5 2 2 2" xfId="39350"/>
    <cellStyle name="Normal 9 5 2 2 2 2" xfId="39351"/>
    <cellStyle name="Normal 9 5 2 2 2 2 2" xfId="39352"/>
    <cellStyle name="Normal 9 5 2 2 2 3" xfId="39353"/>
    <cellStyle name="Normal 9 5 2 2 3" xfId="39354"/>
    <cellStyle name="Normal 9 5 2 2 3 2" xfId="39355"/>
    <cellStyle name="Normal 9 5 2 2 4" xfId="39356"/>
    <cellStyle name="Normal 9 5 2 3" xfId="39357"/>
    <cellStyle name="Normal 9 5 2 3 2" xfId="39358"/>
    <cellStyle name="Normal 9 5 2 3 2 2" xfId="39359"/>
    <cellStyle name="Normal 9 5 2 3 3" xfId="39360"/>
    <cellStyle name="Normal 9 5 2 4" xfId="39361"/>
    <cellStyle name="Normal 9 5 2 4 2" xfId="39362"/>
    <cellStyle name="Normal 9 5 2 5" xfId="39363"/>
    <cellStyle name="Normal 9 5 3" xfId="19008"/>
    <cellStyle name="Normal 9 5 3 2" xfId="39364"/>
    <cellStyle name="Normal 9 5 3 2 2" xfId="39365"/>
    <cellStyle name="Normal 9 5 3 2 2 2" xfId="39366"/>
    <cellStyle name="Normal 9 5 3 2 3" xfId="39367"/>
    <cellStyle name="Normal 9 5 3 3" xfId="39368"/>
    <cellStyle name="Normal 9 5 3 3 2" xfId="39369"/>
    <cellStyle name="Normal 9 5 3 4" xfId="39370"/>
    <cellStyle name="Normal 9 5 4" xfId="39371"/>
    <cellStyle name="Normal 9 5 4 2" xfId="39372"/>
    <cellStyle name="Normal 9 5 4 2 2" xfId="39373"/>
    <cellStyle name="Normal 9 5 4 3" xfId="39374"/>
    <cellStyle name="Normal 9 5 5" xfId="39375"/>
    <cellStyle name="Normal 9 5 5 2" xfId="39376"/>
    <cellStyle name="Normal 9 5 6" xfId="39377"/>
    <cellStyle name="Normal 9 6" xfId="19009"/>
    <cellStyle name="Normal 9 6 2" xfId="19010"/>
    <cellStyle name="Normal 9 6 2 2" xfId="39378"/>
    <cellStyle name="Normal 9 6 2 2 2" xfId="39379"/>
    <cellStyle name="Normal 9 6 2 2 2 2" xfId="39380"/>
    <cellStyle name="Normal 9 6 2 2 3" xfId="39381"/>
    <cellStyle name="Normal 9 6 2 3" xfId="39382"/>
    <cellStyle name="Normal 9 6 2 3 2" xfId="39383"/>
    <cellStyle name="Normal 9 6 2 4" xfId="39384"/>
    <cellStyle name="Normal 9 6 3" xfId="39385"/>
    <cellStyle name="Normal 9 6 3 2" xfId="39386"/>
    <cellStyle name="Normal 9 6 3 2 2" xfId="39387"/>
    <cellStyle name="Normal 9 6 3 3" xfId="39388"/>
    <cellStyle name="Normal 9 6 4" xfId="39389"/>
    <cellStyle name="Normal 9 6 4 2" xfId="39390"/>
    <cellStyle name="Normal 9 6 5" xfId="39391"/>
    <cellStyle name="Normal 9 7" xfId="19011"/>
    <cellStyle name="Normal 9 7 2" xfId="39392"/>
    <cellStyle name="Normal 9 7 2 2" xfId="39393"/>
    <cellStyle name="Normal 9 7 2 2 2" xfId="39394"/>
    <cellStyle name="Normal 9 7 2 3" xfId="39395"/>
    <cellStyle name="Normal 9 7 3" xfId="39396"/>
    <cellStyle name="Normal 9 7 3 2" xfId="39397"/>
    <cellStyle name="Normal 9 7 4" xfId="39398"/>
    <cellStyle name="Normal 9 8" xfId="19012"/>
    <cellStyle name="Normal 9 9" xfId="19013"/>
    <cellStyle name="Normal 90" xfId="19014"/>
    <cellStyle name="Normal 90 2" xfId="19015"/>
    <cellStyle name="Normal 90 2 2" xfId="39399"/>
    <cellStyle name="Normal 90 2 2 2" xfId="39400"/>
    <cellStyle name="Normal 90 2 2 2 2" xfId="39401"/>
    <cellStyle name="Normal 90 2 2 3" xfId="39402"/>
    <cellStyle name="Normal 90 2 3" xfId="39403"/>
    <cellStyle name="Normal 90 2 3 2" xfId="39404"/>
    <cellStyle name="Normal 90 2 4" xfId="39405"/>
    <cellStyle name="Normal 90 3" xfId="39406"/>
    <cellStyle name="Normal 90 3 2" xfId="39407"/>
    <cellStyle name="Normal 90 3 2 2" xfId="39408"/>
    <cellStyle name="Normal 90 3 3" xfId="39409"/>
    <cellStyle name="Normal 90 4" xfId="39410"/>
    <cellStyle name="Normal 90 4 2" xfId="39411"/>
    <cellStyle name="Normal 90 5" xfId="39412"/>
    <cellStyle name="Normal 91" xfId="19016"/>
    <cellStyle name="Normal 91 2" xfId="19017"/>
    <cellStyle name="Normal 91 2 2" xfId="39413"/>
    <cellStyle name="Normal 91 2 2 2" xfId="39414"/>
    <cellStyle name="Normal 91 2 2 2 2" xfId="39415"/>
    <cellStyle name="Normal 91 2 2 3" xfId="39416"/>
    <cellStyle name="Normal 91 2 3" xfId="39417"/>
    <cellStyle name="Normal 91 2 3 2" xfId="39418"/>
    <cellStyle name="Normal 91 2 4" xfId="39419"/>
    <cellStyle name="Normal 91 3" xfId="39420"/>
    <cellStyle name="Normal 91 3 2" xfId="39421"/>
    <cellStyle name="Normal 91 3 2 2" xfId="39422"/>
    <cellStyle name="Normal 91 3 3" xfId="39423"/>
    <cellStyle name="Normal 91 4" xfId="39424"/>
    <cellStyle name="Normal 91 4 2" xfId="39425"/>
    <cellStyle name="Normal 91 5" xfId="39426"/>
    <cellStyle name="Normal 92" xfId="19018"/>
    <cellStyle name="Normal 92 2" xfId="19019"/>
    <cellStyle name="Normal 92 2 2" xfId="39427"/>
    <cellStyle name="Normal 92 2 2 2" xfId="39428"/>
    <cellStyle name="Normal 92 2 2 2 2" xfId="39429"/>
    <cellStyle name="Normal 92 2 2 3" xfId="39430"/>
    <cellStyle name="Normal 92 2 3" xfId="39431"/>
    <cellStyle name="Normal 92 2 3 2" xfId="39432"/>
    <cellStyle name="Normal 92 2 4" xfId="39433"/>
    <cellStyle name="Normal 92 3" xfId="39434"/>
    <cellStyle name="Normal 92 3 2" xfId="39435"/>
    <cellStyle name="Normal 92 3 2 2" xfId="39436"/>
    <cellStyle name="Normal 92 3 3" xfId="39437"/>
    <cellStyle name="Normal 92 4" xfId="39438"/>
    <cellStyle name="Normal 92 4 2" xfId="39439"/>
    <cellStyle name="Normal 92 5" xfId="39440"/>
    <cellStyle name="Normal 93" xfId="19020"/>
    <cellStyle name="Normal 93 2" xfId="19021"/>
    <cellStyle name="Normal 93 2 2" xfId="39441"/>
    <cellStyle name="Normal 93 2 2 2" xfId="39442"/>
    <cellStyle name="Normal 93 2 2 2 2" xfId="39443"/>
    <cellStyle name="Normal 93 2 2 3" xfId="39444"/>
    <cellStyle name="Normal 93 2 3" xfId="39445"/>
    <cellStyle name="Normal 93 2 3 2" xfId="39446"/>
    <cellStyle name="Normal 93 2 4" xfId="39447"/>
    <cellStyle name="Normal 93 3" xfId="39448"/>
    <cellStyle name="Normal 93 3 2" xfId="39449"/>
    <cellStyle name="Normal 93 3 2 2" xfId="39450"/>
    <cellStyle name="Normal 93 3 3" xfId="39451"/>
    <cellStyle name="Normal 93 4" xfId="39452"/>
    <cellStyle name="Normal 93 4 2" xfId="39453"/>
    <cellStyle name="Normal 93 5" xfId="39454"/>
    <cellStyle name="Normal 94" xfId="19022"/>
    <cellStyle name="Normal 94 2" xfId="19023"/>
    <cellStyle name="Normal 94 2 2" xfId="39455"/>
    <cellStyle name="Normal 94 2 2 2" xfId="39456"/>
    <cellStyle name="Normal 94 2 2 2 2" xfId="39457"/>
    <cellStyle name="Normal 94 2 2 3" xfId="39458"/>
    <cellStyle name="Normal 94 2 3" xfId="39459"/>
    <cellStyle name="Normal 94 2 3 2" xfId="39460"/>
    <cellStyle name="Normal 94 2 4" xfId="39461"/>
    <cellStyle name="Normal 94 3" xfId="39462"/>
    <cellStyle name="Normal 94 3 2" xfId="39463"/>
    <cellStyle name="Normal 94 3 2 2" xfId="39464"/>
    <cellStyle name="Normal 94 3 3" xfId="39465"/>
    <cellStyle name="Normal 94 4" xfId="39466"/>
    <cellStyle name="Normal 94 4 2" xfId="39467"/>
    <cellStyle name="Normal 94 5" xfId="39468"/>
    <cellStyle name="Normal 95" xfId="19024"/>
    <cellStyle name="Normal 95 2" xfId="19025"/>
    <cellStyle name="Normal 95 2 2" xfId="39469"/>
    <cellStyle name="Normal 95 2 2 2" xfId="39470"/>
    <cellStyle name="Normal 95 2 2 2 2" xfId="39471"/>
    <cellStyle name="Normal 95 2 2 3" xfId="39472"/>
    <cellStyle name="Normal 95 2 3" xfId="39473"/>
    <cellStyle name="Normal 95 2 3 2" xfId="39474"/>
    <cellStyle name="Normal 95 2 4" xfId="39475"/>
    <cellStyle name="Normal 95 3" xfId="39476"/>
    <cellStyle name="Normal 95 3 2" xfId="39477"/>
    <cellStyle name="Normal 95 3 2 2" xfId="39478"/>
    <cellStyle name="Normal 95 3 3" xfId="39479"/>
    <cellStyle name="Normal 95 4" xfId="39480"/>
    <cellStyle name="Normal 95 4 2" xfId="39481"/>
    <cellStyle name="Normal 95 5" xfId="39482"/>
    <cellStyle name="Normal 96" xfId="19026"/>
    <cellStyle name="Normal 96 2" xfId="19027"/>
    <cellStyle name="Normal 96 2 2" xfId="39483"/>
    <cellStyle name="Normal 96 2 2 2" xfId="39484"/>
    <cellStyle name="Normal 96 2 2 2 2" xfId="39485"/>
    <cellStyle name="Normal 96 2 2 3" xfId="39486"/>
    <cellStyle name="Normal 96 2 3" xfId="39487"/>
    <cellStyle name="Normal 96 2 3 2" xfId="39488"/>
    <cellStyle name="Normal 96 2 4" xfId="39489"/>
    <cellStyle name="Normal 96 3" xfId="39490"/>
    <cellStyle name="Normal 96 3 2" xfId="39491"/>
    <cellStyle name="Normal 96 3 2 2" xfId="39492"/>
    <cellStyle name="Normal 96 3 3" xfId="39493"/>
    <cellStyle name="Normal 96 4" xfId="39494"/>
    <cellStyle name="Normal 96 4 2" xfId="39495"/>
    <cellStyle name="Normal 96 5" xfId="39496"/>
    <cellStyle name="Normal 97" xfId="19028"/>
    <cellStyle name="Normal 97 2" xfId="19029"/>
    <cellStyle name="Normal 97 2 2" xfId="39497"/>
    <cellStyle name="Normal 97 2 2 2" xfId="39498"/>
    <cellStyle name="Normal 97 2 2 2 2" xfId="39499"/>
    <cellStyle name="Normal 97 2 2 3" xfId="39500"/>
    <cellStyle name="Normal 97 2 3" xfId="39501"/>
    <cellStyle name="Normal 97 2 3 2" xfId="39502"/>
    <cellStyle name="Normal 97 2 4" xfId="39503"/>
    <cellStyle name="Normal 97 3" xfId="39504"/>
    <cellStyle name="Normal 97 3 2" xfId="39505"/>
    <cellStyle name="Normal 97 3 2 2" xfId="39506"/>
    <cellStyle name="Normal 97 3 3" xfId="39507"/>
    <cellStyle name="Normal 97 4" xfId="39508"/>
    <cellStyle name="Normal 97 4 2" xfId="39509"/>
    <cellStyle name="Normal 97 5" xfId="39510"/>
    <cellStyle name="Normal 98" xfId="19030"/>
    <cellStyle name="Normal 98 2" xfId="19031"/>
    <cellStyle name="Normal 98 2 2" xfId="39511"/>
    <cellStyle name="Normal 98 2 2 2" xfId="39512"/>
    <cellStyle name="Normal 98 2 2 2 2" xfId="39513"/>
    <cellStyle name="Normal 98 2 2 3" xfId="39514"/>
    <cellStyle name="Normal 98 2 3" xfId="39515"/>
    <cellStyle name="Normal 98 2 3 2" xfId="39516"/>
    <cellStyle name="Normal 98 2 4" xfId="39517"/>
    <cellStyle name="Normal 98 3" xfId="39518"/>
    <cellStyle name="Normal 98 3 2" xfId="39519"/>
    <cellStyle name="Normal 98 3 2 2" xfId="39520"/>
    <cellStyle name="Normal 98 3 3" xfId="39521"/>
    <cellStyle name="Normal 98 4" xfId="39522"/>
    <cellStyle name="Normal 98 4 2" xfId="39523"/>
    <cellStyle name="Normal 98 5" xfId="39524"/>
    <cellStyle name="Normal 99" xfId="19032"/>
    <cellStyle name="Normal 99 2" xfId="19033"/>
    <cellStyle name="Normal 99 2 2" xfId="39525"/>
    <cellStyle name="Normal 99 2 2 2" xfId="39526"/>
    <cellStyle name="Normal 99 2 2 2 2" xfId="39527"/>
    <cellStyle name="Normal 99 2 2 3" xfId="39528"/>
    <cellStyle name="Normal 99 2 3" xfId="39529"/>
    <cellStyle name="Normal 99 2 3 2" xfId="39530"/>
    <cellStyle name="Normal 99 2 4" xfId="39531"/>
    <cellStyle name="Normal 99 3" xfId="39532"/>
    <cellStyle name="Normal 99 3 2" xfId="39533"/>
    <cellStyle name="Normal 99 3 2 2" xfId="39534"/>
    <cellStyle name="Normal 99 3 3" xfId="39535"/>
    <cellStyle name="Normal 99 4" xfId="39536"/>
    <cellStyle name="Normal 99 4 2" xfId="39537"/>
    <cellStyle name="Normal 99 5" xfId="39538"/>
    <cellStyle name="Notas" xfId="10230"/>
    <cellStyle name="Note 10" xfId="10231"/>
    <cellStyle name="Note 10 2" xfId="10232"/>
    <cellStyle name="Note 10 2 2" xfId="10233"/>
    <cellStyle name="Note 10 2 3" xfId="10234"/>
    <cellStyle name="Note 10 2 4" xfId="10235"/>
    <cellStyle name="Note 10 3" xfId="10236"/>
    <cellStyle name="Note 10 4" xfId="10237"/>
    <cellStyle name="Note 10 4 2" xfId="10238"/>
    <cellStyle name="Note 10 4 3" xfId="10239"/>
    <cellStyle name="Note 10 5" xfId="10240"/>
    <cellStyle name="Note 10 6" xfId="10241"/>
    <cellStyle name="Note 11" xfId="10242"/>
    <cellStyle name="Note 11 2" xfId="10243"/>
    <cellStyle name="Note 11 2 2" xfId="10244"/>
    <cellStyle name="Note 11 2 3" xfId="10245"/>
    <cellStyle name="Note 11 2 4" xfId="10246"/>
    <cellStyle name="Note 11 3" xfId="10247"/>
    <cellStyle name="Note 11 4" xfId="10248"/>
    <cellStyle name="Note 11 4 2" xfId="10249"/>
    <cellStyle name="Note 11 4 3" xfId="10250"/>
    <cellStyle name="Note 11 5" xfId="10251"/>
    <cellStyle name="Note 11 6" xfId="10252"/>
    <cellStyle name="Note 12" xfId="10253"/>
    <cellStyle name="Note 12 2" xfId="10254"/>
    <cellStyle name="Note 13" xfId="10255"/>
    <cellStyle name="Note 14" xfId="10256"/>
    <cellStyle name="Note 15" xfId="10257"/>
    <cellStyle name="Note 2" xfId="80"/>
    <cellStyle name="Note 2 10" xfId="10258"/>
    <cellStyle name="Note 2 10 2" xfId="10259"/>
    <cellStyle name="Note 2 10 2 2" xfId="10260"/>
    <cellStyle name="Note 2 10 2 3" xfId="10261"/>
    <cellStyle name="Note 2 10 2 4" xfId="10262"/>
    <cellStyle name="Note 2 10 3" xfId="10263"/>
    <cellStyle name="Note 2 10 4" xfId="10264"/>
    <cellStyle name="Note 2 10 4 2" xfId="10265"/>
    <cellStyle name="Note 2 10 4 3" xfId="10266"/>
    <cellStyle name="Note 2 10 5" xfId="10267"/>
    <cellStyle name="Note 2 10 6" xfId="10268"/>
    <cellStyle name="Note 2 11" xfId="10269"/>
    <cellStyle name="Note 2 11 2" xfId="10270"/>
    <cellStyle name="Note 2 11 3" xfId="10271"/>
    <cellStyle name="Note 2 11 4" xfId="10272"/>
    <cellStyle name="Note 2 12" xfId="10273"/>
    <cellStyle name="Note 2 12 2" xfId="10274"/>
    <cellStyle name="Note 2 12 3" xfId="10275"/>
    <cellStyle name="Note 2 13" xfId="10276"/>
    <cellStyle name="Note 2 13 2" xfId="10277"/>
    <cellStyle name="Note 2 14" xfId="10278"/>
    <cellStyle name="Note 2 15" xfId="10279"/>
    <cellStyle name="Note 2 16" xfId="39539"/>
    <cellStyle name="Note 2 17" xfId="39540"/>
    <cellStyle name="Note 2 2" xfId="10280"/>
    <cellStyle name="Note 2 2 10" xfId="39541"/>
    <cellStyle name="Note 2 2 11" xfId="39542"/>
    <cellStyle name="Note 2 2 2" xfId="10281"/>
    <cellStyle name="Note 2 2 2 2" xfId="10282"/>
    <cellStyle name="Note 2 2 2 2 2" xfId="10283"/>
    <cellStyle name="Note 2 2 2 2 2 2" xfId="10284"/>
    <cellStyle name="Note 2 2 2 2 2 2 2" xfId="39543"/>
    <cellStyle name="Note 2 2 2 2 2 2 2 2" xfId="39544"/>
    <cellStyle name="Note 2 2 2 2 2 2 3" xfId="39545"/>
    <cellStyle name="Note 2 2 2 2 2 3" xfId="10285"/>
    <cellStyle name="Note 2 2 2 2 2 3 2" xfId="39546"/>
    <cellStyle name="Note 2 2 2 2 2 4" xfId="39547"/>
    <cellStyle name="Note 2 2 2 2 2 5" xfId="39548"/>
    <cellStyle name="Note 2 2 2 2 3" xfId="10286"/>
    <cellStyle name="Note 2 2 2 2 3 2" xfId="39549"/>
    <cellStyle name="Note 2 2 2 2 3 2 2" xfId="39550"/>
    <cellStyle name="Note 2 2 2 2 3 3" xfId="39551"/>
    <cellStyle name="Note 2 2 2 2 4" xfId="10287"/>
    <cellStyle name="Note 2 2 2 2 4 2" xfId="39552"/>
    <cellStyle name="Note 2 2 2 2 5" xfId="39553"/>
    <cellStyle name="Note 2 2 2 2 6" xfId="39554"/>
    <cellStyle name="Note 2 2 2 3" xfId="10288"/>
    <cellStyle name="Note 2 2 2 3 2" xfId="10289"/>
    <cellStyle name="Note 2 2 2 3 2 2" xfId="39555"/>
    <cellStyle name="Note 2 2 2 3 2 2 2" xfId="39556"/>
    <cellStyle name="Note 2 2 2 3 2 3" xfId="39557"/>
    <cellStyle name="Note 2 2 2 3 3" xfId="10290"/>
    <cellStyle name="Note 2 2 2 3 3 2" xfId="39558"/>
    <cellStyle name="Note 2 2 2 3 4" xfId="39559"/>
    <cellStyle name="Note 2 2 2 3 5" xfId="39560"/>
    <cellStyle name="Note 2 2 2 4" xfId="10291"/>
    <cellStyle name="Note 2 2 2 5" xfId="10292"/>
    <cellStyle name="Note 2 2 2 5 2" xfId="39561"/>
    <cellStyle name="Note 2 2 2 5 2 2" xfId="39562"/>
    <cellStyle name="Note 2 2 2 5 3" xfId="39563"/>
    <cellStyle name="Note 2 2 2 6" xfId="39564"/>
    <cellStyle name="Note 2 2 2 6 2" xfId="39565"/>
    <cellStyle name="Note 2 2 2 7" xfId="39566"/>
    <cellStyle name="Note 2 2 2 8" xfId="39567"/>
    <cellStyle name="Note 2 2 3" xfId="10293"/>
    <cellStyle name="Note 2 2 3 2" xfId="10294"/>
    <cellStyle name="Note 2 2 3 2 2" xfId="10295"/>
    <cellStyle name="Note 2 2 3 2 2 2" xfId="39568"/>
    <cellStyle name="Note 2 2 3 2 2 2 2" xfId="39569"/>
    <cellStyle name="Note 2 2 3 2 2 3" xfId="39570"/>
    <cellStyle name="Note 2 2 3 2 3" xfId="10296"/>
    <cellStyle name="Note 2 2 3 2 3 2" xfId="39571"/>
    <cellStyle name="Note 2 2 3 2 4" xfId="39572"/>
    <cellStyle name="Note 2 2 3 2 5" xfId="39573"/>
    <cellStyle name="Note 2 2 3 3" xfId="10297"/>
    <cellStyle name="Note 2 2 3 3 2" xfId="39574"/>
    <cellStyle name="Note 2 2 3 3 2 2" xfId="39575"/>
    <cellStyle name="Note 2 2 3 3 3" xfId="39576"/>
    <cellStyle name="Note 2 2 3 4" xfId="10298"/>
    <cellStyle name="Note 2 2 3 4 2" xfId="39577"/>
    <cellStyle name="Note 2 2 3 5" xfId="39578"/>
    <cellStyle name="Note 2 2 3 6" xfId="39579"/>
    <cellStyle name="Note 2 2 4" xfId="10299"/>
    <cellStyle name="Note 2 2 4 2" xfId="10300"/>
    <cellStyle name="Note 2 2 4 3" xfId="10301"/>
    <cellStyle name="Note 2 2 4 4" xfId="39580"/>
    <cellStyle name="Note 2 2 5" xfId="10302"/>
    <cellStyle name="Note 2 2 5 2" xfId="39581"/>
    <cellStyle name="Note 2 2 5 2 2" xfId="39582"/>
    <cellStyle name="Note 2 2 5 2 2 2" xfId="39583"/>
    <cellStyle name="Note 2 2 5 2 3" xfId="39584"/>
    <cellStyle name="Note 2 2 5 3" xfId="39585"/>
    <cellStyle name="Note 2 2 5 3 2" xfId="39586"/>
    <cellStyle name="Note 2 2 5 4" xfId="39587"/>
    <cellStyle name="Note 2 2 5 5" xfId="39588"/>
    <cellStyle name="Note 2 2 6" xfId="10303"/>
    <cellStyle name="Note 2 2 7" xfId="19278"/>
    <cellStyle name="Note 2 2 7 2" xfId="39589"/>
    <cellStyle name="Note 2 2 7 2 2" xfId="39590"/>
    <cellStyle name="Note 2 2 7 3" xfId="39591"/>
    <cellStyle name="Note 2 2 8" xfId="39592"/>
    <cellStyle name="Note 2 2 8 2" xfId="39593"/>
    <cellStyle name="Note 2 2 9" xfId="39594"/>
    <cellStyle name="Note 2 3" xfId="10304"/>
    <cellStyle name="Note 2 3 10" xfId="10305"/>
    <cellStyle name="Note 2 3 10 2" xfId="10306"/>
    <cellStyle name="Note 2 3 10 3" xfId="10307"/>
    <cellStyle name="Note 2 3 11" xfId="10308"/>
    <cellStyle name="Note 2 3 12" xfId="39595"/>
    <cellStyle name="Note 2 3 2" xfId="10309"/>
    <cellStyle name="Note 2 3 2 2" xfId="10310"/>
    <cellStyle name="Note 2 3 2 2 2" xfId="10311"/>
    <cellStyle name="Note 2 3 2 2 2 2" xfId="39596"/>
    <cellStyle name="Note 2 3 2 2 2 2 2" xfId="39597"/>
    <cellStyle name="Note 2 3 2 2 2 3" xfId="39598"/>
    <cellStyle name="Note 2 3 2 2 3" xfId="10312"/>
    <cellStyle name="Note 2 3 2 2 3 2" xfId="39599"/>
    <cellStyle name="Note 2 3 2 2 4" xfId="39600"/>
    <cellStyle name="Note 2 3 2 2 5" xfId="39601"/>
    <cellStyle name="Note 2 3 2 3" xfId="10313"/>
    <cellStyle name="Note 2 3 2 3 2" xfId="39602"/>
    <cellStyle name="Note 2 3 2 3 2 2" xfId="39603"/>
    <cellStyle name="Note 2 3 2 3 3" xfId="39604"/>
    <cellStyle name="Note 2 3 2 4" xfId="10314"/>
    <cellStyle name="Note 2 3 2 4 2" xfId="39605"/>
    <cellStyle name="Note 2 3 2 5" xfId="39606"/>
    <cellStyle name="Note 2 3 2 6" xfId="39607"/>
    <cellStyle name="Note 2 3 3" xfId="10315"/>
    <cellStyle name="Note 2 3 3 10" xfId="39608"/>
    <cellStyle name="Note 2 3 3 2" xfId="10316"/>
    <cellStyle name="Note 2 3 3 2 2" xfId="10317"/>
    <cellStyle name="Note 2 3 3 2 2 2" xfId="10318"/>
    <cellStyle name="Note 2 3 3 2 2 2 2" xfId="10319"/>
    <cellStyle name="Note 2 3 3 2 2 2 3" xfId="10320"/>
    <cellStyle name="Note 2 3 3 2 2 2 4" xfId="10321"/>
    <cellStyle name="Note 2 3 3 2 2 3" xfId="10322"/>
    <cellStyle name="Note 2 3 3 2 2 4" xfId="10323"/>
    <cellStyle name="Note 2 3 3 2 2 4 2" xfId="10324"/>
    <cellStyle name="Note 2 3 3 2 2 4 3" xfId="10325"/>
    <cellStyle name="Note 2 3 3 2 2 5" xfId="10326"/>
    <cellStyle name="Note 2 3 3 2 2 6" xfId="10327"/>
    <cellStyle name="Note 2 3 3 2 3" xfId="10328"/>
    <cellStyle name="Note 2 3 3 2 3 2" xfId="10329"/>
    <cellStyle name="Note 2 3 3 2 3 2 2" xfId="10330"/>
    <cellStyle name="Note 2 3 3 2 3 2 3" xfId="10331"/>
    <cellStyle name="Note 2 3 3 2 3 2 4" xfId="10332"/>
    <cellStyle name="Note 2 3 3 2 3 3" xfId="10333"/>
    <cellStyle name="Note 2 3 3 2 3 4" xfId="10334"/>
    <cellStyle name="Note 2 3 3 2 3 4 2" xfId="10335"/>
    <cellStyle name="Note 2 3 3 2 3 4 3" xfId="10336"/>
    <cellStyle name="Note 2 3 3 2 3 5" xfId="10337"/>
    <cellStyle name="Note 2 3 3 2 3 6" xfId="10338"/>
    <cellStyle name="Note 2 3 3 2 4" xfId="10339"/>
    <cellStyle name="Note 2 3 3 2 4 2" xfId="10340"/>
    <cellStyle name="Note 2 3 3 2 4 3" xfId="10341"/>
    <cellStyle name="Note 2 3 3 2 4 4" xfId="10342"/>
    <cellStyle name="Note 2 3 3 2 5" xfId="10343"/>
    <cellStyle name="Note 2 3 3 2 6" xfId="10344"/>
    <cellStyle name="Note 2 3 3 2 6 2" xfId="10345"/>
    <cellStyle name="Note 2 3 3 2 6 3" xfId="10346"/>
    <cellStyle name="Note 2 3 3 2 7" xfId="10347"/>
    <cellStyle name="Note 2 3 3 2 8" xfId="10348"/>
    <cellStyle name="Note 2 3 3 3" xfId="10349"/>
    <cellStyle name="Note 2 3 3 3 2" xfId="10350"/>
    <cellStyle name="Note 2 3 3 3 2 2" xfId="10351"/>
    <cellStyle name="Note 2 3 3 3 2 3" xfId="10352"/>
    <cellStyle name="Note 2 3 3 3 2 4" xfId="10353"/>
    <cellStyle name="Note 2 3 3 3 3" xfId="10354"/>
    <cellStyle name="Note 2 3 3 3 4" xfId="10355"/>
    <cellStyle name="Note 2 3 3 3 4 2" xfId="10356"/>
    <cellStyle name="Note 2 3 3 3 4 3" xfId="10357"/>
    <cellStyle name="Note 2 3 3 3 5" xfId="10358"/>
    <cellStyle name="Note 2 3 3 3 6" xfId="10359"/>
    <cellStyle name="Note 2 3 3 4" xfId="10360"/>
    <cellStyle name="Note 2 3 3 4 2" xfId="10361"/>
    <cellStyle name="Note 2 3 3 4 2 2" xfId="10362"/>
    <cellStyle name="Note 2 3 3 4 2 3" xfId="10363"/>
    <cellStyle name="Note 2 3 3 4 2 4" xfId="10364"/>
    <cellStyle name="Note 2 3 3 4 3" xfId="10365"/>
    <cellStyle name="Note 2 3 3 4 4" xfId="10366"/>
    <cellStyle name="Note 2 3 3 4 4 2" xfId="10367"/>
    <cellStyle name="Note 2 3 3 4 4 3" xfId="10368"/>
    <cellStyle name="Note 2 3 3 4 5" xfId="10369"/>
    <cellStyle name="Note 2 3 3 4 6" xfId="10370"/>
    <cellStyle name="Note 2 3 3 5" xfId="10371"/>
    <cellStyle name="Note 2 3 3 5 2" xfId="10372"/>
    <cellStyle name="Note 2 3 3 5 3" xfId="10373"/>
    <cellStyle name="Note 2 3 3 5 4" xfId="10374"/>
    <cellStyle name="Note 2 3 3 6" xfId="10375"/>
    <cellStyle name="Note 2 3 3 7" xfId="10376"/>
    <cellStyle name="Note 2 3 3 7 2" xfId="10377"/>
    <cellStyle name="Note 2 3 3 7 3" xfId="10378"/>
    <cellStyle name="Note 2 3 3 8" xfId="10379"/>
    <cellStyle name="Note 2 3 3 9" xfId="10380"/>
    <cellStyle name="Note 2 3 4" xfId="10381"/>
    <cellStyle name="Note 2 3 4 2" xfId="10382"/>
    <cellStyle name="Note 2 3 4 2 2" xfId="10383"/>
    <cellStyle name="Note 2 3 4 2 2 2" xfId="10384"/>
    <cellStyle name="Note 2 3 4 2 2 2 2" xfId="10385"/>
    <cellStyle name="Note 2 3 4 2 2 2 3" xfId="10386"/>
    <cellStyle name="Note 2 3 4 2 2 2 4" xfId="10387"/>
    <cellStyle name="Note 2 3 4 2 2 3" xfId="10388"/>
    <cellStyle name="Note 2 3 4 2 2 4" xfId="10389"/>
    <cellStyle name="Note 2 3 4 2 2 4 2" xfId="10390"/>
    <cellStyle name="Note 2 3 4 2 2 4 3" xfId="10391"/>
    <cellStyle name="Note 2 3 4 2 2 5" xfId="10392"/>
    <cellStyle name="Note 2 3 4 2 2 6" xfId="10393"/>
    <cellStyle name="Note 2 3 4 2 3" xfId="10394"/>
    <cellStyle name="Note 2 3 4 2 3 2" xfId="10395"/>
    <cellStyle name="Note 2 3 4 2 3 2 2" xfId="10396"/>
    <cellStyle name="Note 2 3 4 2 3 2 3" xfId="10397"/>
    <cellStyle name="Note 2 3 4 2 3 2 4" xfId="10398"/>
    <cellStyle name="Note 2 3 4 2 3 3" xfId="10399"/>
    <cellStyle name="Note 2 3 4 2 3 4" xfId="10400"/>
    <cellStyle name="Note 2 3 4 2 3 4 2" xfId="10401"/>
    <cellStyle name="Note 2 3 4 2 3 4 3" xfId="10402"/>
    <cellStyle name="Note 2 3 4 2 3 5" xfId="10403"/>
    <cellStyle name="Note 2 3 4 2 3 6" xfId="10404"/>
    <cellStyle name="Note 2 3 4 2 4" xfId="10405"/>
    <cellStyle name="Note 2 3 4 2 4 2" xfId="10406"/>
    <cellStyle name="Note 2 3 4 2 4 3" xfId="10407"/>
    <cellStyle name="Note 2 3 4 2 4 4" xfId="10408"/>
    <cellStyle name="Note 2 3 4 2 5" xfId="10409"/>
    <cellStyle name="Note 2 3 4 2 6" xfId="10410"/>
    <cellStyle name="Note 2 3 4 2 6 2" xfId="10411"/>
    <cellStyle name="Note 2 3 4 2 6 3" xfId="10412"/>
    <cellStyle name="Note 2 3 4 2 7" xfId="10413"/>
    <cellStyle name="Note 2 3 4 2 8" xfId="10414"/>
    <cellStyle name="Note 2 3 4 3" xfId="10415"/>
    <cellStyle name="Note 2 3 4 3 2" xfId="10416"/>
    <cellStyle name="Note 2 3 4 3 2 2" xfId="10417"/>
    <cellStyle name="Note 2 3 4 3 2 3" xfId="10418"/>
    <cellStyle name="Note 2 3 4 3 2 4" xfId="10419"/>
    <cellStyle name="Note 2 3 4 3 3" xfId="10420"/>
    <cellStyle name="Note 2 3 4 3 4" xfId="10421"/>
    <cellStyle name="Note 2 3 4 3 4 2" xfId="10422"/>
    <cellStyle name="Note 2 3 4 3 4 3" xfId="10423"/>
    <cellStyle name="Note 2 3 4 3 5" xfId="10424"/>
    <cellStyle name="Note 2 3 4 3 6" xfId="10425"/>
    <cellStyle name="Note 2 3 4 4" xfId="10426"/>
    <cellStyle name="Note 2 3 4 4 2" xfId="10427"/>
    <cellStyle name="Note 2 3 4 4 2 2" xfId="10428"/>
    <cellStyle name="Note 2 3 4 4 2 3" xfId="10429"/>
    <cellStyle name="Note 2 3 4 4 2 4" xfId="10430"/>
    <cellStyle name="Note 2 3 4 4 3" xfId="10431"/>
    <cellStyle name="Note 2 3 4 4 4" xfId="10432"/>
    <cellStyle name="Note 2 3 4 4 4 2" xfId="10433"/>
    <cellStyle name="Note 2 3 4 4 4 3" xfId="10434"/>
    <cellStyle name="Note 2 3 4 4 5" xfId="10435"/>
    <cellStyle name="Note 2 3 4 4 6" xfId="10436"/>
    <cellStyle name="Note 2 3 4 5" xfId="10437"/>
    <cellStyle name="Note 2 3 4 5 2" xfId="10438"/>
    <cellStyle name="Note 2 3 4 5 3" xfId="10439"/>
    <cellStyle name="Note 2 3 4 5 4" xfId="10440"/>
    <cellStyle name="Note 2 3 4 6" xfId="10441"/>
    <cellStyle name="Note 2 3 4 7" xfId="10442"/>
    <cellStyle name="Note 2 3 4 7 2" xfId="10443"/>
    <cellStyle name="Note 2 3 4 7 3" xfId="10444"/>
    <cellStyle name="Note 2 3 4 8" xfId="10445"/>
    <cellStyle name="Note 2 3 4 9" xfId="10446"/>
    <cellStyle name="Note 2 3 5" xfId="10447"/>
    <cellStyle name="Note 2 3 5 2" xfId="10448"/>
    <cellStyle name="Note 2 3 5 2 2" xfId="10449"/>
    <cellStyle name="Note 2 3 5 2 2 2" xfId="10450"/>
    <cellStyle name="Note 2 3 5 2 2 2 2" xfId="10451"/>
    <cellStyle name="Note 2 3 5 2 2 2 3" xfId="10452"/>
    <cellStyle name="Note 2 3 5 2 2 2 4" xfId="10453"/>
    <cellStyle name="Note 2 3 5 2 2 3" xfId="10454"/>
    <cellStyle name="Note 2 3 5 2 2 4" xfId="10455"/>
    <cellStyle name="Note 2 3 5 2 2 4 2" xfId="10456"/>
    <cellStyle name="Note 2 3 5 2 2 4 3" xfId="10457"/>
    <cellStyle name="Note 2 3 5 2 2 5" xfId="10458"/>
    <cellStyle name="Note 2 3 5 2 2 6" xfId="10459"/>
    <cellStyle name="Note 2 3 5 2 3" xfId="10460"/>
    <cellStyle name="Note 2 3 5 2 3 2" xfId="10461"/>
    <cellStyle name="Note 2 3 5 2 3 2 2" xfId="10462"/>
    <cellStyle name="Note 2 3 5 2 3 2 3" xfId="10463"/>
    <cellStyle name="Note 2 3 5 2 3 2 4" xfId="10464"/>
    <cellStyle name="Note 2 3 5 2 3 3" xfId="10465"/>
    <cellStyle name="Note 2 3 5 2 3 4" xfId="10466"/>
    <cellStyle name="Note 2 3 5 2 3 4 2" xfId="10467"/>
    <cellStyle name="Note 2 3 5 2 3 4 3" xfId="10468"/>
    <cellStyle name="Note 2 3 5 2 3 5" xfId="10469"/>
    <cellStyle name="Note 2 3 5 2 3 6" xfId="10470"/>
    <cellStyle name="Note 2 3 5 2 4" xfId="10471"/>
    <cellStyle name="Note 2 3 5 2 4 2" xfId="10472"/>
    <cellStyle name="Note 2 3 5 2 4 3" xfId="10473"/>
    <cellStyle name="Note 2 3 5 2 4 4" xfId="10474"/>
    <cellStyle name="Note 2 3 5 2 5" xfId="10475"/>
    <cellStyle name="Note 2 3 5 2 6" xfId="10476"/>
    <cellStyle name="Note 2 3 5 2 6 2" xfId="10477"/>
    <cellStyle name="Note 2 3 5 2 6 3" xfId="10478"/>
    <cellStyle name="Note 2 3 5 2 7" xfId="10479"/>
    <cellStyle name="Note 2 3 5 2 8" xfId="10480"/>
    <cellStyle name="Note 2 3 5 3" xfId="10481"/>
    <cellStyle name="Note 2 3 5 3 2" xfId="10482"/>
    <cellStyle name="Note 2 3 5 3 2 2" xfId="10483"/>
    <cellStyle name="Note 2 3 5 3 2 3" xfId="10484"/>
    <cellStyle name="Note 2 3 5 3 2 4" xfId="10485"/>
    <cellStyle name="Note 2 3 5 3 3" xfId="10486"/>
    <cellStyle name="Note 2 3 5 3 4" xfId="10487"/>
    <cellStyle name="Note 2 3 5 3 4 2" xfId="10488"/>
    <cellStyle name="Note 2 3 5 3 4 3" xfId="10489"/>
    <cellStyle name="Note 2 3 5 3 5" xfId="10490"/>
    <cellStyle name="Note 2 3 5 3 6" xfId="10491"/>
    <cellStyle name="Note 2 3 5 4" xfId="10492"/>
    <cellStyle name="Note 2 3 5 4 2" xfId="10493"/>
    <cellStyle name="Note 2 3 5 4 2 2" xfId="10494"/>
    <cellStyle name="Note 2 3 5 4 2 3" xfId="10495"/>
    <cellStyle name="Note 2 3 5 4 2 4" xfId="10496"/>
    <cellStyle name="Note 2 3 5 4 3" xfId="10497"/>
    <cellStyle name="Note 2 3 5 4 4" xfId="10498"/>
    <cellStyle name="Note 2 3 5 4 4 2" xfId="10499"/>
    <cellStyle name="Note 2 3 5 4 4 3" xfId="10500"/>
    <cellStyle name="Note 2 3 5 4 5" xfId="10501"/>
    <cellStyle name="Note 2 3 5 4 6" xfId="10502"/>
    <cellStyle name="Note 2 3 5 5" xfId="10503"/>
    <cellStyle name="Note 2 3 5 5 2" xfId="10504"/>
    <cellStyle name="Note 2 3 5 5 3" xfId="10505"/>
    <cellStyle name="Note 2 3 5 5 4" xfId="10506"/>
    <cellStyle name="Note 2 3 5 6" xfId="10507"/>
    <cellStyle name="Note 2 3 5 7" xfId="10508"/>
    <cellStyle name="Note 2 3 5 7 2" xfId="10509"/>
    <cellStyle name="Note 2 3 5 7 3" xfId="10510"/>
    <cellStyle name="Note 2 3 5 8" xfId="10511"/>
    <cellStyle name="Note 2 3 5 9" xfId="10512"/>
    <cellStyle name="Note 2 3 6" xfId="10513"/>
    <cellStyle name="Note 2 3 6 2" xfId="10514"/>
    <cellStyle name="Note 2 3 6 2 2" xfId="10515"/>
    <cellStyle name="Note 2 3 6 2 2 2" xfId="10516"/>
    <cellStyle name="Note 2 3 6 2 2 3" xfId="10517"/>
    <cellStyle name="Note 2 3 6 2 2 4" xfId="10518"/>
    <cellStyle name="Note 2 3 6 2 3" xfId="10519"/>
    <cellStyle name="Note 2 3 6 2 4" xfId="10520"/>
    <cellStyle name="Note 2 3 6 2 4 2" xfId="10521"/>
    <cellStyle name="Note 2 3 6 2 4 3" xfId="10522"/>
    <cellStyle name="Note 2 3 6 2 5" xfId="10523"/>
    <cellStyle name="Note 2 3 6 2 6" xfId="10524"/>
    <cellStyle name="Note 2 3 6 3" xfId="10525"/>
    <cellStyle name="Note 2 3 6 3 2" xfId="10526"/>
    <cellStyle name="Note 2 3 6 3 2 2" xfId="10527"/>
    <cellStyle name="Note 2 3 6 3 2 3" xfId="10528"/>
    <cellStyle name="Note 2 3 6 3 2 4" xfId="10529"/>
    <cellStyle name="Note 2 3 6 3 3" xfId="10530"/>
    <cellStyle name="Note 2 3 6 3 4" xfId="10531"/>
    <cellStyle name="Note 2 3 6 3 4 2" xfId="10532"/>
    <cellStyle name="Note 2 3 6 3 4 3" xfId="10533"/>
    <cellStyle name="Note 2 3 6 3 5" xfId="10534"/>
    <cellStyle name="Note 2 3 6 3 6" xfId="10535"/>
    <cellStyle name="Note 2 3 6 4" xfId="10536"/>
    <cellStyle name="Note 2 3 6 4 2" xfId="10537"/>
    <cellStyle name="Note 2 3 6 4 3" xfId="10538"/>
    <cellStyle name="Note 2 3 6 4 4" xfId="10539"/>
    <cellStyle name="Note 2 3 6 5" xfId="10540"/>
    <cellStyle name="Note 2 3 6 6" xfId="10541"/>
    <cellStyle name="Note 2 3 6 6 2" xfId="10542"/>
    <cellStyle name="Note 2 3 6 6 3" xfId="10543"/>
    <cellStyle name="Note 2 3 6 7" xfId="10544"/>
    <cellStyle name="Note 2 3 6 8" xfId="10545"/>
    <cellStyle name="Note 2 3 7" xfId="10546"/>
    <cellStyle name="Note 2 3 7 2" xfId="10547"/>
    <cellStyle name="Note 2 3 7 2 2" xfId="10548"/>
    <cellStyle name="Note 2 3 7 2 3" xfId="10549"/>
    <cellStyle name="Note 2 3 7 2 4" xfId="10550"/>
    <cellStyle name="Note 2 3 7 3" xfId="10551"/>
    <cellStyle name="Note 2 3 7 4" xfId="10552"/>
    <cellStyle name="Note 2 3 7 4 2" xfId="10553"/>
    <cellStyle name="Note 2 3 7 4 3" xfId="10554"/>
    <cellStyle name="Note 2 3 7 5" xfId="10555"/>
    <cellStyle name="Note 2 3 7 6" xfId="10556"/>
    <cellStyle name="Note 2 3 8" xfId="10557"/>
    <cellStyle name="Note 2 3 8 2" xfId="10558"/>
    <cellStyle name="Note 2 3 8 2 2" xfId="10559"/>
    <cellStyle name="Note 2 3 8 2 3" xfId="10560"/>
    <cellStyle name="Note 2 3 8 2 4" xfId="10561"/>
    <cellStyle name="Note 2 3 8 3" xfId="10562"/>
    <cellStyle name="Note 2 3 8 4" xfId="10563"/>
    <cellStyle name="Note 2 3 8 4 2" xfId="10564"/>
    <cellStyle name="Note 2 3 8 4 3" xfId="10565"/>
    <cellStyle name="Note 2 3 8 5" xfId="10566"/>
    <cellStyle name="Note 2 3 8 6" xfId="10567"/>
    <cellStyle name="Note 2 3 9" xfId="10568"/>
    <cellStyle name="Note 2 3 9 2" xfId="10569"/>
    <cellStyle name="Note 2 3 9 3" xfId="10570"/>
    <cellStyle name="Note 2 3 9 4" xfId="10571"/>
    <cellStyle name="Note 2 4" xfId="10572"/>
    <cellStyle name="Note 2 4 2" xfId="10573"/>
    <cellStyle name="Note 2 4 2 2" xfId="10574"/>
    <cellStyle name="Note 2 4 2 2 2" xfId="39609"/>
    <cellStyle name="Note 2 4 2 2 2 2" xfId="39610"/>
    <cellStyle name="Note 2 4 2 2 3" xfId="39611"/>
    <cellStyle name="Note 2 4 2 3" xfId="10575"/>
    <cellStyle name="Note 2 4 2 3 2" xfId="39612"/>
    <cellStyle name="Note 2 4 2 4" xfId="39613"/>
    <cellStyle name="Note 2 4 2 5" xfId="39614"/>
    <cellStyle name="Note 2 4 3" xfId="10576"/>
    <cellStyle name="Note 2 4 3 2" xfId="39615"/>
    <cellStyle name="Note 2 4 3 2 2" xfId="39616"/>
    <cellStyle name="Note 2 4 3 3" xfId="39617"/>
    <cellStyle name="Note 2 4 4" xfId="10577"/>
    <cellStyle name="Note 2 4 4 2" xfId="39618"/>
    <cellStyle name="Note 2 4 5" xfId="39619"/>
    <cellStyle name="Note 2 4 6" xfId="39620"/>
    <cellStyle name="Note 2 5" xfId="10578"/>
    <cellStyle name="Note 2 5 10" xfId="39621"/>
    <cellStyle name="Note 2 5 2" xfId="10579"/>
    <cellStyle name="Note 2 5 2 2" xfId="10580"/>
    <cellStyle name="Note 2 5 2 2 2" xfId="10581"/>
    <cellStyle name="Note 2 5 2 2 2 2" xfId="10582"/>
    <cellStyle name="Note 2 5 2 2 2 3" xfId="10583"/>
    <cellStyle name="Note 2 5 2 2 2 4" xfId="10584"/>
    <cellStyle name="Note 2 5 2 2 3" xfId="10585"/>
    <cellStyle name="Note 2 5 2 2 4" xfId="10586"/>
    <cellStyle name="Note 2 5 2 2 4 2" xfId="10587"/>
    <cellStyle name="Note 2 5 2 2 4 3" xfId="10588"/>
    <cellStyle name="Note 2 5 2 2 5" xfId="10589"/>
    <cellStyle name="Note 2 5 2 2 6" xfId="10590"/>
    <cellStyle name="Note 2 5 2 3" xfId="10591"/>
    <cellStyle name="Note 2 5 2 3 2" xfId="10592"/>
    <cellStyle name="Note 2 5 2 3 2 2" xfId="10593"/>
    <cellStyle name="Note 2 5 2 3 2 3" xfId="10594"/>
    <cellStyle name="Note 2 5 2 3 2 4" xfId="10595"/>
    <cellStyle name="Note 2 5 2 3 3" xfId="10596"/>
    <cellStyle name="Note 2 5 2 3 4" xfId="10597"/>
    <cellStyle name="Note 2 5 2 3 4 2" xfId="10598"/>
    <cellStyle name="Note 2 5 2 3 4 3" xfId="10599"/>
    <cellStyle name="Note 2 5 2 3 5" xfId="10600"/>
    <cellStyle name="Note 2 5 2 3 6" xfId="10601"/>
    <cellStyle name="Note 2 5 2 4" xfId="10602"/>
    <cellStyle name="Note 2 5 2 4 2" xfId="10603"/>
    <cellStyle name="Note 2 5 2 4 3" xfId="10604"/>
    <cellStyle name="Note 2 5 2 4 4" xfId="10605"/>
    <cellStyle name="Note 2 5 2 5" xfId="10606"/>
    <cellStyle name="Note 2 5 2 6" xfId="10607"/>
    <cellStyle name="Note 2 5 2 6 2" xfId="10608"/>
    <cellStyle name="Note 2 5 2 6 3" xfId="10609"/>
    <cellStyle name="Note 2 5 2 7" xfId="10610"/>
    <cellStyle name="Note 2 5 2 8" xfId="10611"/>
    <cellStyle name="Note 2 5 3" xfId="10612"/>
    <cellStyle name="Note 2 5 3 2" xfId="10613"/>
    <cellStyle name="Note 2 5 3 2 2" xfId="10614"/>
    <cellStyle name="Note 2 5 3 2 3" xfId="10615"/>
    <cellStyle name="Note 2 5 3 2 4" xfId="10616"/>
    <cellStyle name="Note 2 5 3 3" xfId="10617"/>
    <cellStyle name="Note 2 5 3 4" xfId="10618"/>
    <cellStyle name="Note 2 5 3 4 2" xfId="10619"/>
    <cellStyle name="Note 2 5 3 4 3" xfId="10620"/>
    <cellStyle name="Note 2 5 3 5" xfId="10621"/>
    <cellStyle name="Note 2 5 3 6" xfId="10622"/>
    <cellStyle name="Note 2 5 4" xfId="10623"/>
    <cellStyle name="Note 2 5 4 2" xfId="10624"/>
    <cellStyle name="Note 2 5 4 2 2" xfId="10625"/>
    <cellStyle name="Note 2 5 4 2 3" xfId="10626"/>
    <cellStyle name="Note 2 5 4 2 4" xfId="10627"/>
    <cellStyle name="Note 2 5 4 3" xfId="10628"/>
    <cellStyle name="Note 2 5 4 4" xfId="10629"/>
    <cellStyle name="Note 2 5 4 4 2" xfId="10630"/>
    <cellStyle name="Note 2 5 4 4 3" xfId="10631"/>
    <cellStyle name="Note 2 5 4 5" xfId="10632"/>
    <cellStyle name="Note 2 5 4 6" xfId="10633"/>
    <cellStyle name="Note 2 5 5" xfId="10634"/>
    <cellStyle name="Note 2 5 5 2" xfId="10635"/>
    <cellStyle name="Note 2 5 5 3" xfId="10636"/>
    <cellStyle name="Note 2 5 5 4" xfId="10637"/>
    <cellStyle name="Note 2 5 6" xfId="10638"/>
    <cellStyle name="Note 2 5 7" xfId="10639"/>
    <cellStyle name="Note 2 5 7 2" xfId="10640"/>
    <cellStyle name="Note 2 5 7 3" xfId="10641"/>
    <cellStyle name="Note 2 5 8" xfId="10642"/>
    <cellStyle name="Note 2 5 9" xfId="10643"/>
    <cellStyle name="Note 2 6" xfId="10644"/>
    <cellStyle name="Note 2 6 10" xfId="39622"/>
    <cellStyle name="Note 2 6 2" xfId="10645"/>
    <cellStyle name="Note 2 6 2 2" xfId="10646"/>
    <cellStyle name="Note 2 6 2 2 2" xfId="10647"/>
    <cellStyle name="Note 2 6 2 2 2 2" xfId="10648"/>
    <cellStyle name="Note 2 6 2 2 2 3" xfId="10649"/>
    <cellStyle name="Note 2 6 2 2 2 4" xfId="10650"/>
    <cellStyle name="Note 2 6 2 2 3" xfId="10651"/>
    <cellStyle name="Note 2 6 2 2 4" xfId="10652"/>
    <cellStyle name="Note 2 6 2 2 4 2" xfId="10653"/>
    <cellStyle name="Note 2 6 2 2 4 3" xfId="10654"/>
    <cellStyle name="Note 2 6 2 2 5" xfId="10655"/>
    <cellStyle name="Note 2 6 2 2 6" xfId="10656"/>
    <cellStyle name="Note 2 6 2 3" xfId="10657"/>
    <cellStyle name="Note 2 6 2 3 2" xfId="10658"/>
    <cellStyle name="Note 2 6 2 3 2 2" xfId="10659"/>
    <cellStyle name="Note 2 6 2 3 2 3" xfId="10660"/>
    <cellStyle name="Note 2 6 2 3 2 4" xfId="10661"/>
    <cellStyle name="Note 2 6 2 3 3" xfId="10662"/>
    <cellStyle name="Note 2 6 2 3 4" xfId="10663"/>
    <cellStyle name="Note 2 6 2 3 4 2" xfId="10664"/>
    <cellStyle name="Note 2 6 2 3 4 3" xfId="10665"/>
    <cellStyle name="Note 2 6 2 3 5" xfId="10666"/>
    <cellStyle name="Note 2 6 2 3 6" xfId="10667"/>
    <cellStyle name="Note 2 6 2 4" xfId="10668"/>
    <cellStyle name="Note 2 6 2 4 2" xfId="10669"/>
    <cellStyle name="Note 2 6 2 4 3" xfId="10670"/>
    <cellStyle name="Note 2 6 2 4 4" xfId="10671"/>
    <cellStyle name="Note 2 6 2 5" xfId="10672"/>
    <cellStyle name="Note 2 6 2 6" xfId="10673"/>
    <cellStyle name="Note 2 6 2 6 2" xfId="10674"/>
    <cellStyle name="Note 2 6 2 6 3" xfId="10675"/>
    <cellStyle name="Note 2 6 2 7" xfId="10676"/>
    <cellStyle name="Note 2 6 2 8" xfId="10677"/>
    <cellStyle name="Note 2 6 3" xfId="10678"/>
    <cellStyle name="Note 2 6 3 2" xfId="10679"/>
    <cellStyle name="Note 2 6 3 2 2" xfId="10680"/>
    <cellStyle name="Note 2 6 3 2 3" xfId="10681"/>
    <cellStyle name="Note 2 6 3 2 4" xfId="10682"/>
    <cellStyle name="Note 2 6 3 3" xfId="10683"/>
    <cellStyle name="Note 2 6 3 4" xfId="10684"/>
    <cellStyle name="Note 2 6 3 4 2" xfId="10685"/>
    <cellStyle name="Note 2 6 3 4 3" xfId="10686"/>
    <cellStyle name="Note 2 6 3 5" xfId="10687"/>
    <cellStyle name="Note 2 6 3 6" xfId="10688"/>
    <cellStyle name="Note 2 6 4" xfId="10689"/>
    <cellStyle name="Note 2 6 4 2" xfId="10690"/>
    <cellStyle name="Note 2 6 4 2 2" xfId="10691"/>
    <cellStyle name="Note 2 6 4 2 3" xfId="10692"/>
    <cellStyle name="Note 2 6 4 2 4" xfId="10693"/>
    <cellStyle name="Note 2 6 4 3" xfId="10694"/>
    <cellStyle name="Note 2 6 4 4" xfId="10695"/>
    <cellStyle name="Note 2 6 4 4 2" xfId="10696"/>
    <cellStyle name="Note 2 6 4 4 3" xfId="10697"/>
    <cellStyle name="Note 2 6 4 5" xfId="10698"/>
    <cellStyle name="Note 2 6 4 6" xfId="10699"/>
    <cellStyle name="Note 2 6 5" xfId="10700"/>
    <cellStyle name="Note 2 6 5 2" xfId="10701"/>
    <cellStyle name="Note 2 6 5 3" xfId="10702"/>
    <cellStyle name="Note 2 6 5 4" xfId="10703"/>
    <cellStyle name="Note 2 6 6" xfId="10704"/>
    <cellStyle name="Note 2 6 7" xfId="10705"/>
    <cellStyle name="Note 2 6 7 2" xfId="10706"/>
    <cellStyle name="Note 2 6 7 3" xfId="10707"/>
    <cellStyle name="Note 2 6 8" xfId="10708"/>
    <cellStyle name="Note 2 6 9" xfId="10709"/>
    <cellStyle name="Note 2 7" xfId="10710"/>
    <cellStyle name="Note 2 7 2" xfId="10711"/>
    <cellStyle name="Note 2 7 2 2" xfId="10712"/>
    <cellStyle name="Note 2 7 2 2 2" xfId="10713"/>
    <cellStyle name="Note 2 7 2 2 2 2" xfId="10714"/>
    <cellStyle name="Note 2 7 2 2 2 3" xfId="10715"/>
    <cellStyle name="Note 2 7 2 2 2 4" xfId="10716"/>
    <cellStyle name="Note 2 7 2 2 3" xfId="10717"/>
    <cellStyle name="Note 2 7 2 2 4" xfId="10718"/>
    <cellStyle name="Note 2 7 2 2 4 2" xfId="10719"/>
    <cellStyle name="Note 2 7 2 2 4 3" xfId="10720"/>
    <cellStyle name="Note 2 7 2 2 5" xfId="10721"/>
    <cellStyle name="Note 2 7 2 2 6" xfId="10722"/>
    <cellStyle name="Note 2 7 2 3" xfId="10723"/>
    <cellStyle name="Note 2 7 2 3 2" xfId="10724"/>
    <cellStyle name="Note 2 7 2 3 2 2" xfId="10725"/>
    <cellStyle name="Note 2 7 2 3 2 3" xfId="10726"/>
    <cellStyle name="Note 2 7 2 3 2 4" xfId="10727"/>
    <cellStyle name="Note 2 7 2 3 3" xfId="10728"/>
    <cellStyle name="Note 2 7 2 3 4" xfId="10729"/>
    <cellStyle name="Note 2 7 2 3 4 2" xfId="10730"/>
    <cellStyle name="Note 2 7 2 3 4 3" xfId="10731"/>
    <cellStyle name="Note 2 7 2 3 5" xfId="10732"/>
    <cellStyle name="Note 2 7 2 3 6" xfId="10733"/>
    <cellStyle name="Note 2 7 2 4" xfId="10734"/>
    <cellStyle name="Note 2 7 2 4 2" xfId="10735"/>
    <cellStyle name="Note 2 7 2 4 3" xfId="10736"/>
    <cellStyle name="Note 2 7 2 4 4" xfId="10737"/>
    <cellStyle name="Note 2 7 2 5" xfId="10738"/>
    <cellStyle name="Note 2 7 2 6" xfId="10739"/>
    <cellStyle name="Note 2 7 2 6 2" xfId="10740"/>
    <cellStyle name="Note 2 7 2 6 3" xfId="10741"/>
    <cellStyle name="Note 2 7 2 7" xfId="10742"/>
    <cellStyle name="Note 2 7 2 8" xfId="10743"/>
    <cellStyle name="Note 2 7 3" xfId="10744"/>
    <cellStyle name="Note 2 7 3 2" xfId="10745"/>
    <cellStyle name="Note 2 7 3 2 2" xfId="10746"/>
    <cellStyle name="Note 2 7 3 2 3" xfId="10747"/>
    <cellStyle name="Note 2 7 3 2 4" xfId="10748"/>
    <cellStyle name="Note 2 7 3 3" xfId="10749"/>
    <cellStyle name="Note 2 7 3 4" xfId="10750"/>
    <cellStyle name="Note 2 7 3 4 2" xfId="10751"/>
    <cellStyle name="Note 2 7 3 4 3" xfId="10752"/>
    <cellStyle name="Note 2 7 3 5" xfId="10753"/>
    <cellStyle name="Note 2 7 3 6" xfId="10754"/>
    <cellStyle name="Note 2 7 4" xfId="10755"/>
    <cellStyle name="Note 2 7 4 2" xfId="10756"/>
    <cellStyle name="Note 2 7 4 2 2" xfId="10757"/>
    <cellStyle name="Note 2 7 4 2 2 2" xfId="10758"/>
    <cellStyle name="Note 2 7 4 2 2 2 2" xfId="10759"/>
    <cellStyle name="Note 2 7 4 2 2 3" xfId="10760"/>
    <cellStyle name="Note 2 7 4 2 2 4" xfId="10761"/>
    <cellStyle name="Note 2 7 4 2 3" xfId="10762"/>
    <cellStyle name="Note 2 7 4 2 3 2" xfId="10763"/>
    <cellStyle name="Note 2 7 4 2 4" xfId="10764"/>
    <cellStyle name="Note 2 7 4 2 4 2" xfId="10765"/>
    <cellStyle name="Note 2 7 4 2 5" xfId="10766"/>
    <cellStyle name="Note 2 7 4 2 5 2" xfId="10767"/>
    <cellStyle name="Note 2 7 4 3" xfId="10768"/>
    <cellStyle name="Note 2 7 4 3 2" xfId="10769"/>
    <cellStyle name="Note 2 7 4 3 2 2" xfId="10770"/>
    <cellStyle name="Note 2 7 4 3 3" xfId="10771"/>
    <cellStyle name="Note 2 7 4 3 4" xfId="10772"/>
    <cellStyle name="Note 2 7 4 4" xfId="10773"/>
    <cellStyle name="Note 2 7 4 4 2" xfId="10774"/>
    <cellStyle name="Note 2 7 4 4 2 2" xfId="10775"/>
    <cellStyle name="Note 2 7 4 4 3" xfId="10776"/>
    <cellStyle name="Note 2 7 4 4 3 2" xfId="10777"/>
    <cellStyle name="Note 2 7 4 4 4" xfId="10778"/>
    <cellStyle name="Note 2 7 4 4 5" xfId="10779"/>
    <cellStyle name="Note 2 7 4 5" xfId="10780"/>
    <cellStyle name="Note 2 7 4 6" xfId="10781"/>
    <cellStyle name="Note 2 7 5" xfId="10782"/>
    <cellStyle name="Note 2 7 5 2" xfId="10783"/>
    <cellStyle name="Note 2 7 5 2 2" xfId="10784"/>
    <cellStyle name="Note 2 7 5 2 2 2" xfId="10785"/>
    <cellStyle name="Note 2 7 5 2 3" xfId="10786"/>
    <cellStyle name="Note 2 7 5 2 4" xfId="10787"/>
    <cellStyle name="Note 2 7 5 3" xfId="10788"/>
    <cellStyle name="Note 2 7 5 3 2" xfId="10789"/>
    <cellStyle name="Note 2 7 5 4" xfId="10790"/>
    <cellStyle name="Note 2 7 5 4 2" xfId="10791"/>
    <cellStyle name="Note 2 7 5 5" xfId="10792"/>
    <cellStyle name="Note 2 7 5 5 2" xfId="10793"/>
    <cellStyle name="Note 2 7 5 6" xfId="10794"/>
    <cellStyle name="Note 2 7 5 7" xfId="10795"/>
    <cellStyle name="Note 2 7 6" xfId="10796"/>
    <cellStyle name="Note 2 7 6 2" xfId="10797"/>
    <cellStyle name="Note 2 7 6 2 2" xfId="10798"/>
    <cellStyle name="Note 2 7 6 3" xfId="10799"/>
    <cellStyle name="Note 2 7 6 4" xfId="10800"/>
    <cellStyle name="Note 2 7 7" xfId="10801"/>
    <cellStyle name="Note 2 7 7 2" xfId="10802"/>
    <cellStyle name="Note 2 7 7 2 2" xfId="10803"/>
    <cellStyle name="Note 2 7 7 3" xfId="10804"/>
    <cellStyle name="Note 2 7 7 3 2" xfId="10805"/>
    <cellStyle name="Note 2 7 7 4" xfId="10806"/>
    <cellStyle name="Note 2 7 7 5" xfId="10807"/>
    <cellStyle name="Note 2 7 8" xfId="10808"/>
    <cellStyle name="Note 2 7 9" xfId="10809"/>
    <cellStyle name="Note 2 8" xfId="10810"/>
    <cellStyle name="Note 2 8 10" xfId="10811"/>
    <cellStyle name="Note 2 8 2" xfId="10812"/>
    <cellStyle name="Note 2 8 2 2" xfId="10813"/>
    <cellStyle name="Note 2 8 2 2 2" xfId="10814"/>
    <cellStyle name="Note 2 8 2 2 2 2" xfId="10815"/>
    <cellStyle name="Note 2 8 2 2 2 2 2" xfId="10816"/>
    <cellStyle name="Note 2 8 2 2 2 3" xfId="10817"/>
    <cellStyle name="Note 2 8 2 2 2 4" xfId="10818"/>
    <cellStyle name="Note 2 8 2 2 3" xfId="10819"/>
    <cellStyle name="Note 2 8 2 2 3 2" xfId="10820"/>
    <cellStyle name="Note 2 8 2 2 4" xfId="10821"/>
    <cellStyle name="Note 2 8 2 2 4 2" xfId="10822"/>
    <cellStyle name="Note 2 8 2 2 5" xfId="10823"/>
    <cellStyle name="Note 2 8 2 2 5 2" xfId="10824"/>
    <cellStyle name="Note 2 8 2 2 6" xfId="10825"/>
    <cellStyle name="Note 2 8 2 2 7" xfId="10826"/>
    <cellStyle name="Note 2 8 2 3" xfId="10827"/>
    <cellStyle name="Note 2 8 2 3 2" xfId="10828"/>
    <cellStyle name="Note 2 8 2 3 2 2" xfId="10829"/>
    <cellStyle name="Note 2 8 2 3 3" xfId="10830"/>
    <cellStyle name="Note 2 8 2 3 4" xfId="10831"/>
    <cellStyle name="Note 2 8 2 4" xfId="10832"/>
    <cellStyle name="Note 2 8 2 4 2" xfId="10833"/>
    <cellStyle name="Note 2 8 2 4 2 2" xfId="10834"/>
    <cellStyle name="Note 2 8 2 4 3" xfId="10835"/>
    <cellStyle name="Note 2 8 2 4 3 2" xfId="10836"/>
    <cellStyle name="Note 2 8 2 4 4" xfId="10837"/>
    <cellStyle name="Note 2 8 2 4 5" xfId="10838"/>
    <cellStyle name="Note 2 8 2 5" xfId="10839"/>
    <cellStyle name="Note 2 8 2 5 2" xfId="10840"/>
    <cellStyle name="Note 2 8 2 6" xfId="10841"/>
    <cellStyle name="Note 2 8 2 7" xfId="10842"/>
    <cellStyle name="Note 2 8 2 8" xfId="10843"/>
    <cellStyle name="Note 2 8 3" xfId="10844"/>
    <cellStyle name="Note 2 8 3 2" xfId="10845"/>
    <cellStyle name="Note 2 8 3 2 2" xfId="10846"/>
    <cellStyle name="Note 2 8 3 2 2 2" xfId="10847"/>
    <cellStyle name="Note 2 8 3 2 2 2 2" xfId="10848"/>
    <cellStyle name="Note 2 8 3 2 2 3" xfId="10849"/>
    <cellStyle name="Note 2 8 3 2 2 4" xfId="10850"/>
    <cellStyle name="Note 2 8 3 2 3" xfId="10851"/>
    <cellStyle name="Note 2 8 3 2 3 2" xfId="10852"/>
    <cellStyle name="Note 2 8 3 2 4" xfId="10853"/>
    <cellStyle name="Note 2 8 3 2 4 2" xfId="10854"/>
    <cellStyle name="Note 2 8 3 2 5" xfId="10855"/>
    <cellStyle name="Note 2 8 3 2 5 2" xfId="10856"/>
    <cellStyle name="Note 2 8 3 2 6" xfId="10857"/>
    <cellStyle name="Note 2 8 3 2 7" xfId="10858"/>
    <cellStyle name="Note 2 8 3 3" xfId="10859"/>
    <cellStyle name="Note 2 8 3 3 2" xfId="10860"/>
    <cellStyle name="Note 2 8 3 3 2 2" xfId="10861"/>
    <cellStyle name="Note 2 8 3 3 3" xfId="10862"/>
    <cellStyle name="Note 2 8 3 3 4" xfId="10863"/>
    <cellStyle name="Note 2 8 3 4" xfId="10864"/>
    <cellStyle name="Note 2 8 3 4 2" xfId="10865"/>
    <cellStyle name="Note 2 8 3 4 2 2" xfId="10866"/>
    <cellStyle name="Note 2 8 3 4 3" xfId="10867"/>
    <cellStyle name="Note 2 8 3 4 3 2" xfId="10868"/>
    <cellStyle name="Note 2 8 3 4 4" xfId="10869"/>
    <cellStyle name="Note 2 8 3 4 5" xfId="10870"/>
    <cellStyle name="Note 2 8 3 5" xfId="10871"/>
    <cellStyle name="Note 2 8 3 5 2" xfId="10872"/>
    <cellStyle name="Note 2 8 3 6" xfId="10873"/>
    <cellStyle name="Note 2 8 3 7" xfId="10874"/>
    <cellStyle name="Note 2 8 3 8" xfId="10875"/>
    <cellStyle name="Note 2 8 4" xfId="10876"/>
    <cellStyle name="Note 2 8 4 2" xfId="10877"/>
    <cellStyle name="Note 2 8 4 2 2" xfId="10878"/>
    <cellStyle name="Note 2 8 4 2 2 2" xfId="10879"/>
    <cellStyle name="Note 2 8 4 2 3" xfId="10880"/>
    <cellStyle name="Note 2 8 4 2 4" xfId="10881"/>
    <cellStyle name="Note 2 8 4 3" xfId="10882"/>
    <cellStyle name="Note 2 8 4 3 2" xfId="10883"/>
    <cellStyle name="Note 2 8 4 4" xfId="10884"/>
    <cellStyle name="Note 2 8 4 4 2" xfId="10885"/>
    <cellStyle name="Note 2 8 4 5" xfId="10886"/>
    <cellStyle name="Note 2 8 4 5 2" xfId="10887"/>
    <cellStyle name="Note 2 8 4 6" xfId="10888"/>
    <cellStyle name="Note 2 8 4 7" xfId="10889"/>
    <cellStyle name="Note 2 8 5" xfId="10890"/>
    <cellStyle name="Note 2 8 5 2" xfId="10891"/>
    <cellStyle name="Note 2 8 5 2 2" xfId="10892"/>
    <cellStyle name="Note 2 8 5 3" xfId="10893"/>
    <cellStyle name="Note 2 8 5 4" xfId="10894"/>
    <cellStyle name="Note 2 8 6" xfId="10895"/>
    <cellStyle name="Note 2 8 6 2" xfId="10896"/>
    <cellStyle name="Note 2 8 6 2 2" xfId="10897"/>
    <cellStyle name="Note 2 8 6 3" xfId="10898"/>
    <cellStyle name="Note 2 8 6 3 2" xfId="10899"/>
    <cellStyle name="Note 2 8 6 4" xfId="10900"/>
    <cellStyle name="Note 2 8 6 5" xfId="10901"/>
    <cellStyle name="Note 2 8 7" xfId="10902"/>
    <cellStyle name="Note 2 8 7 2" xfId="10903"/>
    <cellStyle name="Note 2 8 8" xfId="10904"/>
    <cellStyle name="Note 2 8 9" xfId="10905"/>
    <cellStyle name="Note 2 9" xfId="10906"/>
    <cellStyle name="Note 2 9 2" xfId="10907"/>
    <cellStyle name="Note 2 9 2 2" xfId="10908"/>
    <cellStyle name="Note 2 9 2 2 2" xfId="10909"/>
    <cellStyle name="Note 2 9 2 2 2 2" xfId="10910"/>
    <cellStyle name="Note 2 9 2 2 3" xfId="10911"/>
    <cellStyle name="Note 2 9 2 2 4" xfId="10912"/>
    <cellStyle name="Note 2 9 2 3" xfId="10913"/>
    <cellStyle name="Note 2 9 2 3 2" xfId="10914"/>
    <cellStyle name="Note 2 9 2 4" xfId="10915"/>
    <cellStyle name="Note 2 9 2 4 2" xfId="10916"/>
    <cellStyle name="Note 2 9 2 5" xfId="10917"/>
    <cellStyle name="Note 2 9 2 5 2" xfId="10918"/>
    <cellStyle name="Note 2 9 2 6" xfId="10919"/>
    <cellStyle name="Note 2 9 2 7" xfId="10920"/>
    <cellStyle name="Note 2 9 3" xfId="10921"/>
    <cellStyle name="Note 2 9 3 2" xfId="10922"/>
    <cellStyle name="Note 2 9 3 2 2" xfId="10923"/>
    <cellStyle name="Note 2 9 3 3" xfId="10924"/>
    <cellStyle name="Note 2 9 3 4" xfId="10925"/>
    <cellStyle name="Note 2 9 4" xfId="10926"/>
    <cellStyle name="Note 2 9 4 2" xfId="10927"/>
    <cellStyle name="Note 2 9 4 2 2" xfId="10928"/>
    <cellStyle name="Note 2 9 4 3" xfId="10929"/>
    <cellStyle name="Note 2 9 4 3 2" xfId="10930"/>
    <cellStyle name="Note 2 9 4 4" xfId="10931"/>
    <cellStyle name="Note 2 9 4 5" xfId="10932"/>
    <cellStyle name="Note 2 9 5" xfId="10933"/>
    <cellStyle name="Note 2 9 5 2" xfId="10934"/>
    <cellStyle name="Note 2 9 6" xfId="10935"/>
    <cellStyle name="Note 2 9 7" xfId="10936"/>
    <cellStyle name="Note 2 9 8" xfId="10937"/>
    <cellStyle name="Note 3" xfId="81"/>
    <cellStyle name="Note 3 10" xfId="39623"/>
    <cellStyle name="Note 3 2" xfId="10938"/>
    <cellStyle name="Note 3 2 10" xfId="39624"/>
    <cellStyle name="Note 3 2 2" xfId="10939"/>
    <cellStyle name="Note 3 2 2 2" xfId="10940"/>
    <cellStyle name="Note 3 2 2 2 2" xfId="19034"/>
    <cellStyle name="Note 3 2 2 2 2 2" xfId="39625"/>
    <cellStyle name="Note 3 2 2 2 2 2 2" xfId="39626"/>
    <cellStyle name="Note 3 2 2 2 2 2 2 2" xfId="39627"/>
    <cellStyle name="Note 3 2 2 2 2 2 3" xfId="39628"/>
    <cellStyle name="Note 3 2 2 2 2 3" xfId="39629"/>
    <cellStyle name="Note 3 2 2 2 2 3 2" xfId="39630"/>
    <cellStyle name="Note 3 2 2 2 2 4" xfId="39631"/>
    <cellStyle name="Note 3 2 2 2 3" xfId="39632"/>
    <cellStyle name="Note 3 2 2 2 3 2" xfId="39633"/>
    <cellStyle name="Note 3 2 2 2 3 2 2" xfId="39634"/>
    <cellStyle name="Note 3 2 2 2 3 3" xfId="39635"/>
    <cellStyle name="Note 3 2 2 2 4" xfId="39636"/>
    <cellStyle name="Note 3 2 2 2 4 2" xfId="39637"/>
    <cellStyle name="Note 3 2 2 2 5" xfId="39638"/>
    <cellStyle name="Note 3 2 2 3" xfId="19035"/>
    <cellStyle name="Note 3 2 2 3 2" xfId="39639"/>
    <cellStyle name="Note 3 2 2 3 2 2" xfId="39640"/>
    <cellStyle name="Note 3 2 2 3 2 2 2" xfId="39641"/>
    <cellStyle name="Note 3 2 2 3 2 3" xfId="39642"/>
    <cellStyle name="Note 3 2 2 3 3" xfId="39643"/>
    <cellStyle name="Note 3 2 2 3 3 2" xfId="39644"/>
    <cellStyle name="Note 3 2 2 3 4" xfId="39645"/>
    <cellStyle name="Note 3 2 2 4" xfId="39646"/>
    <cellStyle name="Note 3 2 2 5" xfId="39647"/>
    <cellStyle name="Note 3 2 2 5 2" xfId="39648"/>
    <cellStyle name="Note 3 2 2 5 2 2" xfId="39649"/>
    <cellStyle name="Note 3 2 2 5 3" xfId="39650"/>
    <cellStyle name="Note 3 2 2 6" xfId="39651"/>
    <cellStyle name="Note 3 2 2 6 2" xfId="39652"/>
    <cellStyle name="Note 3 2 2 7" xfId="39653"/>
    <cellStyle name="Note 3 2 3" xfId="10941"/>
    <cellStyle name="Note 3 2 3 2" xfId="19036"/>
    <cellStyle name="Note 3 2 3 2 2" xfId="39654"/>
    <cellStyle name="Note 3 2 3 2 2 2" xfId="39655"/>
    <cellStyle name="Note 3 2 3 2 2 2 2" xfId="39656"/>
    <cellStyle name="Note 3 2 3 2 2 3" xfId="39657"/>
    <cellStyle name="Note 3 2 3 2 3" xfId="39658"/>
    <cellStyle name="Note 3 2 3 2 3 2" xfId="39659"/>
    <cellStyle name="Note 3 2 3 2 4" xfId="39660"/>
    <cellStyle name="Note 3 2 3 3" xfId="39661"/>
    <cellStyle name="Note 3 2 3 3 2" xfId="39662"/>
    <cellStyle name="Note 3 2 3 3 2 2" xfId="39663"/>
    <cellStyle name="Note 3 2 3 3 3" xfId="39664"/>
    <cellStyle name="Note 3 2 3 4" xfId="39665"/>
    <cellStyle name="Note 3 2 3 4 2" xfId="39666"/>
    <cellStyle name="Note 3 2 3 5" xfId="39667"/>
    <cellStyle name="Note 3 2 4" xfId="10942"/>
    <cellStyle name="Note 3 2 4 2" xfId="39668"/>
    <cellStyle name="Note 3 2 5" xfId="19037"/>
    <cellStyle name="Note 3 2 5 2" xfId="39669"/>
    <cellStyle name="Note 3 2 5 2 2" xfId="39670"/>
    <cellStyle name="Note 3 2 5 2 2 2" xfId="39671"/>
    <cellStyle name="Note 3 2 5 2 3" xfId="39672"/>
    <cellStyle name="Note 3 2 5 3" xfId="39673"/>
    <cellStyle name="Note 3 2 5 3 2" xfId="39674"/>
    <cellStyle name="Note 3 2 5 4" xfId="39675"/>
    <cellStyle name="Note 3 2 6" xfId="19038"/>
    <cellStyle name="Note 3 2 7" xfId="19279"/>
    <cellStyle name="Note 3 2 7 2" xfId="39676"/>
    <cellStyle name="Note 3 2 7 2 2" xfId="39677"/>
    <cellStyle name="Note 3 2 7 3" xfId="39678"/>
    <cellStyle name="Note 3 2 8" xfId="39679"/>
    <cellStyle name="Note 3 2 8 2" xfId="39680"/>
    <cellStyle name="Note 3 2 9" xfId="39681"/>
    <cellStyle name="Note 3 3" xfId="10943"/>
    <cellStyle name="Note 3 3 2" xfId="10944"/>
    <cellStyle name="Note 3 3 2 2" xfId="10945"/>
    <cellStyle name="Note 3 3 2 2 2" xfId="10946"/>
    <cellStyle name="Note 3 3 2 2 2 2" xfId="10947"/>
    <cellStyle name="Note 3 3 2 2 2 2 2" xfId="39682"/>
    <cellStyle name="Note 3 3 2 2 2 3" xfId="39683"/>
    <cellStyle name="Note 3 3 2 2 3" xfId="10948"/>
    <cellStyle name="Note 3 3 2 2 3 2" xfId="39684"/>
    <cellStyle name="Note 3 3 2 2 4" xfId="10949"/>
    <cellStyle name="Note 3 3 2 2 5" xfId="39685"/>
    <cellStyle name="Note 3 3 2 3" xfId="10950"/>
    <cellStyle name="Note 3 3 2 3 2" xfId="10951"/>
    <cellStyle name="Note 3 3 2 3 2 2" xfId="39686"/>
    <cellStyle name="Note 3 3 2 3 3" xfId="39687"/>
    <cellStyle name="Note 3 3 2 4" xfId="10952"/>
    <cellStyle name="Note 3 3 2 4 2" xfId="10953"/>
    <cellStyle name="Note 3 3 2 5" xfId="10954"/>
    <cellStyle name="Note 3 3 2 6" xfId="10955"/>
    <cellStyle name="Note 3 3 2 7" xfId="39688"/>
    <cellStyle name="Note 3 3 3" xfId="10956"/>
    <cellStyle name="Note 3 3 3 2" xfId="10957"/>
    <cellStyle name="Note 3 3 3 2 2" xfId="10958"/>
    <cellStyle name="Note 3 3 3 2 2 2" xfId="39689"/>
    <cellStyle name="Note 3 3 3 2 3" xfId="39690"/>
    <cellStyle name="Note 3 3 3 3" xfId="10959"/>
    <cellStyle name="Note 3 3 3 3 2" xfId="39691"/>
    <cellStyle name="Note 3 3 3 4" xfId="10960"/>
    <cellStyle name="Note 3 3 3 5" xfId="39692"/>
    <cellStyle name="Note 3 3 4" xfId="10961"/>
    <cellStyle name="Note 3 3 4 2" xfId="10962"/>
    <cellStyle name="Note 3 3 5" xfId="10963"/>
    <cellStyle name="Note 3 3 5 2" xfId="10964"/>
    <cellStyle name="Note 3 3 5 2 2" xfId="39693"/>
    <cellStyle name="Note 3 3 5 3" xfId="39694"/>
    <cellStyle name="Note 3 3 6" xfId="10965"/>
    <cellStyle name="Note 3 3 6 2" xfId="39695"/>
    <cellStyle name="Note 3 3 7" xfId="10966"/>
    <cellStyle name="Note 3 3 8" xfId="39696"/>
    <cellStyle name="Note 3 4" xfId="10967"/>
    <cellStyle name="Note 3 4 2" xfId="10968"/>
    <cellStyle name="Note 3 4 2 2" xfId="10969"/>
    <cellStyle name="Note 3 4 2 2 2" xfId="10970"/>
    <cellStyle name="Note 3 4 2 2 2 2" xfId="10971"/>
    <cellStyle name="Note 3 4 2 2 3" xfId="10972"/>
    <cellStyle name="Note 3 4 2 2 4" xfId="10973"/>
    <cellStyle name="Note 3 4 2 3" xfId="10974"/>
    <cellStyle name="Note 3 4 2 3 2" xfId="10975"/>
    <cellStyle name="Note 3 4 2 4" xfId="10976"/>
    <cellStyle name="Note 3 4 2 4 2" xfId="10977"/>
    <cellStyle name="Note 3 4 2 5" xfId="10978"/>
    <cellStyle name="Note 3 4 2 6" xfId="10979"/>
    <cellStyle name="Note 3 4 2 7" xfId="39697"/>
    <cellStyle name="Note 3 4 3" xfId="10980"/>
    <cellStyle name="Note 3 4 3 2" xfId="10981"/>
    <cellStyle name="Note 3 4 3 2 2" xfId="10982"/>
    <cellStyle name="Note 3 4 3 3" xfId="10983"/>
    <cellStyle name="Note 3 4 3 4" xfId="10984"/>
    <cellStyle name="Note 3 4 4" xfId="10985"/>
    <cellStyle name="Note 3 4 4 2" xfId="10986"/>
    <cellStyle name="Note 3 4 5" xfId="10987"/>
    <cellStyle name="Note 3 4 5 2" xfId="10988"/>
    <cellStyle name="Note 3 4 6" xfId="10989"/>
    <cellStyle name="Note 3 4 7" xfId="10990"/>
    <cellStyle name="Note 3 4 8" xfId="39698"/>
    <cellStyle name="Note 3 5" xfId="10991"/>
    <cellStyle name="Note 3 5 10" xfId="39699"/>
    <cellStyle name="Note 3 5 2" xfId="10992"/>
    <cellStyle name="Note 3 5 2 2" xfId="10993"/>
    <cellStyle name="Note 3 5 2 2 2" xfId="10994"/>
    <cellStyle name="Note 3 5 2 2 2 2" xfId="10995"/>
    <cellStyle name="Note 3 5 2 2 2 2 2" xfId="10996"/>
    <cellStyle name="Note 3 5 2 2 2 3" xfId="10997"/>
    <cellStyle name="Note 3 5 2 2 2 4" xfId="10998"/>
    <cellStyle name="Note 3 5 2 2 3" xfId="10999"/>
    <cellStyle name="Note 3 5 2 2 3 2" xfId="11000"/>
    <cellStyle name="Note 3 5 2 2 4" xfId="11001"/>
    <cellStyle name="Note 3 5 2 2 4 2" xfId="11002"/>
    <cellStyle name="Note 3 5 2 2 5" xfId="11003"/>
    <cellStyle name="Note 3 5 2 2 5 2" xfId="11004"/>
    <cellStyle name="Note 3 5 2 2 6" xfId="11005"/>
    <cellStyle name="Note 3 5 2 2 7" xfId="11006"/>
    <cellStyle name="Note 3 5 2 3" xfId="11007"/>
    <cellStyle name="Note 3 5 2 3 2" xfId="11008"/>
    <cellStyle name="Note 3 5 2 3 2 2" xfId="11009"/>
    <cellStyle name="Note 3 5 2 3 3" xfId="11010"/>
    <cellStyle name="Note 3 5 2 3 4" xfId="11011"/>
    <cellStyle name="Note 3 5 2 4" xfId="11012"/>
    <cellStyle name="Note 3 5 2 4 2" xfId="11013"/>
    <cellStyle name="Note 3 5 2 4 2 2" xfId="11014"/>
    <cellStyle name="Note 3 5 2 4 3" xfId="11015"/>
    <cellStyle name="Note 3 5 2 4 3 2" xfId="11016"/>
    <cellStyle name="Note 3 5 2 4 4" xfId="11017"/>
    <cellStyle name="Note 3 5 2 4 5" xfId="11018"/>
    <cellStyle name="Note 3 5 2 5" xfId="11019"/>
    <cellStyle name="Note 3 5 2 5 2" xfId="11020"/>
    <cellStyle name="Note 3 5 2 6" xfId="11021"/>
    <cellStyle name="Note 3 5 2 7" xfId="11022"/>
    <cellStyle name="Note 3 5 2 8" xfId="11023"/>
    <cellStyle name="Note 3 5 3" xfId="11024"/>
    <cellStyle name="Note 3 5 3 2" xfId="11025"/>
    <cellStyle name="Note 3 5 3 2 2" xfId="11026"/>
    <cellStyle name="Note 3 5 3 2 2 2" xfId="11027"/>
    <cellStyle name="Note 3 5 3 2 3" xfId="11028"/>
    <cellStyle name="Note 3 5 3 2 4" xfId="11029"/>
    <cellStyle name="Note 3 5 3 3" xfId="11030"/>
    <cellStyle name="Note 3 5 3 3 2" xfId="11031"/>
    <cellStyle name="Note 3 5 3 4" xfId="11032"/>
    <cellStyle name="Note 3 5 3 4 2" xfId="11033"/>
    <cellStyle name="Note 3 5 3 5" xfId="11034"/>
    <cellStyle name="Note 3 5 3 5 2" xfId="11035"/>
    <cellStyle name="Note 3 5 3 6" xfId="11036"/>
    <cellStyle name="Note 3 5 3 7" xfId="11037"/>
    <cellStyle name="Note 3 5 4" xfId="11038"/>
    <cellStyle name="Note 3 5 4 2" xfId="11039"/>
    <cellStyle name="Note 3 5 4 2 2" xfId="11040"/>
    <cellStyle name="Note 3 5 4 3" xfId="11041"/>
    <cellStyle name="Note 3 5 4 4" xfId="11042"/>
    <cellStyle name="Note 3 5 5" xfId="11043"/>
    <cellStyle name="Note 3 5 5 2" xfId="11044"/>
    <cellStyle name="Note 3 5 5 2 2" xfId="11045"/>
    <cellStyle name="Note 3 5 5 3" xfId="11046"/>
    <cellStyle name="Note 3 5 5 3 2" xfId="11047"/>
    <cellStyle name="Note 3 5 5 4" xfId="11048"/>
    <cellStyle name="Note 3 5 5 5" xfId="11049"/>
    <cellStyle name="Note 3 5 6" xfId="11050"/>
    <cellStyle name="Note 3 5 6 2" xfId="11051"/>
    <cellStyle name="Note 3 5 7" xfId="11052"/>
    <cellStyle name="Note 3 5 8" xfId="11053"/>
    <cellStyle name="Note 3 5 9" xfId="11054"/>
    <cellStyle name="Note 3 6" xfId="11055"/>
    <cellStyle name="Note 3 6 2" xfId="11056"/>
    <cellStyle name="Note 3 6 2 2" xfId="39700"/>
    <cellStyle name="Note 3 6 2 2 2" xfId="39701"/>
    <cellStyle name="Note 3 6 2 3" xfId="39702"/>
    <cellStyle name="Note 3 6 3" xfId="39703"/>
    <cellStyle name="Note 3 6 3 2" xfId="39704"/>
    <cellStyle name="Note 3 6 4" xfId="39705"/>
    <cellStyle name="Note 3 6 5" xfId="39706"/>
    <cellStyle name="Note 3 7" xfId="11057"/>
    <cellStyle name="Note 3 8" xfId="11058"/>
    <cellStyle name="Note 3 8 2" xfId="39707"/>
    <cellStyle name="Note 3 8 2 2" xfId="39708"/>
    <cellStyle name="Note 3 8 3" xfId="39709"/>
    <cellStyle name="Note 3 9" xfId="11059"/>
    <cellStyle name="Note 3 9 2" xfId="39710"/>
    <cellStyle name="Note 4" xfId="82"/>
    <cellStyle name="Note 4 10" xfId="11060"/>
    <cellStyle name="Note 4 10 2" xfId="11061"/>
    <cellStyle name="Note 4 10 2 2" xfId="11062"/>
    <cellStyle name="Note 4 10 3" xfId="11063"/>
    <cellStyle name="Note 4 10 3 2" xfId="11064"/>
    <cellStyle name="Note 4 10 4" xfId="11065"/>
    <cellStyle name="Note 4 10 5" xfId="11066"/>
    <cellStyle name="Note 4 11" xfId="11067"/>
    <cellStyle name="Note 4 11 2" xfId="11068"/>
    <cellStyle name="Note 4 12" xfId="11069"/>
    <cellStyle name="Note 4 13" xfId="11070"/>
    <cellStyle name="Note 4 14" xfId="11071"/>
    <cellStyle name="Note 4 15" xfId="11072"/>
    <cellStyle name="Note 4 16" xfId="39711"/>
    <cellStyle name="Note 4 17" xfId="39712"/>
    <cellStyle name="Note 4 2" xfId="11073"/>
    <cellStyle name="Note 4 2 2" xfId="11074"/>
    <cellStyle name="Note 4 2 2 2" xfId="11075"/>
    <cellStyle name="Note 4 2 2 2 2" xfId="11076"/>
    <cellStyle name="Note 4 2 2 2 2 2" xfId="11077"/>
    <cellStyle name="Note 4 2 2 2 3" xfId="11078"/>
    <cellStyle name="Note 4 2 2 2 4" xfId="11079"/>
    <cellStyle name="Note 4 2 2 3" xfId="11080"/>
    <cellStyle name="Note 4 2 2 3 2" xfId="11081"/>
    <cellStyle name="Note 4 2 2 4" xfId="11082"/>
    <cellStyle name="Note 4 2 2 4 2" xfId="11083"/>
    <cellStyle name="Note 4 2 2 5" xfId="11084"/>
    <cellStyle name="Note 4 2 2 6" xfId="11085"/>
    <cellStyle name="Note 4 2 3" xfId="11086"/>
    <cellStyle name="Note 4 2 3 2" xfId="11087"/>
    <cellStyle name="Note 4 2 3 2 2" xfId="11088"/>
    <cellStyle name="Note 4 2 3 3" xfId="11089"/>
    <cellStyle name="Note 4 2 3 4" xfId="11090"/>
    <cellStyle name="Note 4 2 4" xfId="11091"/>
    <cellStyle name="Note 4 2 4 2" xfId="11092"/>
    <cellStyle name="Note 4 2 5" xfId="11093"/>
    <cellStyle name="Note 4 2 5 2" xfId="11094"/>
    <cellStyle name="Note 4 2 6" xfId="11095"/>
    <cellStyle name="Note 4 2 7" xfId="11096"/>
    <cellStyle name="Note 4 2 8" xfId="39713"/>
    <cellStyle name="Note 4 2 9" xfId="39714"/>
    <cellStyle name="Note 4 3" xfId="11097"/>
    <cellStyle name="Note 4 3 10" xfId="11098"/>
    <cellStyle name="Note 4 3 11" xfId="11099"/>
    <cellStyle name="Note 4 3 12" xfId="39715"/>
    <cellStyle name="Note 4 3 2" xfId="11100"/>
    <cellStyle name="Note 4 3 2 10" xfId="11101"/>
    <cellStyle name="Note 4 3 2 2" xfId="11102"/>
    <cellStyle name="Note 4 3 2 2 2" xfId="11103"/>
    <cellStyle name="Note 4 3 2 2 2 2" xfId="11104"/>
    <cellStyle name="Note 4 3 2 2 2 2 2" xfId="11105"/>
    <cellStyle name="Note 4 3 2 2 2 2 2 2" xfId="11106"/>
    <cellStyle name="Note 4 3 2 2 2 2 3" xfId="11107"/>
    <cellStyle name="Note 4 3 2 2 2 2 4" xfId="11108"/>
    <cellStyle name="Note 4 3 2 2 2 3" xfId="11109"/>
    <cellStyle name="Note 4 3 2 2 2 3 2" xfId="11110"/>
    <cellStyle name="Note 4 3 2 2 2 4" xfId="11111"/>
    <cellStyle name="Note 4 3 2 2 2 4 2" xfId="11112"/>
    <cellStyle name="Note 4 3 2 2 2 5" xfId="11113"/>
    <cellStyle name="Note 4 3 2 2 2 5 2" xfId="11114"/>
    <cellStyle name="Note 4 3 2 2 2 6" xfId="11115"/>
    <cellStyle name="Note 4 3 2 2 2 7" xfId="11116"/>
    <cellStyle name="Note 4 3 2 2 3" xfId="11117"/>
    <cellStyle name="Note 4 3 2 2 3 2" xfId="11118"/>
    <cellStyle name="Note 4 3 2 2 3 2 2" xfId="11119"/>
    <cellStyle name="Note 4 3 2 2 3 3" xfId="11120"/>
    <cellStyle name="Note 4 3 2 2 3 4" xfId="11121"/>
    <cellStyle name="Note 4 3 2 2 4" xfId="11122"/>
    <cellStyle name="Note 4 3 2 2 4 2" xfId="11123"/>
    <cellStyle name="Note 4 3 2 2 4 2 2" xfId="11124"/>
    <cellStyle name="Note 4 3 2 2 4 3" xfId="11125"/>
    <cellStyle name="Note 4 3 2 2 4 3 2" xfId="11126"/>
    <cellStyle name="Note 4 3 2 2 4 4" xfId="11127"/>
    <cellStyle name="Note 4 3 2 2 4 5" xfId="11128"/>
    <cellStyle name="Note 4 3 2 2 5" xfId="11129"/>
    <cellStyle name="Note 4 3 2 2 5 2" xfId="11130"/>
    <cellStyle name="Note 4 3 2 2 6" xfId="11131"/>
    <cellStyle name="Note 4 3 2 2 7" xfId="11132"/>
    <cellStyle name="Note 4 3 2 2 8" xfId="11133"/>
    <cellStyle name="Note 4 3 2 3" xfId="11134"/>
    <cellStyle name="Note 4 3 2 3 2" xfId="11135"/>
    <cellStyle name="Note 4 3 2 3 2 2" xfId="11136"/>
    <cellStyle name="Note 4 3 2 3 2 2 2" xfId="11137"/>
    <cellStyle name="Note 4 3 2 3 2 2 2 2" xfId="11138"/>
    <cellStyle name="Note 4 3 2 3 2 2 3" xfId="11139"/>
    <cellStyle name="Note 4 3 2 3 2 2 4" xfId="11140"/>
    <cellStyle name="Note 4 3 2 3 2 3" xfId="11141"/>
    <cellStyle name="Note 4 3 2 3 2 3 2" xfId="11142"/>
    <cellStyle name="Note 4 3 2 3 2 4" xfId="11143"/>
    <cellStyle name="Note 4 3 2 3 2 4 2" xfId="11144"/>
    <cellStyle name="Note 4 3 2 3 2 5" xfId="11145"/>
    <cellStyle name="Note 4 3 2 3 2 5 2" xfId="11146"/>
    <cellStyle name="Note 4 3 2 3 2 6" xfId="11147"/>
    <cellStyle name="Note 4 3 2 3 2 7" xfId="11148"/>
    <cellStyle name="Note 4 3 2 3 3" xfId="11149"/>
    <cellStyle name="Note 4 3 2 3 3 2" xfId="11150"/>
    <cellStyle name="Note 4 3 2 3 3 2 2" xfId="11151"/>
    <cellStyle name="Note 4 3 2 3 3 3" xfId="11152"/>
    <cellStyle name="Note 4 3 2 3 3 4" xfId="11153"/>
    <cellStyle name="Note 4 3 2 3 4" xfId="11154"/>
    <cellStyle name="Note 4 3 2 3 4 2" xfId="11155"/>
    <cellStyle name="Note 4 3 2 3 4 2 2" xfId="11156"/>
    <cellStyle name="Note 4 3 2 3 4 3" xfId="11157"/>
    <cellStyle name="Note 4 3 2 3 4 3 2" xfId="11158"/>
    <cellStyle name="Note 4 3 2 3 4 4" xfId="11159"/>
    <cellStyle name="Note 4 3 2 3 4 5" xfId="11160"/>
    <cellStyle name="Note 4 3 2 3 5" xfId="11161"/>
    <cellStyle name="Note 4 3 2 3 5 2" xfId="11162"/>
    <cellStyle name="Note 4 3 2 3 6" xfId="11163"/>
    <cellStyle name="Note 4 3 2 3 7" xfId="11164"/>
    <cellStyle name="Note 4 3 2 3 8" xfId="11165"/>
    <cellStyle name="Note 4 3 2 4" xfId="11166"/>
    <cellStyle name="Note 4 3 2 4 2" xfId="11167"/>
    <cellStyle name="Note 4 3 2 4 2 2" xfId="11168"/>
    <cellStyle name="Note 4 3 2 4 2 2 2" xfId="11169"/>
    <cellStyle name="Note 4 3 2 4 2 3" xfId="11170"/>
    <cellStyle name="Note 4 3 2 4 2 4" xfId="11171"/>
    <cellStyle name="Note 4 3 2 4 3" xfId="11172"/>
    <cellStyle name="Note 4 3 2 4 3 2" xfId="11173"/>
    <cellStyle name="Note 4 3 2 4 4" xfId="11174"/>
    <cellStyle name="Note 4 3 2 4 4 2" xfId="11175"/>
    <cellStyle name="Note 4 3 2 4 5" xfId="11176"/>
    <cellStyle name="Note 4 3 2 4 5 2" xfId="11177"/>
    <cellStyle name="Note 4 3 2 4 6" xfId="11178"/>
    <cellStyle name="Note 4 3 2 4 7" xfId="11179"/>
    <cellStyle name="Note 4 3 2 5" xfId="11180"/>
    <cellStyle name="Note 4 3 2 5 2" xfId="11181"/>
    <cellStyle name="Note 4 3 2 5 2 2" xfId="11182"/>
    <cellStyle name="Note 4 3 2 5 3" xfId="11183"/>
    <cellStyle name="Note 4 3 2 5 4" xfId="11184"/>
    <cellStyle name="Note 4 3 2 6" xfId="11185"/>
    <cellStyle name="Note 4 3 2 6 2" xfId="11186"/>
    <cellStyle name="Note 4 3 2 6 2 2" xfId="11187"/>
    <cellStyle name="Note 4 3 2 6 3" xfId="11188"/>
    <cellStyle name="Note 4 3 2 6 3 2" xfId="11189"/>
    <cellStyle name="Note 4 3 2 6 4" xfId="11190"/>
    <cellStyle name="Note 4 3 2 6 5" xfId="11191"/>
    <cellStyle name="Note 4 3 2 7" xfId="11192"/>
    <cellStyle name="Note 4 3 2 7 2" xfId="11193"/>
    <cellStyle name="Note 4 3 2 8" xfId="11194"/>
    <cellStyle name="Note 4 3 2 9" xfId="11195"/>
    <cellStyle name="Note 4 3 3" xfId="11196"/>
    <cellStyle name="Note 4 3 3 2" xfId="11197"/>
    <cellStyle name="Note 4 3 3 2 2" xfId="11198"/>
    <cellStyle name="Note 4 3 3 2 2 2" xfId="11199"/>
    <cellStyle name="Note 4 3 3 2 2 2 2" xfId="11200"/>
    <cellStyle name="Note 4 3 3 2 2 3" xfId="11201"/>
    <cellStyle name="Note 4 3 3 2 2 4" xfId="11202"/>
    <cellStyle name="Note 4 3 3 2 3" xfId="11203"/>
    <cellStyle name="Note 4 3 3 2 3 2" xfId="11204"/>
    <cellStyle name="Note 4 3 3 2 4" xfId="11205"/>
    <cellStyle name="Note 4 3 3 2 4 2" xfId="11206"/>
    <cellStyle name="Note 4 3 3 2 5" xfId="11207"/>
    <cellStyle name="Note 4 3 3 2 5 2" xfId="11208"/>
    <cellStyle name="Note 4 3 3 2 6" xfId="11209"/>
    <cellStyle name="Note 4 3 3 2 7" xfId="11210"/>
    <cellStyle name="Note 4 3 3 3" xfId="11211"/>
    <cellStyle name="Note 4 3 3 3 2" xfId="11212"/>
    <cellStyle name="Note 4 3 3 3 2 2" xfId="11213"/>
    <cellStyle name="Note 4 3 3 3 3" xfId="11214"/>
    <cellStyle name="Note 4 3 3 3 4" xfId="11215"/>
    <cellStyle name="Note 4 3 3 4" xfId="11216"/>
    <cellStyle name="Note 4 3 3 4 2" xfId="11217"/>
    <cellStyle name="Note 4 3 3 4 2 2" xfId="11218"/>
    <cellStyle name="Note 4 3 3 4 3" xfId="11219"/>
    <cellStyle name="Note 4 3 3 4 3 2" xfId="11220"/>
    <cellStyle name="Note 4 3 3 4 4" xfId="11221"/>
    <cellStyle name="Note 4 3 3 4 5" xfId="11222"/>
    <cellStyle name="Note 4 3 3 5" xfId="11223"/>
    <cellStyle name="Note 4 3 3 5 2" xfId="11224"/>
    <cellStyle name="Note 4 3 3 6" xfId="11225"/>
    <cellStyle name="Note 4 3 3 7" xfId="11226"/>
    <cellStyle name="Note 4 3 3 8" xfId="11227"/>
    <cellStyle name="Note 4 3 4" xfId="11228"/>
    <cellStyle name="Note 4 3 4 2" xfId="11229"/>
    <cellStyle name="Note 4 3 4 2 2" xfId="11230"/>
    <cellStyle name="Note 4 3 4 2 2 2" xfId="11231"/>
    <cellStyle name="Note 4 3 4 2 2 2 2" xfId="11232"/>
    <cellStyle name="Note 4 3 4 2 2 3" xfId="11233"/>
    <cellStyle name="Note 4 3 4 2 2 4" xfId="11234"/>
    <cellStyle name="Note 4 3 4 2 3" xfId="11235"/>
    <cellStyle name="Note 4 3 4 2 3 2" xfId="11236"/>
    <cellStyle name="Note 4 3 4 2 4" xfId="11237"/>
    <cellStyle name="Note 4 3 4 2 4 2" xfId="11238"/>
    <cellStyle name="Note 4 3 4 2 5" xfId="11239"/>
    <cellStyle name="Note 4 3 4 2 5 2" xfId="11240"/>
    <cellStyle name="Note 4 3 4 2 6" xfId="11241"/>
    <cellStyle name="Note 4 3 4 2 7" xfId="11242"/>
    <cellStyle name="Note 4 3 4 3" xfId="11243"/>
    <cellStyle name="Note 4 3 4 3 2" xfId="11244"/>
    <cellStyle name="Note 4 3 4 3 2 2" xfId="11245"/>
    <cellStyle name="Note 4 3 4 3 3" xfId="11246"/>
    <cellStyle name="Note 4 3 4 3 4" xfId="11247"/>
    <cellStyle name="Note 4 3 4 4" xfId="11248"/>
    <cellStyle name="Note 4 3 4 4 2" xfId="11249"/>
    <cellStyle name="Note 4 3 4 4 2 2" xfId="11250"/>
    <cellStyle name="Note 4 3 4 4 3" xfId="11251"/>
    <cellStyle name="Note 4 3 4 4 3 2" xfId="11252"/>
    <cellStyle name="Note 4 3 4 4 4" xfId="11253"/>
    <cellStyle name="Note 4 3 4 4 5" xfId="11254"/>
    <cellStyle name="Note 4 3 4 5" xfId="11255"/>
    <cellStyle name="Note 4 3 4 5 2" xfId="11256"/>
    <cellStyle name="Note 4 3 4 6" xfId="11257"/>
    <cellStyle name="Note 4 3 4 7" xfId="11258"/>
    <cellStyle name="Note 4 3 4 8" xfId="11259"/>
    <cellStyle name="Note 4 3 5" xfId="11260"/>
    <cellStyle name="Note 4 3 5 2" xfId="11261"/>
    <cellStyle name="Note 4 3 5 2 2" xfId="11262"/>
    <cellStyle name="Note 4 3 5 2 2 2" xfId="11263"/>
    <cellStyle name="Note 4 3 5 2 3" xfId="11264"/>
    <cellStyle name="Note 4 3 5 2 4" xfId="11265"/>
    <cellStyle name="Note 4 3 5 3" xfId="11266"/>
    <cellStyle name="Note 4 3 5 3 2" xfId="11267"/>
    <cellStyle name="Note 4 3 5 4" xfId="11268"/>
    <cellStyle name="Note 4 3 5 4 2" xfId="11269"/>
    <cellStyle name="Note 4 3 5 5" xfId="11270"/>
    <cellStyle name="Note 4 3 5 5 2" xfId="11271"/>
    <cellStyle name="Note 4 3 5 6" xfId="11272"/>
    <cellStyle name="Note 4 3 5 7" xfId="11273"/>
    <cellStyle name="Note 4 3 6" xfId="11274"/>
    <cellStyle name="Note 4 3 6 2" xfId="11275"/>
    <cellStyle name="Note 4 3 6 2 2" xfId="11276"/>
    <cellStyle name="Note 4 3 6 3" xfId="11277"/>
    <cellStyle name="Note 4 3 6 4" xfId="11278"/>
    <cellStyle name="Note 4 3 7" xfId="11279"/>
    <cellStyle name="Note 4 3 7 2" xfId="11280"/>
    <cellStyle name="Note 4 3 7 2 2" xfId="11281"/>
    <cellStyle name="Note 4 3 7 3" xfId="11282"/>
    <cellStyle name="Note 4 3 7 3 2" xfId="11283"/>
    <cellStyle name="Note 4 3 7 4" xfId="11284"/>
    <cellStyle name="Note 4 3 7 5" xfId="11285"/>
    <cellStyle name="Note 4 3 8" xfId="11286"/>
    <cellStyle name="Note 4 3 8 2" xfId="11287"/>
    <cellStyle name="Note 4 3 9" xfId="11288"/>
    <cellStyle name="Note 4 4" xfId="11289"/>
    <cellStyle name="Note 4 4 10" xfId="11290"/>
    <cellStyle name="Note 4 4 11" xfId="11291"/>
    <cellStyle name="Note 4 4 12" xfId="39716"/>
    <cellStyle name="Note 4 4 2" xfId="11292"/>
    <cellStyle name="Note 4 4 2 10" xfId="11293"/>
    <cellStyle name="Note 4 4 2 2" xfId="11294"/>
    <cellStyle name="Note 4 4 2 2 2" xfId="11295"/>
    <cellStyle name="Note 4 4 2 2 2 2" xfId="11296"/>
    <cellStyle name="Note 4 4 2 2 2 2 2" xfId="11297"/>
    <cellStyle name="Note 4 4 2 2 2 2 2 2" xfId="11298"/>
    <cellStyle name="Note 4 4 2 2 2 2 3" xfId="11299"/>
    <cellStyle name="Note 4 4 2 2 2 2 4" xfId="11300"/>
    <cellStyle name="Note 4 4 2 2 2 3" xfId="11301"/>
    <cellStyle name="Note 4 4 2 2 2 3 2" xfId="11302"/>
    <cellStyle name="Note 4 4 2 2 2 4" xfId="11303"/>
    <cellStyle name="Note 4 4 2 2 2 4 2" xfId="11304"/>
    <cellStyle name="Note 4 4 2 2 2 5" xfId="11305"/>
    <cellStyle name="Note 4 4 2 2 2 5 2" xfId="11306"/>
    <cellStyle name="Note 4 4 2 2 2 6" xfId="11307"/>
    <cellStyle name="Note 4 4 2 2 2 7" xfId="11308"/>
    <cellStyle name="Note 4 4 2 2 3" xfId="11309"/>
    <cellStyle name="Note 4 4 2 2 3 2" xfId="11310"/>
    <cellStyle name="Note 4 4 2 2 3 2 2" xfId="11311"/>
    <cellStyle name="Note 4 4 2 2 3 3" xfId="11312"/>
    <cellStyle name="Note 4 4 2 2 3 4" xfId="11313"/>
    <cellStyle name="Note 4 4 2 2 4" xfId="11314"/>
    <cellStyle name="Note 4 4 2 2 4 2" xfId="11315"/>
    <cellStyle name="Note 4 4 2 2 4 2 2" xfId="11316"/>
    <cellStyle name="Note 4 4 2 2 4 3" xfId="11317"/>
    <cellStyle name="Note 4 4 2 2 4 3 2" xfId="11318"/>
    <cellStyle name="Note 4 4 2 2 4 4" xfId="11319"/>
    <cellStyle name="Note 4 4 2 2 4 5" xfId="11320"/>
    <cellStyle name="Note 4 4 2 2 5" xfId="11321"/>
    <cellStyle name="Note 4 4 2 2 5 2" xfId="11322"/>
    <cellStyle name="Note 4 4 2 2 6" xfId="11323"/>
    <cellStyle name="Note 4 4 2 2 7" xfId="11324"/>
    <cellStyle name="Note 4 4 2 2 8" xfId="11325"/>
    <cellStyle name="Note 4 4 2 3" xfId="11326"/>
    <cellStyle name="Note 4 4 2 3 2" xfId="11327"/>
    <cellStyle name="Note 4 4 2 3 2 2" xfId="11328"/>
    <cellStyle name="Note 4 4 2 3 2 2 2" xfId="11329"/>
    <cellStyle name="Note 4 4 2 3 2 2 2 2" xfId="11330"/>
    <cellStyle name="Note 4 4 2 3 2 2 3" xfId="11331"/>
    <cellStyle name="Note 4 4 2 3 2 2 4" xfId="11332"/>
    <cellStyle name="Note 4 4 2 3 2 3" xfId="11333"/>
    <cellStyle name="Note 4 4 2 3 2 3 2" xfId="11334"/>
    <cellStyle name="Note 4 4 2 3 2 4" xfId="11335"/>
    <cellStyle name="Note 4 4 2 3 2 4 2" xfId="11336"/>
    <cellStyle name="Note 4 4 2 3 2 5" xfId="11337"/>
    <cellStyle name="Note 4 4 2 3 2 5 2" xfId="11338"/>
    <cellStyle name="Note 4 4 2 3 2 6" xfId="11339"/>
    <cellStyle name="Note 4 4 2 3 2 7" xfId="11340"/>
    <cellStyle name="Note 4 4 2 3 3" xfId="11341"/>
    <cellStyle name="Note 4 4 2 3 3 2" xfId="11342"/>
    <cellStyle name="Note 4 4 2 3 3 2 2" xfId="11343"/>
    <cellStyle name="Note 4 4 2 3 3 3" xfId="11344"/>
    <cellStyle name="Note 4 4 2 3 3 4" xfId="11345"/>
    <cellStyle name="Note 4 4 2 3 4" xfId="11346"/>
    <cellStyle name="Note 4 4 2 3 4 2" xfId="11347"/>
    <cellStyle name="Note 4 4 2 3 4 2 2" xfId="11348"/>
    <cellStyle name="Note 4 4 2 3 4 3" xfId="11349"/>
    <cellStyle name="Note 4 4 2 3 4 3 2" xfId="11350"/>
    <cellStyle name="Note 4 4 2 3 4 4" xfId="11351"/>
    <cellStyle name="Note 4 4 2 3 4 5" xfId="11352"/>
    <cellStyle name="Note 4 4 2 3 5" xfId="11353"/>
    <cellStyle name="Note 4 4 2 3 5 2" xfId="11354"/>
    <cellStyle name="Note 4 4 2 3 6" xfId="11355"/>
    <cellStyle name="Note 4 4 2 3 7" xfId="11356"/>
    <cellStyle name="Note 4 4 2 3 8" xfId="11357"/>
    <cellStyle name="Note 4 4 2 4" xfId="11358"/>
    <cellStyle name="Note 4 4 2 4 2" xfId="11359"/>
    <cellStyle name="Note 4 4 2 4 2 2" xfId="11360"/>
    <cellStyle name="Note 4 4 2 4 2 2 2" xfId="11361"/>
    <cellStyle name="Note 4 4 2 4 2 3" xfId="11362"/>
    <cellStyle name="Note 4 4 2 4 2 4" xfId="11363"/>
    <cellStyle name="Note 4 4 2 4 3" xfId="11364"/>
    <cellStyle name="Note 4 4 2 4 3 2" xfId="11365"/>
    <cellStyle name="Note 4 4 2 4 4" xfId="11366"/>
    <cellStyle name="Note 4 4 2 4 4 2" xfId="11367"/>
    <cellStyle name="Note 4 4 2 4 5" xfId="11368"/>
    <cellStyle name="Note 4 4 2 4 5 2" xfId="11369"/>
    <cellStyle name="Note 4 4 2 4 6" xfId="11370"/>
    <cellStyle name="Note 4 4 2 4 7" xfId="11371"/>
    <cellStyle name="Note 4 4 2 5" xfId="11372"/>
    <cellStyle name="Note 4 4 2 5 2" xfId="11373"/>
    <cellStyle name="Note 4 4 2 5 2 2" xfId="11374"/>
    <cellStyle name="Note 4 4 2 5 3" xfId="11375"/>
    <cellStyle name="Note 4 4 2 5 4" xfId="11376"/>
    <cellStyle name="Note 4 4 2 6" xfId="11377"/>
    <cellStyle name="Note 4 4 2 6 2" xfId="11378"/>
    <cellStyle name="Note 4 4 2 6 2 2" xfId="11379"/>
    <cellStyle name="Note 4 4 2 6 3" xfId="11380"/>
    <cellStyle name="Note 4 4 2 6 3 2" xfId="11381"/>
    <cellStyle name="Note 4 4 2 6 4" xfId="11382"/>
    <cellStyle name="Note 4 4 2 6 5" xfId="11383"/>
    <cellStyle name="Note 4 4 2 7" xfId="11384"/>
    <cellStyle name="Note 4 4 2 7 2" xfId="11385"/>
    <cellStyle name="Note 4 4 2 8" xfId="11386"/>
    <cellStyle name="Note 4 4 2 9" xfId="11387"/>
    <cellStyle name="Note 4 4 3" xfId="11388"/>
    <cellStyle name="Note 4 4 3 2" xfId="11389"/>
    <cellStyle name="Note 4 4 3 2 2" xfId="11390"/>
    <cellStyle name="Note 4 4 3 2 2 2" xfId="11391"/>
    <cellStyle name="Note 4 4 3 2 2 2 2" xfId="11392"/>
    <cellStyle name="Note 4 4 3 2 2 3" xfId="11393"/>
    <cellStyle name="Note 4 4 3 2 2 4" xfId="11394"/>
    <cellStyle name="Note 4 4 3 2 3" xfId="11395"/>
    <cellStyle name="Note 4 4 3 2 3 2" xfId="11396"/>
    <cellStyle name="Note 4 4 3 2 4" xfId="11397"/>
    <cellStyle name="Note 4 4 3 2 4 2" xfId="11398"/>
    <cellStyle name="Note 4 4 3 2 5" xfId="11399"/>
    <cellStyle name="Note 4 4 3 2 5 2" xfId="11400"/>
    <cellStyle name="Note 4 4 3 2 6" xfId="11401"/>
    <cellStyle name="Note 4 4 3 2 7" xfId="11402"/>
    <cellStyle name="Note 4 4 3 3" xfId="11403"/>
    <cellStyle name="Note 4 4 3 3 2" xfId="11404"/>
    <cellStyle name="Note 4 4 3 3 2 2" xfId="11405"/>
    <cellStyle name="Note 4 4 3 3 3" xfId="11406"/>
    <cellStyle name="Note 4 4 3 3 4" xfId="11407"/>
    <cellStyle name="Note 4 4 3 4" xfId="11408"/>
    <cellStyle name="Note 4 4 3 4 2" xfId="11409"/>
    <cellStyle name="Note 4 4 3 4 2 2" xfId="11410"/>
    <cellStyle name="Note 4 4 3 4 3" xfId="11411"/>
    <cellStyle name="Note 4 4 3 4 3 2" xfId="11412"/>
    <cellStyle name="Note 4 4 3 4 4" xfId="11413"/>
    <cellStyle name="Note 4 4 3 4 5" xfId="11414"/>
    <cellStyle name="Note 4 4 3 5" xfId="11415"/>
    <cellStyle name="Note 4 4 3 5 2" xfId="11416"/>
    <cellStyle name="Note 4 4 3 6" xfId="11417"/>
    <cellStyle name="Note 4 4 3 7" xfId="11418"/>
    <cellStyle name="Note 4 4 3 8" xfId="11419"/>
    <cellStyle name="Note 4 4 4" xfId="11420"/>
    <cellStyle name="Note 4 4 4 2" xfId="11421"/>
    <cellStyle name="Note 4 4 4 2 2" xfId="11422"/>
    <cellStyle name="Note 4 4 4 2 2 2" xfId="11423"/>
    <cellStyle name="Note 4 4 4 2 2 2 2" xfId="11424"/>
    <cellStyle name="Note 4 4 4 2 2 3" xfId="11425"/>
    <cellStyle name="Note 4 4 4 2 2 4" xfId="11426"/>
    <cellStyle name="Note 4 4 4 2 3" xfId="11427"/>
    <cellStyle name="Note 4 4 4 2 3 2" xfId="11428"/>
    <cellStyle name="Note 4 4 4 2 4" xfId="11429"/>
    <cellStyle name="Note 4 4 4 2 4 2" xfId="11430"/>
    <cellStyle name="Note 4 4 4 2 5" xfId="11431"/>
    <cellStyle name="Note 4 4 4 2 5 2" xfId="11432"/>
    <cellStyle name="Note 4 4 4 2 6" xfId="11433"/>
    <cellStyle name="Note 4 4 4 2 7" xfId="11434"/>
    <cellStyle name="Note 4 4 4 3" xfId="11435"/>
    <cellStyle name="Note 4 4 4 3 2" xfId="11436"/>
    <cellStyle name="Note 4 4 4 3 2 2" xfId="11437"/>
    <cellStyle name="Note 4 4 4 3 3" xfId="11438"/>
    <cellStyle name="Note 4 4 4 3 4" xfId="11439"/>
    <cellStyle name="Note 4 4 4 4" xfId="11440"/>
    <cellStyle name="Note 4 4 4 4 2" xfId="11441"/>
    <cellStyle name="Note 4 4 4 4 2 2" xfId="11442"/>
    <cellStyle name="Note 4 4 4 4 3" xfId="11443"/>
    <cellStyle name="Note 4 4 4 4 3 2" xfId="11444"/>
    <cellStyle name="Note 4 4 4 4 4" xfId="11445"/>
    <cellStyle name="Note 4 4 4 4 5" xfId="11446"/>
    <cellStyle name="Note 4 4 4 5" xfId="11447"/>
    <cellStyle name="Note 4 4 4 5 2" xfId="11448"/>
    <cellStyle name="Note 4 4 4 6" xfId="11449"/>
    <cellStyle name="Note 4 4 4 7" xfId="11450"/>
    <cellStyle name="Note 4 4 4 8" xfId="11451"/>
    <cellStyle name="Note 4 4 5" xfId="11452"/>
    <cellStyle name="Note 4 4 5 2" xfId="11453"/>
    <cellStyle name="Note 4 4 5 2 2" xfId="11454"/>
    <cellStyle name="Note 4 4 5 2 2 2" xfId="11455"/>
    <cellStyle name="Note 4 4 5 2 3" xfId="11456"/>
    <cellStyle name="Note 4 4 5 2 4" xfId="11457"/>
    <cellStyle name="Note 4 4 5 3" xfId="11458"/>
    <cellStyle name="Note 4 4 5 3 2" xfId="11459"/>
    <cellStyle name="Note 4 4 5 4" xfId="11460"/>
    <cellStyle name="Note 4 4 5 4 2" xfId="11461"/>
    <cellStyle name="Note 4 4 5 5" xfId="11462"/>
    <cellStyle name="Note 4 4 5 5 2" xfId="11463"/>
    <cellStyle name="Note 4 4 5 6" xfId="11464"/>
    <cellStyle name="Note 4 4 5 7" xfId="11465"/>
    <cellStyle name="Note 4 4 6" xfId="11466"/>
    <cellStyle name="Note 4 4 6 2" xfId="11467"/>
    <cellStyle name="Note 4 4 6 2 2" xfId="11468"/>
    <cellStyle name="Note 4 4 6 3" xfId="11469"/>
    <cellStyle name="Note 4 4 6 4" xfId="11470"/>
    <cellStyle name="Note 4 4 7" xfId="11471"/>
    <cellStyle name="Note 4 4 7 2" xfId="11472"/>
    <cellStyle name="Note 4 4 7 2 2" xfId="11473"/>
    <cellStyle name="Note 4 4 7 3" xfId="11474"/>
    <cellStyle name="Note 4 4 7 3 2" xfId="11475"/>
    <cellStyle name="Note 4 4 7 4" xfId="11476"/>
    <cellStyle name="Note 4 4 7 5" xfId="11477"/>
    <cellStyle name="Note 4 4 8" xfId="11478"/>
    <cellStyle name="Note 4 4 8 2" xfId="11479"/>
    <cellStyle name="Note 4 4 9" xfId="11480"/>
    <cellStyle name="Note 4 5" xfId="11481"/>
    <cellStyle name="Note 4 5 10" xfId="11482"/>
    <cellStyle name="Note 4 5 11" xfId="11483"/>
    <cellStyle name="Note 4 5 2" xfId="11484"/>
    <cellStyle name="Note 4 5 2 10" xfId="11485"/>
    <cellStyle name="Note 4 5 2 2" xfId="11486"/>
    <cellStyle name="Note 4 5 2 2 2" xfId="11487"/>
    <cellStyle name="Note 4 5 2 2 2 2" xfId="11488"/>
    <cellStyle name="Note 4 5 2 2 2 2 2" xfId="11489"/>
    <cellStyle name="Note 4 5 2 2 2 2 2 2" xfId="11490"/>
    <cellStyle name="Note 4 5 2 2 2 2 3" xfId="11491"/>
    <cellStyle name="Note 4 5 2 2 2 2 4" xfId="11492"/>
    <cellStyle name="Note 4 5 2 2 2 3" xfId="11493"/>
    <cellStyle name="Note 4 5 2 2 2 3 2" xfId="11494"/>
    <cellStyle name="Note 4 5 2 2 2 4" xfId="11495"/>
    <cellStyle name="Note 4 5 2 2 2 4 2" xfId="11496"/>
    <cellStyle name="Note 4 5 2 2 2 5" xfId="11497"/>
    <cellStyle name="Note 4 5 2 2 2 5 2" xfId="11498"/>
    <cellStyle name="Note 4 5 2 2 2 6" xfId="11499"/>
    <cellStyle name="Note 4 5 2 2 2 7" xfId="11500"/>
    <cellStyle name="Note 4 5 2 2 3" xfId="11501"/>
    <cellStyle name="Note 4 5 2 2 3 2" xfId="11502"/>
    <cellStyle name="Note 4 5 2 2 3 2 2" xfId="11503"/>
    <cellStyle name="Note 4 5 2 2 3 3" xfId="11504"/>
    <cellStyle name="Note 4 5 2 2 3 4" xfId="11505"/>
    <cellStyle name="Note 4 5 2 2 4" xfId="11506"/>
    <cellStyle name="Note 4 5 2 2 4 2" xfId="11507"/>
    <cellStyle name="Note 4 5 2 2 4 2 2" xfId="11508"/>
    <cellStyle name="Note 4 5 2 2 4 3" xfId="11509"/>
    <cellStyle name="Note 4 5 2 2 4 3 2" xfId="11510"/>
    <cellStyle name="Note 4 5 2 2 4 4" xfId="11511"/>
    <cellStyle name="Note 4 5 2 2 4 5" xfId="11512"/>
    <cellStyle name="Note 4 5 2 2 5" xfId="11513"/>
    <cellStyle name="Note 4 5 2 2 5 2" xfId="11514"/>
    <cellStyle name="Note 4 5 2 2 6" xfId="11515"/>
    <cellStyle name="Note 4 5 2 2 7" xfId="11516"/>
    <cellStyle name="Note 4 5 2 2 8" xfId="11517"/>
    <cellStyle name="Note 4 5 2 3" xfId="11518"/>
    <cellStyle name="Note 4 5 2 3 2" xfId="11519"/>
    <cellStyle name="Note 4 5 2 3 2 2" xfId="11520"/>
    <cellStyle name="Note 4 5 2 3 2 2 2" xfId="11521"/>
    <cellStyle name="Note 4 5 2 3 2 2 2 2" xfId="11522"/>
    <cellStyle name="Note 4 5 2 3 2 2 3" xfId="11523"/>
    <cellStyle name="Note 4 5 2 3 2 2 4" xfId="11524"/>
    <cellStyle name="Note 4 5 2 3 2 3" xfId="11525"/>
    <cellStyle name="Note 4 5 2 3 2 3 2" xfId="11526"/>
    <cellStyle name="Note 4 5 2 3 2 4" xfId="11527"/>
    <cellStyle name="Note 4 5 2 3 2 4 2" xfId="11528"/>
    <cellStyle name="Note 4 5 2 3 2 5" xfId="11529"/>
    <cellStyle name="Note 4 5 2 3 2 5 2" xfId="11530"/>
    <cellStyle name="Note 4 5 2 3 2 6" xfId="11531"/>
    <cellStyle name="Note 4 5 2 3 2 7" xfId="11532"/>
    <cellStyle name="Note 4 5 2 3 3" xfId="11533"/>
    <cellStyle name="Note 4 5 2 3 3 2" xfId="11534"/>
    <cellStyle name="Note 4 5 2 3 3 2 2" xfId="11535"/>
    <cellStyle name="Note 4 5 2 3 3 3" xfId="11536"/>
    <cellStyle name="Note 4 5 2 3 3 4" xfId="11537"/>
    <cellStyle name="Note 4 5 2 3 4" xfId="11538"/>
    <cellStyle name="Note 4 5 2 3 4 2" xfId="11539"/>
    <cellStyle name="Note 4 5 2 3 4 2 2" xfId="11540"/>
    <cellStyle name="Note 4 5 2 3 4 3" xfId="11541"/>
    <cellStyle name="Note 4 5 2 3 4 3 2" xfId="11542"/>
    <cellStyle name="Note 4 5 2 3 4 4" xfId="11543"/>
    <cellStyle name="Note 4 5 2 3 4 5" xfId="11544"/>
    <cellStyle name="Note 4 5 2 3 5" xfId="11545"/>
    <cellStyle name="Note 4 5 2 3 5 2" xfId="11546"/>
    <cellStyle name="Note 4 5 2 3 6" xfId="11547"/>
    <cellStyle name="Note 4 5 2 3 7" xfId="11548"/>
    <cellStyle name="Note 4 5 2 3 8" xfId="11549"/>
    <cellStyle name="Note 4 5 2 4" xfId="11550"/>
    <cellStyle name="Note 4 5 2 4 2" xfId="11551"/>
    <cellStyle name="Note 4 5 2 4 2 2" xfId="11552"/>
    <cellStyle name="Note 4 5 2 4 2 2 2" xfId="11553"/>
    <cellStyle name="Note 4 5 2 4 2 3" xfId="11554"/>
    <cellStyle name="Note 4 5 2 4 2 4" xfId="11555"/>
    <cellStyle name="Note 4 5 2 4 3" xfId="11556"/>
    <cellStyle name="Note 4 5 2 4 3 2" xfId="11557"/>
    <cellStyle name="Note 4 5 2 4 4" xfId="11558"/>
    <cellStyle name="Note 4 5 2 4 4 2" xfId="11559"/>
    <cellStyle name="Note 4 5 2 4 5" xfId="11560"/>
    <cellStyle name="Note 4 5 2 4 5 2" xfId="11561"/>
    <cellStyle name="Note 4 5 2 4 6" xfId="11562"/>
    <cellStyle name="Note 4 5 2 4 7" xfId="11563"/>
    <cellStyle name="Note 4 5 2 5" xfId="11564"/>
    <cellStyle name="Note 4 5 2 5 2" xfId="11565"/>
    <cellStyle name="Note 4 5 2 5 2 2" xfId="11566"/>
    <cellStyle name="Note 4 5 2 5 3" xfId="11567"/>
    <cellStyle name="Note 4 5 2 5 4" xfId="11568"/>
    <cellStyle name="Note 4 5 2 6" xfId="11569"/>
    <cellStyle name="Note 4 5 2 6 2" xfId="11570"/>
    <cellStyle name="Note 4 5 2 6 2 2" xfId="11571"/>
    <cellStyle name="Note 4 5 2 6 3" xfId="11572"/>
    <cellStyle name="Note 4 5 2 6 3 2" xfId="11573"/>
    <cellStyle name="Note 4 5 2 6 4" xfId="11574"/>
    <cellStyle name="Note 4 5 2 6 5" xfId="11575"/>
    <cellStyle name="Note 4 5 2 7" xfId="11576"/>
    <cellStyle name="Note 4 5 2 7 2" xfId="11577"/>
    <cellStyle name="Note 4 5 2 8" xfId="11578"/>
    <cellStyle name="Note 4 5 2 9" xfId="11579"/>
    <cellStyle name="Note 4 5 3" xfId="11580"/>
    <cellStyle name="Note 4 5 3 2" xfId="11581"/>
    <cellStyle name="Note 4 5 3 2 2" xfId="11582"/>
    <cellStyle name="Note 4 5 3 2 2 2" xfId="11583"/>
    <cellStyle name="Note 4 5 3 2 2 2 2" xfId="11584"/>
    <cellStyle name="Note 4 5 3 2 2 3" xfId="11585"/>
    <cellStyle name="Note 4 5 3 2 2 4" xfId="11586"/>
    <cellStyle name="Note 4 5 3 2 3" xfId="11587"/>
    <cellStyle name="Note 4 5 3 2 3 2" xfId="11588"/>
    <cellStyle name="Note 4 5 3 2 4" xfId="11589"/>
    <cellStyle name="Note 4 5 3 2 4 2" xfId="11590"/>
    <cellStyle name="Note 4 5 3 2 5" xfId="11591"/>
    <cellStyle name="Note 4 5 3 2 5 2" xfId="11592"/>
    <cellStyle name="Note 4 5 3 2 6" xfId="11593"/>
    <cellStyle name="Note 4 5 3 2 7" xfId="11594"/>
    <cellStyle name="Note 4 5 3 3" xfId="11595"/>
    <cellStyle name="Note 4 5 3 3 2" xfId="11596"/>
    <cellStyle name="Note 4 5 3 3 2 2" xfId="11597"/>
    <cellStyle name="Note 4 5 3 3 3" xfId="11598"/>
    <cellStyle name="Note 4 5 3 3 4" xfId="11599"/>
    <cellStyle name="Note 4 5 3 4" xfId="11600"/>
    <cellStyle name="Note 4 5 3 4 2" xfId="11601"/>
    <cellStyle name="Note 4 5 3 4 2 2" xfId="11602"/>
    <cellStyle name="Note 4 5 3 4 3" xfId="11603"/>
    <cellStyle name="Note 4 5 3 4 3 2" xfId="11604"/>
    <cellStyle name="Note 4 5 3 4 4" xfId="11605"/>
    <cellStyle name="Note 4 5 3 4 5" xfId="11606"/>
    <cellStyle name="Note 4 5 3 5" xfId="11607"/>
    <cellStyle name="Note 4 5 3 5 2" xfId="11608"/>
    <cellStyle name="Note 4 5 3 6" xfId="11609"/>
    <cellStyle name="Note 4 5 3 7" xfId="11610"/>
    <cellStyle name="Note 4 5 3 8" xfId="11611"/>
    <cellStyle name="Note 4 5 4" xfId="11612"/>
    <cellStyle name="Note 4 5 4 2" xfId="11613"/>
    <cellStyle name="Note 4 5 4 2 2" xfId="11614"/>
    <cellStyle name="Note 4 5 4 2 2 2" xfId="11615"/>
    <cellStyle name="Note 4 5 4 2 2 2 2" xfId="11616"/>
    <cellStyle name="Note 4 5 4 2 2 3" xfId="11617"/>
    <cellStyle name="Note 4 5 4 2 2 4" xfId="11618"/>
    <cellStyle name="Note 4 5 4 2 3" xfId="11619"/>
    <cellStyle name="Note 4 5 4 2 3 2" xfId="11620"/>
    <cellStyle name="Note 4 5 4 2 4" xfId="11621"/>
    <cellStyle name="Note 4 5 4 2 4 2" xfId="11622"/>
    <cellStyle name="Note 4 5 4 2 5" xfId="11623"/>
    <cellStyle name="Note 4 5 4 2 5 2" xfId="11624"/>
    <cellStyle name="Note 4 5 4 2 6" xfId="11625"/>
    <cellStyle name="Note 4 5 4 2 7" xfId="11626"/>
    <cellStyle name="Note 4 5 4 3" xfId="11627"/>
    <cellStyle name="Note 4 5 4 3 2" xfId="11628"/>
    <cellStyle name="Note 4 5 4 3 2 2" xfId="11629"/>
    <cellStyle name="Note 4 5 4 3 3" xfId="11630"/>
    <cellStyle name="Note 4 5 4 3 4" xfId="11631"/>
    <cellStyle name="Note 4 5 4 4" xfId="11632"/>
    <cellStyle name="Note 4 5 4 4 2" xfId="11633"/>
    <cellStyle name="Note 4 5 4 4 2 2" xfId="11634"/>
    <cellStyle name="Note 4 5 4 4 3" xfId="11635"/>
    <cellStyle name="Note 4 5 4 4 3 2" xfId="11636"/>
    <cellStyle name="Note 4 5 4 4 4" xfId="11637"/>
    <cellStyle name="Note 4 5 4 4 5" xfId="11638"/>
    <cellStyle name="Note 4 5 4 5" xfId="11639"/>
    <cellStyle name="Note 4 5 4 5 2" xfId="11640"/>
    <cellStyle name="Note 4 5 4 6" xfId="11641"/>
    <cellStyle name="Note 4 5 4 7" xfId="11642"/>
    <cellStyle name="Note 4 5 4 8" xfId="11643"/>
    <cellStyle name="Note 4 5 5" xfId="11644"/>
    <cellStyle name="Note 4 5 5 2" xfId="11645"/>
    <cellStyle name="Note 4 5 5 2 2" xfId="11646"/>
    <cellStyle name="Note 4 5 5 2 2 2" xfId="11647"/>
    <cellStyle name="Note 4 5 5 2 3" xfId="11648"/>
    <cellStyle name="Note 4 5 5 2 4" xfId="11649"/>
    <cellStyle name="Note 4 5 5 3" xfId="11650"/>
    <cellStyle name="Note 4 5 5 3 2" xfId="11651"/>
    <cellStyle name="Note 4 5 5 4" xfId="11652"/>
    <cellStyle name="Note 4 5 5 4 2" xfId="11653"/>
    <cellStyle name="Note 4 5 5 5" xfId="11654"/>
    <cellStyle name="Note 4 5 5 5 2" xfId="11655"/>
    <cellStyle name="Note 4 5 5 6" xfId="11656"/>
    <cellStyle name="Note 4 5 5 7" xfId="11657"/>
    <cellStyle name="Note 4 5 6" xfId="11658"/>
    <cellStyle name="Note 4 5 6 2" xfId="11659"/>
    <cellStyle name="Note 4 5 6 2 2" xfId="11660"/>
    <cellStyle name="Note 4 5 6 3" xfId="11661"/>
    <cellStyle name="Note 4 5 6 4" xfId="11662"/>
    <cellStyle name="Note 4 5 7" xfId="11663"/>
    <cellStyle name="Note 4 5 7 2" xfId="11664"/>
    <cellStyle name="Note 4 5 7 2 2" xfId="11665"/>
    <cellStyle name="Note 4 5 7 3" xfId="11666"/>
    <cellStyle name="Note 4 5 7 3 2" xfId="11667"/>
    <cellStyle name="Note 4 5 7 4" xfId="11668"/>
    <cellStyle name="Note 4 5 7 5" xfId="11669"/>
    <cellStyle name="Note 4 5 8" xfId="11670"/>
    <cellStyle name="Note 4 5 8 2" xfId="11671"/>
    <cellStyle name="Note 4 5 9" xfId="11672"/>
    <cellStyle name="Note 4 6" xfId="11673"/>
    <cellStyle name="Note 4 6 10" xfId="11674"/>
    <cellStyle name="Note 4 6 2" xfId="11675"/>
    <cellStyle name="Note 4 6 2 2" xfId="11676"/>
    <cellStyle name="Note 4 6 2 2 2" xfId="11677"/>
    <cellStyle name="Note 4 6 2 2 2 2" xfId="11678"/>
    <cellStyle name="Note 4 6 2 2 2 2 2" xfId="11679"/>
    <cellStyle name="Note 4 6 2 2 2 3" xfId="11680"/>
    <cellStyle name="Note 4 6 2 2 2 4" xfId="11681"/>
    <cellStyle name="Note 4 6 2 2 3" xfId="11682"/>
    <cellStyle name="Note 4 6 2 2 3 2" xfId="11683"/>
    <cellStyle name="Note 4 6 2 2 4" xfId="11684"/>
    <cellStyle name="Note 4 6 2 2 4 2" xfId="11685"/>
    <cellStyle name="Note 4 6 2 2 5" xfId="11686"/>
    <cellStyle name="Note 4 6 2 2 5 2" xfId="11687"/>
    <cellStyle name="Note 4 6 2 2 6" xfId="11688"/>
    <cellStyle name="Note 4 6 2 2 7" xfId="11689"/>
    <cellStyle name="Note 4 6 2 3" xfId="11690"/>
    <cellStyle name="Note 4 6 2 3 2" xfId="11691"/>
    <cellStyle name="Note 4 6 2 3 2 2" xfId="11692"/>
    <cellStyle name="Note 4 6 2 3 3" xfId="11693"/>
    <cellStyle name="Note 4 6 2 3 4" xfId="11694"/>
    <cellStyle name="Note 4 6 2 4" xfId="11695"/>
    <cellStyle name="Note 4 6 2 4 2" xfId="11696"/>
    <cellStyle name="Note 4 6 2 4 2 2" xfId="11697"/>
    <cellStyle name="Note 4 6 2 4 3" xfId="11698"/>
    <cellStyle name="Note 4 6 2 4 3 2" xfId="11699"/>
    <cellStyle name="Note 4 6 2 4 4" xfId="11700"/>
    <cellStyle name="Note 4 6 2 4 5" xfId="11701"/>
    <cellStyle name="Note 4 6 2 5" xfId="11702"/>
    <cellStyle name="Note 4 6 2 5 2" xfId="11703"/>
    <cellStyle name="Note 4 6 2 6" xfId="11704"/>
    <cellStyle name="Note 4 6 2 7" xfId="11705"/>
    <cellStyle name="Note 4 6 2 8" xfId="11706"/>
    <cellStyle name="Note 4 6 3" xfId="11707"/>
    <cellStyle name="Note 4 6 3 2" xfId="11708"/>
    <cellStyle name="Note 4 6 3 2 2" xfId="11709"/>
    <cellStyle name="Note 4 6 3 2 2 2" xfId="11710"/>
    <cellStyle name="Note 4 6 3 2 2 2 2" xfId="11711"/>
    <cellStyle name="Note 4 6 3 2 2 3" xfId="11712"/>
    <cellStyle name="Note 4 6 3 2 2 4" xfId="11713"/>
    <cellStyle name="Note 4 6 3 2 3" xfId="11714"/>
    <cellStyle name="Note 4 6 3 2 3 2" xfId="11715"/>
    <cellStyle name="Note 4 6 3 2 4" xfId="11716"/>
    <cellStyle name="Note 4 6 3 2 4 2" xfId="11717"/>
    <cellStyle name="Note 4 6 3 2 5" xfId="11718"/>
    <cellStyle name="Note 4 6 3 2 5 2" xfId="11719"/>
    <cellStyle name="Note 4 6 3 2 6" xfId="11720"/>
    <cellStyle name="Note 4 6 3 2 7" xfId="11721"/>
    <cellStyle name="Note 4 6 3 3" xfId="11722"/>
    <cellStyle name="Note 4 6 3 3 2" xfId="11723"/>
    <cellStyle name="Note 4 6 3 3 2 2" xfId="11724"/>
    <cellStyle name="Note 4 6 3 3 3" xfId="11725"/>
    <cellStyle name="Note 4 6 3 3 4" xfId="11726"/>
    <cellStyle name="Note 4 6 3 4" xfId="11727"/>
    <cellStyle name="Note 4 6 3 4 2" xfId="11728"/>
    <cellStyle name="Note 4 6 3 4 2 2" xfId="11729"/>
    <cellStyle name="Note 4 6 3 4 3" xfId="11730"/>
    <cellStyle name="Note 4 6 3 4 3 2" xfId="11731"/>
    <cellStyle name="Note 4 6 3 4 4" xfId="11732"/>
    <cellStyle name="Note 4 6 3 4 5" xfId="11733"/>
    <cellStyle name="Note 4 6 3 5" xfId="11734"/>
    <cellStyle name="Note 4 6 3 5 2" xfId="11735"/>
    <cellStyle name="Note 4 6 3 6" xfId="11736"/>
    <cellStyle name="Note 4 6 3 7" xfId="11737"/>
    <cellStyle name="Note 4 6 3 8" xfId="11738"/>
    <cellStyle name="Note 4 6 4" xfId="11739"/>
    <cellStyle name="Note 4 6 4 2" xfId="11740"/>
    <cellStyle name="Note 4 6 4 2 2" xfId="11741"/>
    <cellStyle name="Note 4 6 4 2 2 2" xfId="11742"/>
    <cellStyle name="Note 4 6 4 2 3" xfId="11743"/>
    <cellStyle name="Note 4 6 4 2 4" xfId="11744"/>
    <cellStyle name="Note 4 6 4 3" xfId="11745"/>
    <cellStyle name="Note 4 6 4 3 2" xfId="11746"/>
    <cellStyle name="Note 4 6 4 4" xfId="11747"/>
    <cellStyle name="Note 4 6 4 4 2" xfId="11748"/>
    <cellStyle name="Note 4 6 4 5" xfId="11749"/>
    <cellStyle name="Note 4 6 4 5 2" xfId="11750"/>
    <cellStyle name="Note 4 6 4 6" xfId="11751"/>
    <cellStyle name="Note 4 6 4 7" xfId="11752"/>
    <cellStyle name="Note 4 6 5" xfId="11753"/>
    <cellStyle name="Note 4 6 5 2" xfId="11754"/>
    <cellStyle name="Note 4 6 5 2 2" xfId="11755"/>
    <cellStyle name="Note 4 6 5 3" xfId="11756"/>
    <cellStyle name="Note 4 6 5 4" xfId="11757"/>
    <cellStyle name="Note 4 6 6" xfId="11758"/>
    <cellStyle name="Note 4 6 6 2" xfId="11759"/>
    <cellStyle name="Note 4 6 6 2 2" xfId="11760"/>
    <cellStyle name="Note 4 6 6 3" xfId="11761"/>
    <cellStyle name="Note 4 6 6 3 2" xfId="11762"/>
    <cellStyle name="Note 4 6 6 4" xfId="11763"/>
    <cellStyle name="Note 4 6 6 5" xfId="11764"/>
    <cellStyle name="Note 4 6 7" xfId="11765"/>
    <cellStyle name="Note 4 6 7 2" xfId="11766"/>
    <cellStyle name="Note 4 6 8" xfId="11767"/>
    <cellStyle name="Note 4 6 9" xfId="11768"/>
    <cellStyle name="Note 4 7" xfId="11769"/>
    <cellStyle name="Note 4 7 2" xfId="11770"/>
    <cellStyle name="Note 4 7 2 2" xfId="11771"/>
    <cellStyle name="Note 4 7 2 2 2" xfId="11772"/>
    <cellStyle name="Note 4 7 2 2 2 2" xfId="11773"/>
    <cellStyle name="Note 4 7 2 2 3" xfId="11774"/>
    <cellStyle name="Note 4 7 2 2 3 2" xfId="11775"/>
    <cellStyle name="Note 4 7 2 2 4" xfId="11776"/>
    <cellStyle name="Note 4 7 2 2 5" xfId="11777"/>
    <cellStyle name="Note 4 7 2 3" xfId="11778"/>
    <cellStyle name="Note 4 7 2 3 2" xfId="11779"/>
    <cellStyle name="Note 4 7 2 4" xfId="11780"/>
    <cellStyle name="Note 4 7 2 4 2" xfId="11781"/>
    <cellStyle name="Note 4 7 2 5" xfId="11782"/>
    <cellStyle name="Note 4 7 2 5 2" xfId="11783"/>
    <cellStyle name="Note 4 7 2 6" xfId="11784"/>
    <cellStyle name="Note 4 7 2 6 2" xfId="11785"/>
    <cellStyle name="Note 4 7 2 7" xfId="11786"/>
    <cellStyle name="Note 4 7 2 8" xfId="11787"/>
    <cellStyle name="Note 4 7 3" xfId="11788"/>
    <cellStyle name="Note 4 7 3 2" xfId="11789"/>
    <cellStyle name="Note 4 7 3 2 2" xfId="11790"/>
    <cellStyle name="Note 4 7 3 3" xfId="11791"/>
    <cellStyle name="Note 4 7 3 3 2" xfId="11792"/>
    <cellStyle name="Note 4 7 3 4" xfId="11793"/>
    <cellStyle name="Note 4 7 3 5" xfId="11794"/>
    <cellStyle name="Note 4 7 4" xfId="11795"/>
    <cellStyle name="Note 4 7 4 2" xfId="11796"/>
    <cellStyle name="Note 4 7 4 2 2" xfId="11797"/>
    <cellStyle name="Note 4 7 4 3" xfId="11798"/>
    <cellStyle name="Note 4 7 4 3 2" xfId="11799"/>
    <cellStyle name="Note 4 7 4 4" xfId="11800"/>
    <cellStyle name="Note 4 7 4 5" xfId="11801"/>
    <cellStyle name="Note 4 7 5" xfId="11802"/>
    <cellStyle name="Note 4 7 5 2" xfId="11803"/>
    <cellStyle name="Note 4 7 6" xfId="11804"/>
    <cellStyle name="Note 4 7 6 2" xfId="11805"/>
    <cellStyle name="Note 4 7 7" xfId="11806"/>
    <cellStyle name="Note 4 7 8" xfId="11807"/>
    <cellStyle name="Note 4 7 9" xfId="11808"/>
    <cellStyle name="Note 4 8" xfId="11809"/>
    <cellStyle name="Note 4 8 2" xfId="11810"/>
    <cellStyle name="Note 4 8 2 2" xfId="11811"/>
    <cellStyle name="Note 4 8 2 2 2" xfId="11812"/>
    <cellStyle name="Note 4 8 2 2 2 2" xfId="11813"/>
    <cellStyle name="Note 4 8 2 2 3" xfId="11814"/>
    <cellStyle name="Note 4 8 2 2 3 2" xfId="11815"/>
    <cellStyle name="Note 4 8 2 2 4" xfId="11816"/>
    <cellStyle name="Note 4 8 2 2 5" xfId="11817"/>
    <cellStyle name="Note 4 8 2 3" xfId="11818"/>
    <cellStyle name="Note 4 8 2 3 2" xfId="11819"/>
    <cellStyle name="Note 4 8 2 4" xfId="11820"/>
    <cellStyle name="Note 4 8 2 4 2" xfId="11821"/>
    <cellStyle name="Note 4 8 2 5" xfId="11822"/>
    <cellStyle name="Note 4 8 2 5 2" xfId="11823"/>
    <cellStyle name="Note 4 8 2 6" xfId="11824"/>
    <cellStyle name="Note 4 8 2 6 2" xfId="11825"/>
    <cellStyle name="Note 4 8 2 7" xfId="11826"/>
    <cellStyle name="Note 4 8 2 8" xfId="11827"/>
    <cellStyle name="Note 4 8 3" xfId="11828"/>
    <cellStyle name="Note 4 8 3 2" xfId="11829"/>
    <cellStyle name="Note 4 8 3 2 2" xfId="11830"/>
    <cellStyle name="Note 4 8 3 3" xfId="11831"/>
    <cellStyle name="Note 4 8 3 3 2" xfId="11832"/>
    <cellStyle name="Note 4 8 3 4" xfId="11833"/>
    <cellStyle name="Note 4 8 3 5" xfId="11834"/>
    <cellStyle name="Note 4 8 4" xfId="11835"/>
    <cellStyle name="Note 4 8 4 2" xfId="11836"/>
    <cellStyle name="Note 4 8 4 2 2" xfId="11837"/>
    <cellStyle name="Note 4 8 4 3" xfId="11838"/>
    <cellStyle name="Note 4 8 4 3 2" xfId="11839"/>
    <cellStyle name="Note 4 8 4 4" xfId="11840"/>
    <cellStyle name="Note 4 8 4 5" xfId="11841"/>
    <cellStyle name="Note 4 8 5" xfId="11842"/>
    <cellStyle name="Note 4 8 5 2" xfId="11843"/>
    <cellStyle name="Note 4 8 6" xfId="11844"/>
    <cellStyle name="Note 4 8 6 2" xfId="11845"/>
    <cellStyle name="Note 4 8 7" xfId="11846"/>
    <cellStyle name="Note 4 8 8" xfId="11847"/>
    <cellStyle name="Note 4 8 9" xfId="11848"/>
    <cellStyle name="Note 4 9" xfId="11849"/>
    <cellStyle name="Note 4 9 2" xfId="11850"/>
    <cellStyle name="Note 4 9 2 2" xfId="11851"/>
    <cellStyle name="Note 4 9 2 2 2" xfId="11852"/>
    <cellStyle name="Note 4 9 2 3" xfId="11853"/>
    <cellStyle name="Note 4 9 2 3 2" xfId="11854"/>
    <cellStyle name="Note 4 9 2 4" xfId="11855"/>
    <cellStyle name="Note 4 9 2 5" xfId="11856"/>
    <cellStyle name="Note 4 9 3" xfId="11857"/>
    <cellStyle name="Note 4 9 3 2" xfId="11858"/>
    <cellStyle name="Note 4 9 4" xfId="11859"/>
    <cellStyle name="Note 4 9 4 2" xfId="11860"/>
    <cellStyle name="Note 4 9 5" xfId="11861"/>
    <cellStyle name="Note 4 9 5 2" xfId="11862"/>
    <cellStyle name="Note 4 9 6" xfId="11863"/>
    <cellStyle name="Note 4 9 6 2" xfId="11864"/>
    <cellStyle name="Note 4 9 7" xfId="11865"/>
    <cellStyle name="Note 4 9 8" xfId="11866"/>
    <cellStyle name="Note 5" xfId="83"/>
    <cellStyle name="Note 5 10" xfId="39717"/>
    <cellStyle name="Note 5 11" xfId="39718"/>
    <cellStyle name="Note 5 2" xfId="11867"/>
    <cellStyle name="Note 5 2 2" xfId="11868"/>
    <cellStyle name="Note 5 2 2 2" xfId="11869"/>
    <cellStyle name="Note 5 2 2 2 2" xfId="11870"/>
    <cellStyle name="Note 5 2 2 3" xfId="11871"/>
    <cellStyle name="Note 5 2 2 3 2" xfId="11872"/>
    <cellStyle name="Note 5 2 2 4" xfId="11873"/>
    <cellStyle name="Note 5 2 2 5" xfId="11874"/>
    <cellStyle name="Note 5 2 3" xfId="11875"/>
    <cellStyle name="Note 5 2 3 2" xfId="11876"/>
    <cellStyle name="Note 5 2 4" xfId="11877"/>
    <cellStyle name="Note 5 2 4 2" xfId="11878"/>
    <cellStyle name="Note 5 2 5" xfId="11879"/>
    <cellStyle name="Note 5 2 5 2" xfId="11880"/>
    <cellStyle name="Note 5 2 6" xfId="11881"/>
    <cellStyle name="Note 5 2 7" xfId="11882"/>
    <cellStyle name="Note 5 2 8" xfId="39719"/>
    <cellStyle name="Note 5 2 9" xfId="39720"/>
    <cellStyle name="Note 5 3" xfId="11883"/>
    <cellStyle name="Note 5 3 2" xfId="11884"/>
    <cellStyle name="Note 5 3 2 2" xfId="11885"/>
    <cellStyle name="Note 5 3 3" xfId="11886"/>
    <cellStyle name="Note 5 3 3 2" xfId="11887"/>
    <cellStyle name="Note 5 3 4" xfId="11888"/>
    <cellStyle name="Note 5 3 5" xfId="11889"/>
    <cellStyle name="Note 5 3 6" xfId="39721"/>
    <cellStyle name="Note 5 4" xfId="11890"/>
    <cellStyle name="Note 5 4 2" xfId="11891"/>
    <cellStyle name="Note 5 4 2 2" xfId="39722"/>
    <cellStyle name="Note 5 4 2 2 2" xfId="39723"/>
    <cellStyle name="Note 5 4 2 3" xfId="39724"/>
    <cellStyle name="Note 5 4 3" xfId="39725"/>
    <cellStyle name="Note 5 4 3 2" xfId="39726"/>
    <cellStyle name="Note 5 4 4" xfId="39727"/>
    <cellStyle name="Note 5 4 5" xfId="39728"/>
    <cellStyle name="Note 5 5" xfId="11892"/>
    <cellStyle name="Note 5 5 2" xfId="11893"/>
    <cellStyle name="Note 5 6" xfId="11894"/>
    <cellStyle name="Note 5 6 2" xfId="11895"/>
    <cellStyle name="Note 5 7" xfId="11896"/>
    <cellStyle name="Note 5 8" xfId="11897"/>
    <cellStyle name="Note 5 9" xfId="11898"/>
    <cellStyle name="Note 6" xfId="11899"/>
    <cellStyle name="Note 6 10" xfId="11900"/>
    <cellStyle name="Note 6 11" xfId="11901"/>
    <cellStyle name="Note 6 12" xfId="11902"/>
    <cellStyle name="Note 6 13" xfId="39729"/>
    <cellStyle name="Note 6 14" xfId="39730"/>
    <cellStyle name="Note 6 15" xfId="39731"/>
    <cellStyle name="Note 6 2" xfId="11903"/>
    <cellStyle name="Note 6 2 10" xfId="11904"/>
    <cellStyle name="Note 6 2 11" xfId="11905"/>
    <cellStyle name="Note 6 2 12" xfId="39732"/>
    <cellStyle name="Note 6 2 13" xfId="39733"/>
    <cellStyle name="Note 6 2 14" xfId="39734"/>
    <cellStyle name="Note 6 2 2" xfId="11906"/>
    <cellStyle name="Note 6 2 2 2" xfId="11907"/>
    <cellStyle name="Note 6 2 2 2 2" xfId="11908"/>
    <cellStyle name="Note 6 2 2 2 2 2" xfId="11909"/>
    <cellStyle name="Note 6 2 2 2 2 2 2" xfId="11910"/>
    <cellStyle name="Note 6 2 2 2 2 3" xfId="11911"/>
    <cellStyle name="Note 6 2 2 2 2 3 2" xfId="11912"/>
    <cellStyle name="Note 6 2 2 2 2 4" xfId="11913"/>
    <cellStyle name="Note 6 2 2 2 2 5" xfId="11914"/>
    <cellStyle name="Note 6 2 2 2 3" xfId="11915"/>
    <cellStyle name="Note 6 2 2 2 3 2" xfId="11916"/>
    <cellStyle name="Note 6 2 2 2 4" xfId="11917"/>
    <cellStyle name="Note 6 2 2 2 4 2" xfId="11918"/>
    <cellStyle name="Note 6 2 2 2 5" xfId="11919"/>
    <cellStyle name="Note 6 2 2 2 5 2" xfId="11920"/>
    <cellStyle name="Note 6 2 2 2 6" xfId="11921"/>
    <cellStyle name="Note 6 2 2 2 6 2" xfId="11922"/>
    <cellStyle name="Note 6 2 2 2 7" xfId="11923"/>
    <cellStyle name="Note 6 2 2 2 8" xfId="11924"/>
    <cellStyle name="Note 6 2 2 3" xfId="11925"/>
    <cellStyle name="Note 6 2 2 3 2" xfId="11926"/>
    <cellStyle name="Note 6 2 2 3 2 2" xfId="11927"/>
    <cellStyle name="Note 6 2 2 3 3" xfId="11928"/>
    <cellStyle name="Note 6 2 2 3 3 2" xfId="11929"/>
    <cellStyle name="Note 6 2 2 3 4" xfId="11930"/>
    <cellStyle name="Note 6 2 2 3 5" xfId="11931"/>
    <cellStyle name="Note 6 2 2 4" xfId="11932"/>
    <cellStyle name="Note 6 2 2 4 2" xfId="11933"/>
    <cellStyle name="Note 6 2 2 4 2 2" xfId="11934"/>
    <cellStyle name="Note 6 2 2 4 3" xfId="11935"/>
    <cellStyle name="Note 6 2 2 4 3 2" xfId="11936"/>
    <cellStyle name="Note 6 2 2 4 4" xfId="11937"/>
    <cellStyle name="Note 6 2 2 4 5" xfId="11938"/>
    <cellStyle name="Note 6 2 2 5" xfId="11939"/>
    <cellStyle name="Note 6 2 2 5 2" xfId="11940"/>
    <cellStyle name="Note 6 2 2 6" xfId="11941"/>
    <cellStyle name="Note 6 2 2 6 2" xfId="11942"/>
    <cellStyle name="Note 6 2 2 7" xfId="11943"/>
    <cellStyle name="Note 6 2 2 8" xfId="11944"/>
    <cellStyle name="Note 6 2 2 9" xfId="11945"/>
    <cellStyle name="Note 6 2 3" xfId="11946"/>
    <cellStyle name="Note 6 2 3 2" xfId="11947"/>
    <cellStyle name="Note 6 2 3 2 2" xfId="11948"/>
    <cellStyle name="Note 6 2 3 2 2 2" xfId="11949"/>
    <cellStyle name="Note 6 2 3 2 2 2 2" xfId="11950"/>
    <cellStyle name="Note 6 2 3 2 2 3" xfId="11951"/>
    <cellStyle name="Note 6 2 3 2 2 3 2" xfId="11952"/>
    <cellStyle name="Note 6 2 3 2 2 4" xfId="11953"/>
    <cellStyle name="Note 6 2 3 2 2 5" xfId="11954"/>
    <cellStyle name="Note 6 2 3 2 3" xfId="11955"/>
    <cellStyle name="Note 6 2 3 2 3 2" xfId="11956"/>
    <cellStyle name="Note 6 2 3 2 4" xfId="11957"/>
    <cellStyle name="Note 6 2 3 2 4 2" xfId="11958"/>
    <cellStyle name="Note 6 2 3 2 5" xfId="11959"/>
    <cellStyle name="Note 6 2 3 2 5 2" xfId="11960"/>
    <cellStyle name="Note 6 2 3 2 6" xfId="11961"/>
    <cellStyle name="Note 6 2 3 2 6 2" xfId="11962"/>
    <cellStyle name="Note 6 2 3 2 7" xfId="11963"/>
    <cellStyle name="Note 6 2 3 2 8" xfId="11964"/>
    <cellStyle name="Note 6 2 3 3" xfId="11965"/>
    <cellStyle name="Note 6 2 3 3 2" xfId="11966"/>
    <cellStyle name="Note 6 2 3 3 2 2" xfId="11967"/>
    <cellStyle name="Note 6 2 3 3 3" xfId="11968"/>
    <cellStyle name="Note 6 2 3 3 3 2" xfId="11969"/>
    <cellStyle name="Note 6 2 3 3 4" xfId="11970"/>
    <cellStyle name="Note 6 2 3 3 5" xfId="11971"/>
    <cellStyle name="Note 6 2 3 4" xfId="11972"/>
    <cellStyle name="Note 6 2 3 4 2" xfId="11973"/>
    <cellStyle name="Note 6 2 3 4 2 2" xfId="11974"/>
    <cellStyle name="Note 6 2 3 4 3" xfId="11975"/>
    <cellStyle name="Note 6 2 3 4 3 2" xfId="11976"/>
    <cellStyle name="Note 6 2 3 4 4" xfId="11977"/>
    <cellStyle name="Note 6 2 3 4 5" xfId="11978"/>
    <cellStyle name="Note 6 2 3 5" xfId="11979"/>
    <cellStyle name="Note 6 2 3 5 2" xfId="11980"/>
    <cellStyle name="Note 6 2 3 6" xfId="11981"/>
    <cellStyle name="Note 6 2 3 6 2" xfId="11982"/>
    <cellStyle name="Note 6 2 3 7" xfId="11983"/>
    <cellStyle name="Note 6 2 3 8" xfId="11984"/>
    <cellStyle name="Note 6 2 3 9" xfId="11985"/>
    <cellStyle name="Note 6 2 4" xfId="11986"/>
    <cellStyle name="Note 6 2 4 2" xfId="11987"/>
    <cellStyle name="Note 6 2 4 2 2" xfId="11988"/>
    <cellStyle name="Note 6 2 4 2 2 2" xfId="11989"/>
    <cellStyle name="Note 6 2 4 2 3" xfId="11990"/>
    <cellStyle name="Note 6 2 4 2 3 2" xfId="11991"/>
    <cellStyle name="Note 6 2 4 2 4" xfId="11992"/>
    <cellStyle name="Note 6 2 4 2 5" xfId="11993"/>
    <cellStyle name="Note 6 2 4 3" xfId="11994"/>
    <cellStyle name="Note 6 2 4 3 2" xfId="11995"/>
    <cellStyle name="Note 6 2 4 4" xfId="11996"/>
    <cellStyle name="Note 6 2 4 4 2" xfId="11997"/>
    <cellStyle name="Note 6 2 4 5" xfId="11998"/>
    <cellStyle name="Note 6 2 4 5 2" xfId="11999"/>
    <cellStyle name="Note 6 2 4 6" xfId="12000"/>
    <cellStyle name="Note 6 2 4 6 2" xfId="12001"/>
    <cellStyle name="Note 6 2 4 7" xfId="12002"/>
    <cellStyle name="Note 6 2 4 8" xfId="12003"/>
    <cellStyle name="Note 6 2 5" xfId="12004"/>
    <cellStyle name="Note 6 2 5 2" xfId="12005"/>
    <cellStyle name="Note 6 2 5 2 2" xfId="12006"/>
    <cellStyle name="Note 6 2 5 3" xfId="12007"/>
    <cellStyle name="Note 6 2 5 3 2" xfId="12008"/>
    <cellStyle name="Note 6 2 5 4" xfId="12009"/>
    <cellStyle name="Note 6 2 5 5" xfId="12010"/>
    <cellStyle name="Note 6 2 6" xfId="12011"/>
    <cellStyle name="Note 6 2 6 2" xfId="12012"/>
    <cellStyle name="Note 6 2 6 2 2" xfId="12013"/>
    <cellStyle name="Note 6 2 6 3" xfId="12014"/>
    <cellStyle name="Note 6 2 6 3 2" xfId="12015"/>
    <cellStyle name="Note 6 2 6 4" xfId="12016"/>
    <cellStyle name="Note 6 2 6 5" xfId="12017"/>
    <cellStyle name="Note 6 2 7" xfId="12018"/>
    <cellStyle name="Note 6 2 7 2" xfId="12019"/>
    <cellStyle name="Note 6 2 8" xfId="12020"/>
    <cellStyle name="Note 6 2 8 2" xfId="12021"/>
    <cellStyle name="Note 6 2 9" xfId="12022"/>
    <cellStyle name="Note 6 3" xfId="12023"/>
    <cellStyle name="Note 6 3 2" xfId="12024"/>
    <cellStyle name="Note 6 3 2 2" xfId="12025"/>
    <cellStyle name="Note 6 3 2 2 2" xfId="12026"/>
    <cellStyle name="Note 6 3 2 2 2 2" xfId="12027"/>
    <cellStyle name="Note 6 3 2 2 3" xfId="12028"/>
    <cellStyle name="Note 6 3 2 2 3 2" xfId="12029"/>
    <cellStyle name="Note 6 3 2 2 4" xfId="12030"/>
    <cellStyle name="Note 6 3 2 2 5" xfId="12031"/>
    <cellStyle name="Note 6 3 2 3" xfId="12032"/>
    <cellStyle name="Note 6 3 2 3 2" xfId="12033"/>
    <cellStyle name="Note 6 3 2 4" xfId="12034"/>
    <cellStyle name="Note 6 3 2 4 2" xfId="12035"/>
    <cellStyle name="Note 6 3 2 5" xfId="12036"/>
    <cellStyle name="Note 6 3 2 5 2" xfId="12037"/>
    <cellStyle name="Note 6 3 2 6" xfId="12038"/>
    <cellStyle name="Note 6 3 2 6 2" xfId="12039"/>
    <cellStyle name="Note 6 3 2 7" xfId="12040"/>
    <cellStyle name="Note 6 3 2 8" xfId="12041"/>
    <cellStyle name="Note 6 3 3" xfId="12042"/>
    <cellStyle name="Note 6 3 3 2" xfId="12043"/>
    <cellStyle name="Note 6 3 3 2 2" xfId="12044"/>
    <cellStyle name="Note 6 3 3 3" xfId="12045"/>
    <cellStyle name="Note 6 3 3 3 2" xfId="12046"/>
    <cellStyle name="Note 6 3 3 4" xfId="12047"/>
    <cellStyle name="Note 6 3 3 5" xfId="12048"/>
    <cellStyle name="Note 6 3 4" xfId="12049"/>
    <cellStyle name="Note 6 3 4 2" xfId="12050"/>
    <cellStyle name="Note 6 3 4 2 2" xfId="12051"/>
    <cellStyle name="Note 6 3 4 3" xfId="12052"/>
    <cellStyle name="Note 6 3 4 3 2" xfId="12053"/>
    <cellStyle name="Note 6 3 4 4" xfId="12054"/>
    <cellStyle name="Note 6 3 4 5" xfId="12055"/>
    <cellStyle name="Note 6 3 5" xfId="12056"/>
    <cellStyle name="Note 6 3 5 2" xfId="12057"/>
    <cellStyle name="Note 6 3 6" xfId="12058"/>
    <cellStyle name="Note 6 3 6 2" xfId="12059"/>
    <cellStyle name="Note 6 3 7" xfId="12060"/>
    <cellStyle name="Note 6 3 8" xfId="12061"/>
    <cellStyle name="Note 6 3 9" xfId="12062"/>
    <cellStyle name="Note 6 4" xfId="12063"/>
    <cellStyle name="Note 6 4 2" xfId="12064"/>
    <cellStyle name="Note 6 4 2 2" xfId="12065"/>
    <cellStyle name="Note 6 4 2 2 2" xfId="12066"/>
    <cellStyle name="Note 6 4 2 2 2 2" xfId="12067"/>
    <cellStyle name="Note 6 4 2 2 3" xfId="12068"/>
    <cellStyle name="Note 6 4 2 2 3 2" xfId="12069"/>
    <cellStyle name="Note 6 4 2 2 4" xfId="12070"/>
    <cellStyle name="Note 6 4 2 2 5" xfId="12071"/>
    <cellStyle name="Note 6 4 2 3" xfId="12072"/>
    <cellStyle name="Note 6 4 2 3 2" xfId="12073"/>
    <cellStyle name="Note 6 4 2 4" xfId="12074"/>
    <cellStyle name="Note 6 4 2 4 2" xfId="12075"/>
    <cellStyle name="Note 6 4 2 5" xfId="12076"/>
    <cellStyle name="Note 6 4 2 5 2" xfId="12077"/>
    <cellStyle name="Note 6 4 2 6" xfId="12078"/>
    <cellStyle name="Note 6 4 2 6 2" xfId="12079"/>
    <cellStyle name="Note 6 4 2 7" xfId="12080"/>
    <cellStyle name="Note 6 4 2 8" xfId="12081"/>
    <cellStyle name="Note 6 4 3" xfId="12082"/>
    <cellStyle name="Note 6 4 3 2" xfId="12083"/>
    <cellStyle name="Note 6 4 3 2 2" xfId="12084"/>
    <cellStyle name="Note 6 4 3 3" xfId="12085"/>
    <cellStyle name="Note 6 4 3 3 2" xfId="12086"/>
    <cellStyle name="Note 6 4 3 4" xfId="12087"/>
    <cellStyle name="Note 6 4 3 5" xfId="12088"/>
    <cellStyle name="Note 6 4 4" xfId="12089"/>
    <cellStyle name="Note 6 4 4 2" xfId="12090"/>
    <cellStyle name="Note 6 4 4 2 2" xfId="12091"/>
    <cellStyle name="Note 6 4 4 3" xfId="12092"/>
    <cellStyle name="Note 6 4 4 3 2" xfId="12093"/>
    <cellStyle name="Note 6 4 4 4" xfId="12094"/>
    <cellStyle name="Note 6 4 4 5" xfId="12095"/>
    <cellStyle name="Note 6 4 5" xfId="12096"/>
    <cellStyle name="Note 6 4 5 2" xfId="12097"/>
    <cellStyle name="Note 6 4 6" xfId="12098"/>
    <cellStyle name="Note 6 4 6 2" xfId="12099"/>
    <cellStyle name="Note 6 4 7" xfId="12100"/>
    <cellStyle name="Note 6 4 8" xfId="12101"/>
    <cellStyle name="Note 6 4 9" xfId="12102"/>
    <cellStyle name="Note 6 5" xfId="12103"/>
    <cellStyle name="Note 6 5 2" xfId="12104"/>
    <cellStyle name="Note 6 5 2 2" xfId="12105"/>
    <cellStyle name="Note 6 5 2 2 2" xfId="12106"/>
    <cellStyle name="Note 6 5 2 3" xfId="12107"/>
    <cellStyle name="Note 6 5 2 3 2" xfId="12108"/>
    <cellStyle name="Note 6 5 2 4" xfId="12109"/>
    <cellStyle name="Note 6 5 2 5" xfId="12110"/>
    <cellStyle name="Note 6 5 3" xfId="12111"/>
    <cellStyle name="Note 6 5 3 2" xfId="12112"/>
    <cellStyle name="Note 6 5 4" xfId="12113"/>
    <cellStyle name="Note 6 5 4 2" xfId="12114"/>
    <cellStyle name="Note 6 5 5" xfId="12115"/>
    <cellStyle name="Note 6 5 5 2" xfId="12116"/>
    <cellStyle name="Note 6 5 6" xfId="12117"/>
    <cellStyle name="Note 6 5 6 2" xfId="12118"/>
    <cellStyle name="Note 6 5 7" xfId="12119"/>
    <cellStyle name="Note 6 5 8" xfId="12120"/>
    <cellStyle name="Note 6 6" xfId="12121"/>
    <cellStyle name="Note 6 6 2" xfId="12122"/>
    <cellStyle name="Note 6 6 2 2" xfId="12123"/>
    <cellStyle name="Note 6 6 3" xfId="12124"/>
    <cellStyle name="Note 6 6 3 2" xfId="12125"/>
    <cellStyle name="Note 6 6 4" xfId="12126"/>
    <cellStyle name="Note 6 6 5" xfId="12127"/>
    <cellStyle name="Note 6 7" xfId="12128"/>
    <cellStyle name="Note 6 7 2" xfId="12129"/>
    <cellStyle name="Note 6 7 2 2" xfId="12130"/>
    <cellStyle name="Note 6 7 3" xfId="12131"/>
    <cellStyle name="Note 6 7 3 2" xfId="12132"/>
    <cellStyle name="Note 6 7 4" xfId="12133"/>
    <cellStyle name="Note 6 7 5" xfId="12134"/>
    <cellStyle name="Note 6 8" xfId="12135"/>
    <cellStyle name="Note 6 8 2" xfId="12136"/>
    <cellStyle name="Note 6 9" xfId="12137"/>
    <cellStyle name="Note 6 9 2" xfId="12138"/>
    <cellStyle name="Note 7" xfId="12139"/>
    <cellStyle name="Note 7 10" xfId="12140"/>
    <cellStyle name="Note 7 11" xfId="12141"/>
    <cellStyle name="Note 7 12" xfId="12142"/>
    <cellStyle name="Note 7 13" xfId="39735"/>
    <cellStyle name="Note 7 2" xfId="12143"/>
    <cellStyle name="Note 7 2 10" xfId="12144"/>
    <cellStyle name="Note 7 2 11" xfId="12145"/>
    <cellStyle name="Note 7 2 2" xfId="12146"/>
    <cellStyle name="Note 7 2 2 2" xfId="12147"/>
    <cellStyle name="Note 7 2 2 2 2" xfId="12148"/>
    <cellStyle name="Note 7 2 2 2 2 2" xfId="12149"/>
    <cellStyle name="Note 7 2 2 2 2 2 2" xfId="12150"/>
    <cellStyle name="Note 7 2 2 2 2 3" xfId="12151"/>
    <cellStyle name="Note 7 2 2 2 2 3 2" xfId="12152"/>
    <cellStyle name="Note 7 2 2 2 2 4" xfId="12153"/>
    <cellStyle name="Note 7 2 2 2 2 5" xfId="12154"/>
    <cellStyle name="Note 7 2 2 2 3" xfId="12155"/>
    <cellStyle name="Note 7 2 2 2 3 2" xfId="12156"/>
    <cellStyle name="Note 7 2 2 2 4" xfId="12157"/>
    <cellStyle name="Note 7 2 2 2 4 2" xfId="12158"/>
    <cellStyle name="Note 7 2 2 2 5" xfId="12159"/>
    <cellStyle name="Note 7 2 2 2 5 2" xfId="12160"/>
    <cellStyle name="Note 7 2 2 2 6" xfId="12161"/>
    <cellStyle name="Note 7 2 2 2 6 2" xfId="12162"/>
    <cellStyle name="Note 7 2 2 2 7" xfId="12163"/>
    <cellStyle name="Note 7 2 2 2 8" xfId="12164"/>
    <cellStyle name="Note 7 2 2 3" xfId="12165"/>
    <cellStyle name="Note 7 2 2 3 2" xfId="12166"/>
    <cellStyle name="Note 7 2 2 3 2 2" xfId="12167"/>
    <cellStyle name="Note 7 2 2 3 3" xfId="12168"/>
    <cellStyle name="Note 7 2 2 3 3 2" xfId="12169"/>
    <cellStyle name="Note 7 2 2 3 4" xfId="12170"/>
    <cellStyle name="Note 7 2 2 3 5" xfId="12171"/>
    <cellStyle name="Note 7 2 2 4" xfId="12172"/>
    <cellStyle name="Note 7 2 2 4 2" xfId="12173"/>
    <cellStyle name="Note 7 2 2 4 2 2" xfId="12174"/>
    <cellStyle name="Note 7 2 2 4 3" xfId="12175"/>
    <cellStyle name="Note 7 2 2 4 3 2" xfId="12176"/>
    <cellStyle name="Note 7 2 2 4 4" xfId="12177"/>
    <cellStyle name="Note 7 2 2 4 5" xfId="12178"/>
    <cellStyle name="Note 7 2 2 5" xfId="12179"/>
    <cellStyle name="Note 7 2 2 5 2" xfId="12180"/>
    <cellStyle name="Note 7 2 2 6" xfId="12181"/>
    <cellStyle name="Note 7 2 2 6 2" xfId="12182"/>
    <cellStyle name="Note 7 2 2 7" xfId="12183"/>
    <cellStyle name="Note 7 2 2 8" xfId="12184"/>
    <cellStyle name="Note 7 2 2 9" xfId="12185"/>
    <cellStyle name="Note 7 2 3" xfId="12186"/>
    <cellStyle name="Note 7 2 3 2" xfId="12187"/>
    <cellStyle name="Note 7 2 3 2 2" xfId="12188"/>
    <cellStyle name="Note 7 2 3 2 2 2" xfId="12189"/>
    <cellStyle name="Note 7 2 3 2 2 2 2" xfId="12190"/>
    <cellStyle name="Note 7 2 3 2 2 3" xfId="12191"/>
    <cellStyle name="Note 7 2 3 2 2 3 2" xfId="12192"/>
    <cellStyle name="Note 7 2 3 2 2 4" xfId="12193"/>
    <cellStyle name="Note 7 2 3 2 2 5" xfId="12194"/>
    <cellStyle name="Note 7 2 3 2 3" xfId="12195"/>
    <cellStyle name="Note 7 2 3 2 3 2" xfId="12196"/>
    <cellStyle name="Note 7 2 3 2 4" xfId="12197"/>
    <cellStyle name="Note 7 2 3 2 4 2" xfId="12198"/>
    <cellStyle name="Note 7 2 3 2 5" xfId="12199"/>
    <cellStyle name="Note 7 2 3 2 5 2" xfId="12200"/>
    <cellStyle name="Note 7 2 3 2 6" xfId="12201"/>
    <cellStyle name="Note 7 2 3 2 6 2" xfId="12202"/>
    <cellStyle name="Note 7 2 3 2 7" xfId="12203"/>
    <cellStyle name="Note 7 2 3 2 8" xfId="12204"/>
    <cellStyle name="Note 7 2 3 3" xfId="12205"/>
    <cellStyle name="Note 7 2 3 3 2" xfId="12206"/>
    <cellStyle name="Note 7 2 3 3 2 2" xfId="12207"/>
    <cellStyle name="Note 7 2 3 3 3" xfId="12208"/>
    <cellStyle name="Note 7 2 3 3 3 2" xfId="12209"/>
    <cellStyle name="Note 7 2 3 3 4" xfId="12210"/>
    <cellStyle name="Note 7 2 3 3 5" xfId="12211"/>
    <cellStyle name="Note 7 2 3 4" xfId="12212"/>
    <cellStyle name="Note 7 2 3 4 2" xfId="12213"/>
    <cellStyle name="Note 7 2 3 4 2 2" xfId="12214"/>
    <cellStyle name="Note 7 2 3 4 3" xfId="12215"/>
    <cellStyle name="Note 7 2 3 4 3 2" xfId="12216"/>
    <cellStyle name="Note 7 2 3 4 4" xfId="12217"/>
    <cellStyle name="Note 7 2 3 4 5" xfId="12218"/>
    <cellStyle name="Note 7 2 3 5" xfId="12219"/>
    <cellStyle name="Note 7 2 3 5 2" xfId="12220"/>
    <cellStyle name="Note 7 2 3 6" xfId="12221"/>
    <cellStyle name="Note 7 2 3 6 2" xfId="12222"/>
    <cellStyle name="Note 7 2 3 7" xfId="12223"/>
    <cellStyle name="Note 7 2 3 8" xfId="12224"/>
    <cellStyle name="Note 7 2 3 9" xfId="12225"/>
    <cellStyle name="Note 7 2 4" xfId="12226"/>
    <cellStyle name="Note 7 2 4 2" xfId="12227"/>
    <cellStyle name="Note 7 2 4 2 2" xfId="12228"/>
    <cellStyle name="Note 7 2 4 2 2 2" xfId="12229"/>
    <cellStyle name="Note 7 2 4 2 3" xfId="12230"/>
    <cellStyle name="Note 7 2 4 2 3 2" xfId="12231"/>
    <cellStyle name="Note 7 2 4 2 4" xfId="12232"/>
    <cellStyle name="Note 7 2 4 2 5" xfId="12233"/>
    <cellStyle name="Note 7 2 4 3" xfId="12234"/>
    <cellStyle name="Note 7 2 4 3 2" xfId="12235"/>
    <cellStyle name="Note 7 2 4 4" xfId="12236"/>
    <cellStyle name="Note 7 2 4 4 2" xfId="12237"/>
    <cellStyle name="Note 7 2 4 5" xfId="12238"/>
    <cellStyle name="Note 7 2 4 5 2" xfId="12239"/>
    <cellStyle name="Note 7 2 4 6" xfId="12240"/>
    <cellStyle name="Note 7 2 4 6 2" xfId="12241"/>
    <cellStyle name="Note 7 2 4 7" xfId="12242"/>
    <cellStyle name="Note 7 2 4 8" xfId="12243"/>
    <cellStyle name="Note 7 2 5" xfId="12244"/>
    <cellStyle name="Note 7 2 5 2" xfId="12245"/>
    <cellStyle name="Note 7 2 5 2 2" xfId="12246"/>
    <cellStyle name="Note 7 2 5 3" xfId="12247"/>
    <cellStyle name="Note 7 2 5 3 2" xfId="12248"/>
    <cellStyle name="Note 7 2 5 4" xfId="12249"/>
    <cellStyle name="Note 7 2 5 5" xfId="12250"/>
    <cellStyle name="Note 7 2 6" xfId="12251"/>
    <cellStyle name="Note 7 2 6 2" xfId="12252"/>
    <cellStyle name="Note 7 2 6 2 2" xfId="12253"/>
    <cellStyle name="Note 7 2 6 3" xfId="12254"/>
    <cellStyle name="Note 7 2 6 3 2" xfId="12255"/>
    <cellStyle name="Note 7 2 6 4" xfId="12256"/>
    <cellStyle name="Note 7 2 6 5" xfId="12257"/>
    <cellStyle name="Note 7 2 7" xfId="12258"/>
    <cellStyle name="Note 7 2 7 2" xfId="12259"/>
    <cellStyle name="Note 7 2 8" xfId="12260"/>
    <cellStyle name="Note 7 2 8 2" xfId="12261"/>
    <cellStyle name="Note 7 2 9" xfId="12262"/>
    <cellStyle name="Note 7 3" xfId="12263"/>
    <cellStyle name="Note 7 3 2" xfId="12264"/>
    <cellStyle name="Note 7 3 2 2" xfId="12265"/>
    <cellStyle name="Note 7 3 2 2 2" xfId="12266"/>
    <cellStyle name="Note 7 3 2 2 2 2" xfId="12267"/>
    <cellStyle name="Note 7 3 2 2 3" xfId="12268"/>
    <cellStyle name="Note 7 3 2 2 3 2" xfId="12269"/>
    <cellStyle name="Note 7 3 2 2 4" xfId="12270"/>
    <cellStyle name="Note 7 3 2 2 5" xfId="12271"/>
    <cellStyle name="Note 7 3 2 3" xfId="12272"/>
    <cellStyle name="Note 7 3 2 3 2" xfId="12273"/>
    <cellStyle name="Note 7 3 2 4" xfId="12274"/>
    <cellStyle name="Note 7 3 2 4 2" xfId="12275"/>
    <cellStyle name="Note 7 3 2 5" xfId="12276"/>
    <cellStyle name="Note 7 3 2 5 2" xfId="12277"/>
    <cellStyle name="Note 7 3 2 6" xfId="12278"/>
    <cellStyle name="Note 7 3 2 6 2" xfId="12279"/>
    <cellStyle name="Note 7 3 2 7" xfId="12280"/>
    <cellStyle name="Note 7 3 2 8" xfId="12281"/>
    <cellStyle name="Note 7 3 3" xfId="12282"/>
    <cellStyle name="Note 7 3 3 2" xfId="12283"/>
    <cellStyle name="Note 7 3 3 2 2" xfId="12284"/>
    <cellStyle name="Note 7 3 3 3" xfId="12285"/>
    <cellStyle name="Note 7 3 3 3 2" xfId="12286"/>
    <cellStyle name="Note 7 3 3 4" xfId="12287"/>
    <cellStyle name="Note 7 3 3 5" xfId="12288"/>
    <cellStyle name="Note 7 3 4" xfId="12289"/>
    <cellStyle name="Note 7 3 4 2" xfId="12290"/>
    <cellStyle name="Note 7 3 4 2 2" xfId="12291"/>
    <cellStyle name="Note 7 3 4 3" xfId="12292"/>
    <cellStyle name="Note 7 3 4 3 2" xfId="12293"/>
    <cellStyle name="Note 7 3 4 4" xfId="12294"/>
    <cellStyle name="Note 7 3 4 5" xfId="12295"/>
    <cellStyle name="Note 7 3 5" xfId="12296"/>
    <cellStyle name="Note 7 3 5 2" xfId="12297"/>
    <cellStyle name="Note 7 3 6" xfId="12298"/>
    <cellStyle name="Note 7 3 6 2" xfId="12299"/>
    <cellStyle name="Note 7 3 7" xfId="12300"/>
    <cellStyle name="Note 7 3 8" xfId="12301"/>
    <cellStyle name="Note 7 3 9" xfId="12302"/>
    <cellStyle name="Note 7 4" xfId="12303"/>
    <cellStyle name="Note 7 4 2" xfId="12304"/>
    <cellStyle name="Note 7 4 2 2" xfId="12305"/>
    <cellStyle name="Note 7 4 2 2 2" xfId="12306"/>
    <cellStyle name="Note 7 4 2 2 2 2" xfId="12307"/>
    <cellStyle name="Note 7 4 2 2 3" xfId="12308"/>
    <cellStyle name="Note 7 4 2 2 3 2" xfId="12309"/>
    <cellStyle name="Note 7 4 2 2 4" xfId="12310"/>
    <cellStyle name="Note 7 4 2 2 5" xfId="12311"/>
    <cellStyle name="Note 7 4 2 3" xfId="12312"/>
    <cellStyle name="Note 7 4 2 3 2" xfId="12313"/>
    <cellStyle name="Note 7 4 2 4" xfId="12314"/>
    <cellStyle name="Note 7 4 2 4 2" xfId="12315"/>
    <cellStyle name="Note 7 4 2 5" xfId="12316"/>
    <cellStyle name="Note 7 4 2 5 2" xfId="12317"/>
    <cellStyle name="Note 7 4 2 6" xfId="12318"/>
    <cellStyle name="Note 7 4 2 6 2" xfId="12319"/>
    <cellStyle name="Note 7 4 2 7" xfId="12320"/>
    <cellStyle name="Note 7 4 2 8" xfId="12321"/>
    <cellStyle name="Note 7 4 3" xfId="12322"/>
    <cellStyle name="Note 7 4 3 2" xfId="12323"/>
    <cellStyle name="Note 7 4 3 2 2" xfId="12324"/>
    <cellStyle name="Note 7 4 3 3" xfId="12325"/>
    <cellStyle name="Note 7 4 3 3 2" xfId="12326"/>
    <cellStyle name="Note 7 4 3 4" xfId="12327"/>
    <cellStyle name="Note 7 4 3 5" xfId="12328"/>
    <cellStyle name="Note 7 4 4" xfId="12329"/>
    <cellStyle name="Note 7 4 4 2" xfId="12330"/>
    <cellStyle name="Note 7 4 4 2 2" xfId="12331"/>
    <cellStyle name="Note 7 4 4 3" xfId="12332"/>
    <cellStyle name="Note 7 4 4 3 2" xfId="12333"/>
    <cellStyle name="Note 7 4 4 4" xfId="12334"/>
    <cellStyle name="Note 7 4 4 5" xfId="12335"/>
    <cellStyle name="Note 7 4 5" xfId="12336"/>
    <cellStyle name="Note 7 4 5 2" xfId="12337"/>
    <cellStyle name="Note 7 4 6" xfId="12338"/>
    <cellStyle name="Note 7 4 6 2" xfId="12339"/>
    <cellStyle name="Note 7 4 7" xfId="12340"/>
    <cellStyle name="Note 7 4 8" xfId="12341"/>
    <cellStyle name="Note 7 4 9" xfId="12342"/>
    <cellStyle name="Note 7 5" xfId="12343"/>
    <cellStyle name="Note 7 5 2" xfId="12344"/>
    <cellStyle name="Note 7 5 2 2" xfId="12345"/>
    <cellStyle name="Note 7 5 2 2 2" xfId="12346"/>
    <cellStyle name="Note 7 5 2 3" xfId="12347"/>
    <cellStyle name="Note 7 5 2 3 2" xfId="12348"/>
    <cellStyle name="Note 7 5 2 4" xfId="12349"/>
    <cellStyle name="Note 7 5 2 5" xfId="12350"/>
    <cellStyle name="Note 7 5 3" xfId="12351"/>
    <cellStyle name="Note 7 5 3 2" xfId="12352"/>
    <cellStyle name="Note 7 5 4" xfId="12353"/>
    <cellStyle name="Note 7 5 4 2" xfId="12354"/>
    <cellStyle name="Note 7 5 5" xfId="12355"/>
    <cellStyle name="Note 7 5 5 2" xfId="12356"/>
    <cellStyle name="Note 7 5 6" xfId="12357"/>
    <cellStyle name="Note 7 5 6 2" xfId="12358"/>
    <cellStyle name="Note 7 5 7" xfId="12359"/>
    <cellStyle name="Note 7 5 8" xfId="12360"/>
    <cellStyle name="Note 7 6" xfId="12361"/>
    <cellStyle name="Note 7 6 2" xfId="12362"/>
    <cellStyle name="Note 7 6 2 2" xfId="12363"/>
    <cellStyle name="Note 7 6 3" xfId="12364"/>
    <cellStyle name="Note 7 6 3 2" xfId="12365"/>
    <cellStyle name="Note 7 6 4" xfId="12366"/>
    <cellStyle name="Note 7 6 5" xfId="12367"/>
    <cellStyle name="Note 7 7" xfId="12368"/>
    <cellStyle name="Note 7 7 2" xfId="12369"/>
    <cellStyle name="Note 7 7 2 2" xfId="12370"/>
    <cellStyle name="Note 7 7 3" xfId="12371"/>
    <cellStyle name="Note 7 7 3 2" xfId="12372"/>
    <cellStyle name="Note 7 7 4" xfId="12373"/>
    <cellStyle name="Note 7 7 5" xfId="12374"/>
    <cellStyle name="Note 7 8" xfId="12375"/>
    <cellStyle name="Note 7 8 2" xfId="12376"/>
    <cellStyle name="Note 7 9" xfId="12377"/>
    <cellStyle name="Note 7 9 2" xfId="12378"/>
    <cellStyle name="Note 8" xfId="12379"/>
    <cellStyle name="Note 8 10" xfId="12380"/>
    <cellStyle name="Note 8 11" xfId="12381"/>
    <cellStyle name="Note 8 12" xfId="12382"/>
    <cellStyle name="Note 8 2" xfId="12383"/>
    <cellStyle name="Note 8 2 10" xfId="12384"/>
    <cellStyle name="Note 8 2 11" xfId="12385"/>
    <cellStyle name="Note 8 2 2" xfId="12386"/>
    <cellStyle name="Note 8 2 2 2" xfId="12387"/>
    <cellStyle name="Note 8 2 2 2 2" xfId="12388"/>
    <cellStyle name="Note 8 2 2 2 2 2" xfId="12389"/>
    <cellStyle name="Note 8 2 2 2 2 2 2" xfId="12390"/>
    <cellStyle name="Note 8 2 2 2 2 3" xfId="12391"/>
    <cellStyle name="Note 8 2 2 2 2 3 2" xfId="12392"/>
    <cellStyle name="Note 8 2 2 2 2 4" xfId="12393"/>
    <cellStyle name="Note 8 2 2 2 2 5" xfId="12394"/>
    <cellStyle name="Note 8 2 2 2 3" xfId="12395"/>
    <cellStyle name="Note 8 2 2 2 3 2" xfId="12396"/>
    <cellStyle name="Note 8 2 2 2 4" xfId="12397"/>
    <cellStyle name="Note 8 2 2 2 4 2" xfId="12398"/>
    <cellStyle name="Note 8 2 2 2 5" xfId="12399"/>
    <cellStyle name="Note 8 2 2 2 5 2" xfId="12400"/>
    <cellStyle name="Note 8 2 2 2 6" xfId="12401"/>
    <cellStyle name="Note 8 2 2 2 6 2" xfId="12402"/>
    <cellStyle name="Note 8 2 2 2 7" xfId="12403"/>
    <cellStyle name="Note 8 2 2 2 8" xfId="12404"/>
    <cellStyle name="Note 8 2 2 3" xfId="12405"/>
    <cellStyle name="Note 8 2 2 3 2" xfId="12406"/>
    <cellStyle name="Note 8 2 2 3 2 2" xfId="12407"/>
    <cellStyle name="Note 8 2 2 3 3" xfId="12408"/>
    <cellStyle name="Note 8 2 2 3 3 2" xfId="12409"/>
    <cellStyle name="Note 8 2 2 3 4" xfId="12410"/>
    <cellStyle name="Note 8 2 2 3 5" xfId="12411"/>
    <cellStyle name="Note 8 2 2 4" xfId="12412"/>
    <cellStyle name="Note 8 2 2 4 2" xfId="12413"/>
    <cellStyle name="Note 8 2 2 4 2 2" xfId="12414"/>
    <cellStyle name="Note 8 2 2 4 3" xfId="12415"/>
    <cellStyle name="Note 8 2 2 4 3 2" xfId="12416"/>
    <cellStyle name="Note 8 2 2 4 4" xfId="12417"/>
    <cellStyle name="Note 8 2 2 4 5" xfId="12418"/>
    <cellStyle name="Note 8 2 2 5" xfId="12419"/>
    <cellStyle name="Note 8 2 2 5 2" xfId="12420"/>
    <cellStyle name="Note 8 2 2 6" xfId="12421"/>
    <cellStyle name="Note 8 2 2 6 2" xfId="12422"/>
    <cellStyle name="Note 8 2 2 7" xfId="12423"/>
    <cellStyle name="Note 8 2 2 8" xfId="12424"/>
    <cellStyle name="Note 8 2 2 9" xfId="12425"/>
    <cellStyle name="Note 8 2 3" xfId="12426"/>
    <cellStyle name="Note 8 2 3 2" xfId="12427"/>
    <cellStyle name="Note 8 2 3 2 2" xfId="12428"/>
    <cellStyle name="Note 8 2 3 2 2 2" xfId="12429"/>
    <cellStyle name="Note 8 2 3 2 2 2 2" xfId="12430"/>
    <cellStyle name="Note 8 2 3 2 2 3" xfId="12431"/>
    <cellStyle name="Note 8 2 3 2 2 3 2" xfId="12432"/>
    <cellStyle name="Note 8 2 3 2 2 4" xfId="12433"/>
    <cellStyle name="Note 8 2 3 2 2 5" xfId="12434"/>
    <cellStyle name="Note 8 2 3 2 3" xfId="12435"/>
    <cellStyle name="Note 8 2 3 2 3 2" xfId="12436"/>
    <cellStyle name="Note 8 2 3 2 4" xfId="12437"/>
    <cellStyle name="Note 8 2 3 2 4 2" xfId="12438"/>
    <cellStyle name="Note 8 2 3 2 5" xfId="12439"/>
    <cellStyle name="Note 8 2 3 2 5 2" xfId="12440"/>
    <cellStyle name="Note 8 2 3 2 6" xfId="12441"/>
    <cellStyle name="Note 8 2 3 2 6 2" xfId="12442"/>
    <cellStyle name="Note 8 2 3 2 7" xfId="12443"/>
    <cellStyle name="Note 8 2 3 2 8" xfId="12444"/>
    <cellStyle name="Note 8 2 3 3" xfId="12445"/>
    <cellStyle name="Note 8 2 3 3 2" xfId="12446"/>
    <cellStyle name="Note 8 2 3 3 2 2" xfId="12447"/>
    <cellStyle name="Note 8 2 3 3 3" xfId="12448"/>
    <cellStyle name="Note 8 2 3 3 3 2" xfId="12449"/>
    <cellStyle name="Note 8 2 3 3 4" xfId="12450"/>
    <cellStyle name="Note 8 2 3 3 5" xfId="12451"/>
    <cellStyle name="Note 8 2 3 4" xfId="12452"/>
    <cellStyle name="Note 8 2 3 4 2" xfId="12453"/>
    <cellStyle name="Note 8 2 3 4 2 2" xfId="12454"/>
    <cellStyle name="Note 8 2 3 4 3" xfId="12455"/>
    <cellStyle name="Note 8 2 3 4 3 2" xfId="12456"/>
    <cellStyle name="Note 8 2 3 4 4" xfId="12457"/>
    <cellStyle name="Note 8 2 3 4 5" xfId="12458"/>
    <cellStyle name="Note 8 2 3 5" xfId="12459"/>
    <cellStyle name="Note 8 2 3 5 2" xfId="12460"/>
    <cellStyle name="Note 8 2 3 6" xfId="12461"/>
    <cellStyle name="Note 8 2 3 6 2" xfId="12462"/>
    <cellStyle name="Note 8 2 3 7" xfId="12463"/>
    <cellStyle name="Note 8 2 3 8" xfId="12464"/>
    <cellStyle name="Note 8 2 3 9" xfId="12465"/>
    <cellStyle name="Note 8 2 4" xfId="12466"/>
    <cellStyle name="Note 8 2 4 2" xfId="12467"/>
    <cellStyle name="Note 8 2 4 2 2" xfId="12468"/>
    <cellStyle name="Note 8 2 4 2 2 2" xfId="12469"/>
    <cellStyle name="Note 8 2 4 2 3" xfId="12470"/>
    <cellStyle name="Note 8 2 4 2 3 2" xfId="12471"/>
    <cellStyle name="Note 8 2 4 2 4" xfId="12472"/>
    <cellStyle name="Note 8 2 4 2 5" xfId="12473"/>
    <cellStyle name="Note 8 2 4 3" xfId="12474"/>
    <cellStyle name="Note 8 2 4 3 2" xfId="12475"/>
    <cellStyle name="Note 8 2 4 4" xfId="12476"/>
    <cellStyle name="Note 8 2 4 4 2" xfId="12477"/>
    <cellStyle name="Note 8 2 4 5" xfId="12478"/>
    <cellStyle name="Note 8 2 4 5 2" xfId="12479"/>
    <cellStyle name="Note 8 2 4 6" xfId="12480"/>
    <cellStyle name="Note 8 2 4 6 2" xfId="12481"/>
    <cellStyle name="Note 8 2 4 7" xfId="12482"/>
    <cellStyle name="Note 8 2 4 8" xfId="12483"/>
    <cellStyle name="Note 8 2 5" xfId="12484"/>
    <cellStyle name="Note 8 2 5 2" xfId="12485"/>
    <cellStyle name="Note 8 2 5 2 2" xfId="12486"/>
    <cellStyle name="Note 8 2 5 3" xfId="12487"/>
    <cellStyle name="Note 8 2 5 3 2" xfId="12488"/>
    <cellStyle name="Note 8 2 5 4" xfId="12489"/>
    <cellStyle name="Note 8 2 5 5" xfId="12490"/>
    <cellStyle name="Note 8 2 6" xfId="12491"/>
    <cellStyle name="Note 8 2 6 2" xfId="12492"/>
    <cellStyle name="Note 8 2 6 2 2" xfId="12493"/>
    <cellStyle name="Note 8 2 6 3" xfId="12494"/>
    <cellStyle name="Note 8 2 6 3 2" xfId="12495"/>
    <cellStyle name="Note 8 2 6 4" xfId="12496"/>
    <cellStyle name="Note 8 2 6 5" xfId="12497"/>
    <cellStyle name="Note 8 2 7" xfId="12498"/>
    <cellStyle name="Note 8 2 7 2" xfId="12499"/>
    <cellStyle name="Note 8 2 8" xfId="12500"/>
    <cellStyle name="Note 8 2 8 2" xfId="12501"/>
    <cellStyle name="Note 8 2 9" xfId="12502"/>
    <cellStyle name="Note 8 3" xfId="12503"/>
    <cellStyle name="Note 8 3 2" xfId="12504"/>
    <cellStyle name="Note 8 3 2 2" xfId="12505"/>
    <cellStyle name="Note 8 3 2 2 2" xfId="12506"/>
    <cellStyle name="Note 8 3 2 2 2 2" xfId="12507"/>
    <cellStyle name="Note 8 3 2 2 3" xfId="12508"/>
    <cellStyle name="Note 8 3 2 2 3 2" xfId="12509"/>
    <cellStyle name="Note 8 3 2 2 4" xfId="12510"/>
    <cellStyle name="Note 8 3 2 2 5" xfId="12511"/>
    <cellStyle name="Note 8 3 2 3" xfId="12512"/>
    <cellStyle name="Note 8 3 2 3 2" xfId="12513"/>
    <cellStyle name="Note 8 3 2 4" xfId="12514"/>
    <cellStyle name="Note 8 3 2 4 2" xfId="12515"/>
    <cellStyle name="Note 8 3 2 5" xfId="12516"/>
    <cellStyle name="Note 8 3 2 5 2" xfId="12517"/>
    <cellStyle name="Note 8 3 2 6" xfId="12518"/>
    <cellStyle name="Note 8 3 2 6 2" xfId="12519"/>
    <cellStyle name="Note 8 3 2 7" xfId="12520"/>
    <cellStyle name="Note 8 3 2 8" xfId="12521"/>
    <cellStyle name="Note 8 3 3" xfId="12522"/>
    <cellStyle name="Note 8 3 3 2" xfId="12523"/>
    <cellStyle name="Note 8 3 3 2 2" xfId="12524"/>
    <cellStyle name="Note 8 3 3 3" xfId="12525"/>
    <cellStyle name="Note 8 3 3 3 2" xfId="12526"/>
    <cellStyle name="Note 8 3 3 4" xfId="12527"/>
    <cellStyle name="Note 8 3 3 5" xfId="12528"/>
    <cellStyle name="Note 8 3 4" xfId="12529"/>
    <cellStyle name="Note 8 3 4 2" xfId="12530"/>
    <cellStyle name="Note 8 3 4 2 2" xfId="12531"/>
    <cellStyle name="Note 8 3 4 3" xfId="12532"/>
    <cellStyle name="Note 8 3 4 3 2" xfId="12533"/>
    <cellStyle name="Note 8 3 4 4" xfId="12534"/>
    <cellStyle name="Note 8 3 4 5" xfId="12535"/>
    <cellStyle name="Note 8 3 5" xfId="12536"/>
    <cellStyle name="Note 8 3 5 2" xfId="12537"/>
    <cellStyle name="Note 8 3 6" xfId="12538"/>
    <cellStyle name="Note 8 3 6 2" xfId="12539"/>
    <cellStyle name="Note 8 3 7" xfId="12540"/>
    <cellStyle name="Note 8 3 8" xfId="12541"/>
    <cellStyle name="Note 8 3 9" xfId="12542"/>
    <cellStyle name="Note 8 4" xfId="12543"/>
    <cellStyle name="Note 8 4 2" xfId="12544"/>
    <cellStyle name="Note 8 4 2 2" xfId="12545"/>
    <cellStyle name="Note 8 4 2 2 2" xfId="12546"/>
    <cellStyle name="Note 8 4 2 2 2 2" xfId="12547"/>
    <cellStyle name="Note 8 4 2 2 3" xfId="12548"/>
    <cellStyle name="Note 8 4 2 2 3 2" xfId="12549"/>
    <cellStyle name="Note 8 4 2 2 4" xfId="12550"/>
    <cellStyle name="Note 8 4 2 2 5" xfId="12551"/>
    <cellStyle name="Note 8 4 2 3" xfId="12552"/>
    <cellStyle name="Note 8 4 2 3 2" xfId="12553"/>
    <cellStyle name="Note 8 4 2 4" xfId="12554"/>
    <cellStyle name="Note 8 4 2 4 2" xfId="12555"/>
    <cellStyle name="Note 8 4 2 5" xfId="12556"/>
    <cellStyle name="Note 8 4 2 5 2" xfId="12557"/>
    <cellStyle name="Note 8 4 2 6" xfId="12558"/>
    <cellStyle name="Note 8 4 2 6 2" xfId="12559"/>
    <cellStyle name="Note 8 4 2 7" xfId="12560"/>
    <cellStyle name="Note 8 4 2 8" xfId="12561"/>
    <cellStyle name="Note 8 4 3" xfId="12562"/>
    <cellStyle name="Note 8 4 3 2" xfId="12563"/>
    <cellStyle name="Note 8 4 3 2 2" xfId="12564"/>
    <cellStyle name="Note 8 4 3 3" xfId="12565"/>
    <cellStyle name="Note 8 4 3 3 2" xfId="12566"/>
    <cellStyle name="Note 8 4 3 4" xfId="12567"/>
    <cellStyle name="Note 8 4 3 5" xfId="12568"/>
    <cellStyle name="Note 8 4 4" xfId="12569"/>
    <cellStyle name="Note 8 4 4 2" xfId="12570"/>
    <cellStyle name="Note 8 4 4 2 2" xfId="12571"/>
    <cellStyle name="Note 8 4 4 3" xfId="12572"/>
    <cellStyle name="Note 8 4 4 3 2" xfId="12573"/>
    <cellStyle name="Note 8 4 4 4" xfId="12574"/>
    <cellStyle name="Note 8 4 4 5" xfId="12575"/>
    <cellStyle name="Note 8 4 5" xfId="12576"/>
    <cellStyle name="Note 8 4 5 2" xfId="12577"/>
    <cellStyle name="Note 8 4 6" xfId="12578"/>
    <cellStyle name="Note 8 4 6 2" xfId="12579"/>
    <cellStyle name="Note 8 4 7" xfId="12580"/>
    <cellStyle name="Note 8 4 8" xfId="12581"/>
    <cellStyle name="Note 8 4 9" xfId="12582"/>
    <cellStyle name="Note 8 5" xfId="12583"/>
    <cellStyle name="Note 8 5 2" xfId="12584"/>
    <cellStyle name="Note 8 5 2 2" xfId="12585"/>
    <cellStyle name="Note 8 5 2 2 2" xfId="12586"/>
    <cellStyle name="Note 8 5 2 3" xfId="12587"/>
    <cellStyle name="Note 8 5 2 3 2" xfId="12588"/>
    <cellStyle name="Note 8 5 2 4" xfId="12589"/>
    <cellStyle name="Note 8 5 2 5" xfId="12590"/>
    <cellStyle name="Note 8 5 3" xfId="12591"/>
    <cellStyle name="Note 8 5 3 2" xfId="12592"/>
    <cellStyle name="Note 8 5 4" xfId="12593"/>
    <cellStyle name="Note 8 5 4 2" xfId="12594"/>
    <cellStyle name="Note 8 5 5" xfId="12595"/>
    <cellStyle name="Note 8 5 5 2" xfId="12596"/>
    <cellStyle name="Note 8 5 6" xfId="12597"/>
    <cellStyle name="Note 8 5 6 2" xfId="12598"/>
    <cellStyle name="Note 8 5 7" xfId="12599"/>
    <cellStyle name="Note 8 5 8" xfId="12600"/>
    <cellStyle name="Note 8 6" xfId="12601"/>
    <cellStyle name="Note 8 6 2" xfId="12602"/>
    <cellStyle name="Note 8 6 2 2" xfId="12603"/>
    <cellStyle name="Note 8 6 3" xfId="12604"/>
    <cellStyle name="Note 8 6 3 2" xfId="12605"/>
    <cellStyle name="Note 8 6 4" xfId="12606"/>
    <cellStyle name="Note 8 6 5" xfId="12607"/>
    <cellStyle name="Note 8 7" xfId="12608"/>
    <cellStyle name="Note 8 7 2" xfId="12609"/>
    <cellStyle name="Note 8 7 2 2" xfId="12610"/>
    <cellStyle name="Note 8 7 3" xfId="12611"/>
    <cellStyle name="Note 8 7 3 2" xfId="12612"/>
    <cellStyle name="Note 8 7 4" xfId="12613"/>
    <cellStyle name="Note 8 7 5" xfId="12614"/>
    <cellStyle name="Note 8 8" xfId="12615"/>
    <cellStyle name="Note 8 8 2" xfId="12616"/>
    <cellStyle name="Note 8 9" xfId="12617"/>
    <cellStyle name="Note 8 9 2" xfId="12618"/>
    <cellStyle name="Note 9" xfId="12619"/>
    <cellStyle name="Note 9 10" xfId="12620"/>
    <cellStyle name="Note 9 11" xfId="12621"/>
    <cellStyle name="Note 9 2" xfId="12622"/>
    <cellStyle name="Note 9 2 2" xfId="12623"/>
    <cellStyle name="Note 9 2 2 2" xfId="12624"/>
    <cellStyle name="Note 9 2 2 2 2" xfId="12625"/>
    <cellStyle name="Note 9 2 2 2 2 2" xfId="12626"/>
    <cellStyle name="Note 9 2 2 2 3" xfId="12627"/>
    <cellStyle name="Note 9 2 2 2 3 2" xfId="12628"/>
    <cellStyle name="Note 9 2 2 2 4" xfId="12629"/>
    <cellStyle name="Note 9 2 2 2 5" xfId="12630"/>
    <cellStyle name="Note 9 2 2 3" xfId="12631"/>
    <cellStyle name="Note 9 2 2 3 2" xfId="12632"/>
    <cellStyle name="Note 9 2 2 4" xfId="12633"/>
    <cellStyle name="Note 9 2 2 4 2" xfId="12634"/>
    <cellStyle name="Note 9 2 2 5" xfId="12635"/>
    <cellStyle name="Note 9 2 2 5 2" xfId="12636"/>
    <cellStyle name="Note 9 2 2 6" xfId="12637"/>
    <cellStyle name="Note 9 2 2 6 2" xfId="12638"/>
    <cellStyle name="Note 9 2 2 7" xfId="12639"/>
    <cellStyle name="Note 9 2 2 8" xfId="12640"/>
    <cellStyle name="Note 9 2 3" xfId="12641"/>
    <cellStyle name="Note 9 2 3 2" xfId="12642"/>
    <cellStyle name="Note 9 2 3 2 2" xfId="12643"/>
    <cellStyle name="Note 9 2 3 3" xfId="12644"/>
    <cellStyle name="Note 9 2 3 3 2" xfId="12645"/>
    <cellStyle name="Note 9 2 3 4" xfId="12646"/>
    <cellStyle name="Note 9 2 3 5" xfId="12647"/>
    <cellStyle name="Note 9 2 4" xfId="12648"/>
    <cellStyle name="Note 9 2 4 2" xfId="12649"/>
    <cellStyle name="Note 9 2 4 2 2" xfId="12650"/>
    <cellStyle name="Note 9 2 4 3" xfId="12651"/>
    <cellStyle name="Note 9 2 4 3 2" xfId="12652"/>
    <cellStyle name="Note 9 2 4 4" xfId="12653"/>
    <cellStyle name="Note 9 2 4 5" xfId="12654"/>
    <cellStyle name="Note 9 2 5" xfId="12655"/>
    <cellStyle name="Note 9 2 5 2" xfId="12656"/>
    <cellStyle name="Note 9 2 6" xfId="12657"/>
    <cellStyle name="Note 9 2 6 2" xfId="12658"/>
    <cellStyle name="Note 9 2 7" xfId="12659"/>
    <cellStyle name="Note 9 2 8" xfId="12660"/>
    <cellStyle name="Note 9 2 9" xfId="12661"/>
    <cellStyle name="Note 9 3" xfId="12662"/>
    <cellStyle name="Note 9 3 2" xfId="12663"/>
    <cellStyle name="Note 9 3 2 2" xfId="12664"/>
    <cellStyle name="Note 9 3 2 2 2" xfId="12665"/>
    <cellStyle name="Note 9 3 2 2 2 2" xfId="12666"/>
    <cellStyle name="Note 9 3 2 2 3" xfId="12667"/>
    <cellStyle name="Note 9 3 2 2 3 2" xfId="12668"/>
    <cellStyle name="Note 9 3 2 2 4" xfId="12669"/>
    <cellStyle name="Note 9 3 2 2 5" xfId="12670"/>
    <cellStyle name="Note 9 3 2 3" xfId="12671"/>
    <cellStyle name="Note 9 3 2 3 2" xfId="12672"/>
    <cellStyle name="Note 9 3 2 4" xfId="12673"/>
    <cellStyle name="Note 9 3 2 4 2" xfId="12674"/>
    <cellStyle name="Note 9 3 2 5" xfId="12675"/>
    <cellStyle name="Note 9 3 2 5 2" xfId="12676"/>
    <cellStyle name="Note 9 3 2 6" xfId="12677"/>
    <cellStyle name="Note 9 3 2 6 2" xfId="12678"/>
    <cellStyle name="Note 9 3 2 7" xfId="12679"/>
    <cellStyle name="Note 9 3 2 8" xfId="12680"/>
    <cellStyle name="Note 9 3 3" xfId="12681"/>
    <cellStyle name="Note 9 3 3 2" xfId="12682"/>
    <cellStyle name="Note 9 3 3 2 2" xfId="12683"/>
    <cellStyle name="Note 9 3 3 3" xfId="12684"/>
    <cellStyle name="Note 9 3 3 3 2" xfId="12685"/>
    <cellStyle name="Note 9 3 3 4" xfId="12686"/>
    <cellStyle name="Note 9 3 3 5" xfId="12687"/>
    <cellStyle name="Note 9 3 4" xfId="12688"/>
    <cellStyle name="Note 9 3 4 2" xfId="12689"/>
    <cellStyle name="Note 9 3 4 2 2" xfId="12690"/>
    <cellStyle name="Note 9 3 4 3" xfId="12691"/>
    <cellStyle name="Note 9 3 4 3 2" xfId="12692"/>
    <cellStyle name="Note 9 3 4 4" xfId="12693"/>
    <cellStyle name="Note 9 3 4 5" xfId="12694"/>
    <cellStyle name="Note 9 3 5" xfId="12695"/>
    <cellStyle name="Note 9 3 5 2" xfId="12696"/>
    <cellStyle name="Note 9 3 6" xfId="12697"/>
    <cellStyle name="Note 9 3 6 2" xfId="12698"/>
    <cellStyle name="Note 9 3 7" xfId="12699"/>
    <cellStyle name="Note 9 3 8" xfId="12700"/>
    <cellStyle name="Note 9 3 9" xfId="12701"/>
    <cellStyle name="Note 9 4" xfId="12702"/>
    <cellStyle name="Note 9 4 2" xfId="12703"/>
    <cellStyle name="Note 9 4 2 2" xfId="12704"/>
    <cellStyle name="Note 9 4 2 2 2" xfId="12705"/>
    <cellStyle name="Note 9 4 2 3" xfId="12706"/>
    <cellStyle name="Note 9 4 2 3 2" xfId="12707"/>
    <cellStyle name="Note 9 4 2 4" xfId="12708"/>
    <cellStyle name="Note 9 4 2 5" xfId="12709"/>
    <cellStyle name="Note 9 4 3" xfId="12710"/>
    <cellStyle name="Note 9 4 3 2" xfId="12711"/>
    <cellStyle name="Note 9 4 4" xfId="12712"/>
    <cellStyle name="Note 9 4 4 2" xfId="12713"/>
    <cellStyle name="Note 9 4 5" xfId="12714"/>
    <cellStyle name="Note 9 4 5 2" xfId="12715"/>
    <cellStyle name="Note 9 4 6" xfId="12716"/>
    <cellStyle name="Note 9 4 6 2" xfId="12717"/>
    <cellStyle name="Note 9 4 7" xfId="12718"/>
    <cellStyle name="Note 9 4 8" xfId="12719"/>
    <cellStyle name="Note 9 5" xfId="12720"/>
    <cellStyle name="Note 9 5 2" xfId="12721"/>
    <cellStyle name="Note 9 5 2 2" xfId="12722"/>
    <cellStyle name="Note 9 5 3" xfId="12723"/>
    <cellStyle name="Note 9 5 3 2" xfId="12724"/>
    <cellStyle name="Note 9 5 4" xfId="12725"/>
    <cellStyle name="Note 9 5 5" xfId="12726"/>
    <cellStyle name="Note 9 6" xfId="12727"/>
    <cellStyle name="Note 9 6 2" xfId="12728"/>
    <cellStyle name="Note 9 6 2 2" xfId="12729"/>
    <cellStyle name="Note 9 6 3" xfId="12730"/>
    <cellStyle name="Note 9 6 3 2" xfId="12731"/>
    <cellStyle name="Note 9 6 4" xfId="12732"/>
    <cellStyle name="Note 9 6 5" xfId="12733"/>
    <cellStyle name="Note 9 7" xfId="12734"/>
    <cellStyle name="Note 9 7 2" xfId="12735"/>
    <cellStyle name="Note 9 8" xfId="12736"/>
    <cellStyle name="Note 9 8 2" xfId="12737"/>
    <cellStyle name="Note 9 9" xfId="12738"/>
    <cellStyle name="OBI_ColHeader" xfId="39736"/>
    <cellStyle name="Obliczenia" xfId="12739"/>
    <cellStyle name="Output 2" xfId="12740"/>
    <cellStyle name="Output 2 10" xfId="39737"/>
    <cellStyle name="Output 2 11" xfId="39738"/>
    <cellStyle name="Output 2 2" xfId="12741"/>
    <cellStyle name="Output 2 2 2" xfId="12742"/>
    <cellStyle name="Output 2 2 2 2" xfId="12743"/>
    <cellStyle name="Output 2 2 2 2 2" xfId="12744"/>
    <cellStyle name="Output 2 2 2 3" xfId="12745"/>
    <cellStyle name="Output 2 2 2 3 2" xfId="12746"/>
    <cellStyle name="Output 2 2 2 4" xfId="12747"/>
    <cellStyle name="Output 2 2 2 5" xfId="12748"/>
    <cellStyle name="Output 2 2 3" xfId="12749"/>
    <cellStyle name="Output 2 2 3 2" xfId="12750"/>
    <cellStyle name="Output 2 2 4" xfId="12751"/>
    <cellStyle name="Output 2 2 4 2" xfId="12752"/>
    <cellStyle name="Output 2 2 5" xfId="12753"/>
    <cellStyle name="Output 2 2 6" xfId="12754"/>
    <cellStyle name="Output 2 3" xfId="12755"/>
    <cellStyle name="Output 2 3 2" xfId="12756"/>
    <cellStyle name="Output 2 3 2 2" xfId="12757"/>
    <cellStyle name="Output 2 3 3" xfId="12758"/>
    <cellStyle name="Output 2 3 3 2" xfId="12759"/>
    <cellStyle name="Output 2 3 4" xfId="12760"/>
    <cellStyle name="Output 2 3 5" xfId="12761"/>
    <cellStyle name="Output 2 4" xfId="12762"/>
    <cellStyle name="Output 2 4 2" xfId="12763"/>
    <cellStyle name="Output 2 5" xfId="12764"/>
    <cellStyle name="Output 2 5 2" xfId="12765"/>
    <cellStyle name="Output 2 6" xfId="12766"/>
    <cellStyle name="Output 2 7" xfId="12767"/>
    <cellStyle name="Output 2 8" xfId="12768"/>
    <cellStyle name="Output 2 9" xfId="39739"/>
    <cellStyle name="Output 3" xfId="12769"/>
    <cellStyle name="Output 3 2" xfId="12770"/>
    <cellStyle name="Output 3 2 2" xfId="12771"/>
    <cellStyle name="Output 3 3" xfId="12772"/>
    <cellStyle name="Output 3 3 2" xfId="12773"/>
    <cellStyle name="Output 3 4" xfId="12774"/>
    <cellStyle name="Output 3 5" xfId="12775"/>
    <cellStyle name="Output 3 6" xfId="39740"/>
    <cellStyle name="Output 4" xfId="12776"/>
    <cellStyle name="Output 4 2" xfId="12777"/>
    <cellStyle name="Output 5" xfId="12778"/>
    <cellStyle name="Output 5 2" xfId="12779"/>
    <cellStyle name="Output 6" xfId="12780"/>
    <cellStyle name="Output 7" xfId="12781"/>
    <cellStyle name="ParentCO" xfId="12782"/>
    <cellStyle name="ParentCO 2" xfId="12783"/>
    <cellStyle name="ParentCO 2 2" xfId="12784"/>
    <cellStyle name="ParentCO 3" xfId="12785"/>
    <cellStyle name="ParentCO 3 2" xfId="12786"/>
    <cellStyle name="ParentCO 4" xfId="12787"/>
    <cellStyle name="ParentCO 5" xfId="12788"/>
    <cellStyle name="per.style" xfId="39741"/>
    <cellStyle name="Percent" xfId="1" builtinId="5"/>
    <cellStyle name="Percent (0)" xfId="12789"/>
    <cellStyle name="Percent (0) 2" xfId="12790"/>
    <cellStyle name="Percent (0) 2 2" xfId="12791"/>
    <cellStyle name="Percent (0) 3" xfId="12792"/>
    <cellStyle name="Percent (0) 3 2" xfId="12793"/>
    <cellStyle name="Percent (0) 4" xfId="12794"/>
    <cellStyle name="Percent (0) 5" xfId="12795"/>
    <cellStyle name="Percent [0]" xfId="39742"/>
    <cellStyle name="Percent [0] 2" xfId="39743"/>
    <cellStyle name="Percent [0] 2 2" xfId="39744"/>
    <cellStyle name="Percent [0] 3" xfId="39745"/>
    <cellStyle name="Percent [00]" xfId="39746"/>
    <cellStyle name="Percent [00] 2" xfId="39747"/>
    <cellStyle name="Percent [00] 2 2" xfId="39748"/>
    <cellStyle name="Percent [00] 3" xfId="39749"/>
    <cellStyle name="Percent [2]" xfId="12796"/>
    <cellStyle name="Percent [2] 2" xfId="19039"/>
    <cellStyle name="Percent [2] 2 2" xfId="39750"/>
    <cellStyle name="Percent [2] 3" xfId="19040"/>
    <cellStyle name="Percent [2] 3 2" xfId="39751"/>
    <cellStyle name="Percent [2] 4" xfId="19041"/>
    <cellStyle name="Percent [2] 5" xfId="39752"/>
    <cellStyle name="Percent 10" xfId="12797"/>
    <cellStyle name="Percent 10 10" xfId="12798"/>
    <cellStyle name="Percent 10 11" xfId="12799"/>
    <cellStyle name="Percent 10 12" xfId="12800"/>
    <cellStyle name="Percent 10 13" xfId="19280"/>
    <cellStyle name="Percent 10 14" xfId="39753"/>
    <cellStyle name="Percent 10 2" xfId="12801"/>
    <cellStyle name="Percent 10 2 10" xfId="12802"/>
    <cellStyle name="Percent 10 2 11" xfId="12803"/>
    <cellStyle name="Percent 10 2 12" xfId="39754"/>
    <cellStyle name="Percent 10 2 13" xfId="39755"/>
    <cellStyle name="Percent 10 2 2" xfId="12804"/>
    <cellStyle name="Percent 10 2 2 2" xfId="12805"/>
    <cellStyle name="Percent 10 2 2 2 2" xfId="12806"/>
    <cellStyle name="Percent 10 2 2 2 2 2" xfId="12807"/>
    <cellStyle name="Percent 10 2 2 2 2 2 2" xfId="12808"/>
    <cellStyle name="Percent 10 2 2 2 2 3" xfId="12809"/>
    <cellStyle name="Percent 10 2 2 2 2 3 2" xfId="12810"/>
    <cellStyle name="Percent 10 2 2 2 2 4" xfId="12811"/>
    <cellStyle name="Percent 10 2 2 2 2 5" xfId="12812"/>
    <cellStyle name="Percent 10 2 2 2 3" xfId="12813"/>
    <cellStyle name="Percent 10 2 2 2 3 2" xfId="12814"/>
    <cellStyle name="Percent 10 2 2 2 4" xfId="12815"/>
    <cellStyle name="Percent 10 2 2 2 4 2" xfId="12816"/>
    <cellStyle name="Percent 10 2 2 2 5" xfId="12817"/>
    <cellStyle name="Percent 10 2 2 2 5 2" xfId="12818"/>
    <cellStyle name="Percent 10 2 2 2 6" xfId="12819"/>
    <cellStyle name="Percent 10 2 2 2 6 2" xfId="12820"/>
    <cellStyle name="Percent 10 2 2 2 7" xfId="12821"/>
    <cellStyle name="Percent 10 2 2 2 8" xfId="12822"/>
    <cellStyle name="Percent 10 2 2 3" xfId="12823"/>
    <cellStyle name="Percent 10 2 2 3 2" xfId="12824"/>
    <cellStyle name="Percent 10 2 2 3 2 2" xfId="12825"/>
    <cellStyle name="Percent 10 2 2 3 3" xfId="12826"/>
    <cellStyle name="Percent 10 2 2 3 3 2" xfId="12827"/>
    <cellStyle name="Percent 10 2 2 3 4" xfId="12828"/>
    <cellStyle name="Percent 10 2 2 3 5" xfId="12829"/>
    <cellStyle name="Percent 10 2 2 4" xfId="12830"/>
    <cellStyle name="Percent 10 2 2 4 2" xfId="12831"/>
    <cellStyle name="Percent 10 2 2 4 2 2" xfId="12832"/>
    <cellStyle name="Percent 10 2 2 4 3" xfId="12833"/>
    <cellStyle name="Percent 10 2 2 4 3 2" xfId="12834"/>
    <cellStyle name="Percent 10 2 2 4 4" xfId="12835"/>
    <cellStyle name="Percent 10 2 2 4 5" xfId="12836"/>
    <cellStyle name="Percent 10 2 2 5" xfId="12837"/>
    <cellStyle name="Percent 10 2 2 5 2" xfId="12838"/>
    <cellStyle name="Percent 10 2 2 6" xfId="12839"/>
    <cellStyle name="Percent 10 2 2 6 2" xfId="12840"/>
    <cellStyle name="Percent 10 2 2 7" xfId="12841"/>
    <cellStyle name="Percent 10 2 2 8" xfId="12842"/>
    <cellStyle name="Percent 10 2 2 9" xfId="12843"/>
    <cellStyle name="Percent 10 2 3" xfId="12844"/>
    <cellStyle name="Percent 10 2 3 2" xfId="12845"/>
    <cellStyle name="Percent 10 2 3 2 2" xfId="12846"/>
    <cellStyle name="Percent 10 2 3 2 2 2" xfId="12847"/>
    <cellStyle name="Percent 10 2 3 2 2 2 2" xfId="12848"/>
    <cellStyle name="Percent 10 2 3 2 2 3" xfId="12849"/>
    <cellStyle name="Percent 10 2 3 2 2 3 2" xfId="12850"/>
    <cellStyle name="Percent 10 2 3 2 2 4" xfId="12851"/>
    <cellStyle name="Percent 10 2 3 2 2 5" xfId="12852"/>
    <cellStyle name="Percent 10 2 3 2 3" xfId="12853"/>
    <cellStyle name="Percent 10 2 3 2 3 2" xfId="12854"/>
    <cellStyle name="Percent 10 2 3 2 4" xfId="12855"/>
    <cellStyle name="Percent 10 2 3 2 4 2" xfId="12856"/>
    <cellStyle name="Percent 10 2 3 2 5" xfId="12857"/>
    <cellStyle name="Percent 10 2 3 2 5 2" xfId="12858"/>
    <cellStyle name="Percent 10 2 3 2 6" xfId="12859"/>
    <cellStyle name="Percent 10 2 3 2 6 2" xfId="12860"/>
    <cellStyle name="Percent 10 2 3 2 7" xfId="12861"/>
    <cellStyle name="Percent 10 2 3 2 8" xfId="12862"/>
    <cellStyle name="Percent 10 2 3 3" xfId="12863"/>
    <cellStyle name="Percent 10 2 3 3 2" xfId="12864"/>
    <cellStyle name="Percent 10 2 3 3 2 2" xfId="12865"/>
    <cellStyle name="Percent 10 2 3 3 3" xfId="12866"/>
    <cellStyle name="Percent 10 2 3 3 3 2" xfId="12867"/>
    <cellStyle name="Percent 10 2 3 3 4" xfId="12868"/>
    <cellStyle name="Percent 10 2 3 3 5" xfId="12869"/>
    <cellStyle name="Percent 10 2 3 4" xfId="12870"/>
    <cellStyle name="Percent 10 2 3 4 2" xfId="12871"/>
    <cellStyle name="Percent 10 2 3 4 2 2" xfId="12872"/>
    <cellStyle name="Percent 10 2 3 4 3" xfId="12873"/>
    <cellStyle name="Percent 10 2 3 4 3 2" xfId="12874"/>
    <cellStyle name="Percent 10 2 3 4 4" xfId="12875"/>
    <cellStyle name="Percent 10 2 3 4 5" xfId="12876"/>
    <cellStyle name="Percent 10 2 3 5" xfId="12877"/>
    <cellStyle name="Percent 10 2 3 5 2" xfId="12878"/>
    <cellStyle name="Percent 10 2 3 6" xfId="12879"/>
    <cellStyle name="Percent 10 2 3 6 2" xfId="12880"/>
    <cellStyle name="Percent 10 2 3 7" xfId="12881"/>
    <cellStyle name="Percent 10 2 3 8" xfId="12882"/>
    <cellStyle name="Percent 10 2 3 9" xfId="12883"/>
    <cellStyle name="Percent 10 2 4" xfId="12884"/>
    <cellStyle name="Percent 10 2 4 2" xfId="12885"/>
    <cellStyle name="Percent 10 2 4 2 2" xfId="12886"/>
    <cellStyle name="Percent 10 2 4 2 2 2" xfId="12887"/>
    <cellStyle name="Percent 10 2 4 2 3" xfId="12888"/>
    <cellStyle name="Percent 10 2 4 2 3 2" xfId="12889"/>
    <cellStyle name="Percent 10 2 4 2 4" xfId="12890"/>
    <cellStyle name="Percent 10 2 4 2 5" xfId="12891"/>
    <cellStyle name="Percent 10 2 4 3" xfId="12892"/>
    <cellStyle name="Percent 10 2 4 3 2" xfId="12893"/>
    <cellStyle name="Percent 10 2 4 4" xfId="12894"/>
    <cellStyle name="Percent 10 2 4 4 2" xfId="12895"/>
    <cellStyle name="Percent 10 2 4 5" xfId="12896"/>
    <cellStyle name="Percent 10 2 4 5 2" xfId="12897"/>
    <cellStyle name="Percent 10 2 4 6" xfId="12898"/>
    <cellStyle name="Percent 10 2 4 6 2" xfId="12899"/>
    <cellStyle name="Percent 10 2 4 7" xfId="12900"/>
    <cellStyle name="Percent 10 2 4 8" xfId="12901"/>
    <cellStyle name="Percent 10 2 5" xfId="12902"/>
    <cellStyle name="Percent 10 2 5 2" xfId="12903"/>
    <cellStyle name="Percent 10 2 5 2 2" xfId="12904"/>
    <cellStyle name="Percent 10 2 5 3" xfId="12905"/>
    <cellStyle name="Percent 10 2 5 3 2" xfId="12906"/>
    <cellStyle name="Percent 10 2 5 4" xfId="12907"/>
    <cellStyle name="Percent 10 2 5 5" xfId="12908"/>
    <cellStyle name="Percent 10 2 6" xfId="12909"/>
    <cellStyle name="Percent 10 2 6 2" xfId="12910"/>
    <cellStyle name="Percent 10 2 6 2 2" xfId="12911"/>
    <cellStyle name="Percent 10 2 6 3" xfId="12912"/>
    <cellStyle name="Percent 10 2 6 3 2" xfId="12913"/>
    <cellStyle name="Percent 10 2 6 4" xfId="12914"/>
    <cellStyle name="Percent 10 2 6 5" xfId="12915"/>
    <cellStyle name="Percent 10 2 7" xfId="12916"/>
    <cellStyle name="Percent 10 2 7 2" xfId="12917"/>
    <cellStyle name="Percent 10 2 8" xfId="12918"/>
    <cellStyle name="Percent 10 2 8 2" xfId="12919"/>
    <cellStyle name="Percent 10 2 9" xfId="12920"/>
    <cellStyle name="Percent 10 3" xfId="12921"/>
    <cellStyle name="Percent 10 3 2" xfId="12922"/>
    <cellStyle name="Percent 10 3 2 2" xfId="12923"/>
    <cellStyle name="Percent 10 3 2 2 2" xfId="12924"/>
    <cellStyle name="Percent 10 3 2 2 2 2" xfId="12925"/>
    <cellStyle name="Percent 10 3 2 2 3" xfId="12926"/>
    <cellStyle name="Percent 10 3 2 2 3 2" xfId="12927"/>
    <cellStyle name="Percent 10 3 2 2 4" xfId="12928"/>
    <cellStyle name="Percent 10 3 2 2 5" xfId="12929"/>
    <cellStyle name="Percent 10 3 2 3" xfId="12930"/>
    <cellStyle name="Percent 10 3 2 3 2" xfId="12931"/>
    <cellStyle name="Percent 10 3 2 4" xfId="12932"/>
    <cellStyle name="Percent 10 3 2 4 2" xfId="12933"/>
    <cellStyle name="Percent 10 3 2 5" xfId="12934"/>
    <cellStyle name="Percent 10 3 2 5 2" xfId="12935"/>
    <cellStyle name="Percent 10 3 2 6" xfId="12936"/>
    <cellStyle name="Percent 10 3 2 6 2" xfId="12937"/>
    <cellStyle name="Percent 10 3 2 7" xfId="12938"/>
    <cellStyle name="Percent 10 3 2 8" xfId="12939"/>
    <cellStyle name="Percent 10 3 3" xfId="12940"/>
    <cellStyle name="Percent 10 3 3 2" xfId="12941"/>
    <cellStyle name="Percent 10 3 3 2 2" xfId="12942"/>
    <cellStyle name="Percent 10 3 3 3" xfId="12943"/>
    <cellStyle name="Percent 10 3 3 3 2" xfId="12944"/>
    <cellStyle name="Percent 10 3 3 4" xfId="12945"/>
    <cellStyle name="Percent 10 3 3 5" xfId="12946"/>
    <cellStyle name="Percent 10 3 4" xfId="12947"/>
    <cellStyle name="Percent 10 3 4 2" xfId="12948"/>
    <cellStyle name="Percent 10 3 4 2 2" xfId="12949"/>
    <cellStyle name="Percent 10 3 4 3" xfId="12950"/>
    <cellStyle name="Percent 10 3 4 3 2" xfId="12951"/>
    <cellStyle name="Percent 10 3 4 4" xfId="12952"/>
    <cellStyle name="Percent 10 3 4 5" xfId="12953"/>
    <cellStyle name="Percent 10 3 5" xfId="12954"/>
    <cellStyle name="Percent 10 3 5 2" xfId="12955"/>
    <cellStyle name="Percent 10 3 6" xfId="12956"/>
    <cellStyle name="Percent 10 3 6 2" xfId="12957"/>
    <cellStyle name="Percent 10 3 7" xfId="12958"/>
    <cellStyle name="Percent 10 3 8" xfId="12959"/>
    <cellStyle name="Percent 10 3 9" xfId="12960"/>
    <cellStyle name="Percent 10 4" xfId="12961"/>
    <cellStyle name="Percent 10 4 2" xfId="12962"/>
    <cellStyle name="Percent 10 4 2 2" xfId="12963"/>
    <cellStyle name="Percent 10 4 2 2 2" xfId="12964"/>
    <cellStyle name="Percent 10 4 2 2 2 2" xfId="12965"/>
    <cellStyle name="Percent 10 4 2 2 3" xfId="12966"/>
    <cellStyle name="Percent 10 4 2 2 3 2" xfId="12967"/>
    <cellStyle name="Percent 10 4 2 2 4" xfId="12968"/>
    <cellStyle name="Percent 10 4 2 2 5" xfId="12969"/>
    <cellStyle name="Percent 10 4 2 3" xfId="12970"/>
    <cellStyle name="Percent 10 4 2 3 2" xfId="12971"/>
    <cellStyle name="Percent 10 4 2 4" xfId="12972"/>
    <cellStyle name="Percent 10 4 2 4 2" xfId="12973"/>
    <cellStyle name="Percent 10 4 2 5" xfId="12974"/>
    <cellStyle name="Percent 10 4 2 5 2" xfId="12975"/>
    <cellStyle name="Percent 10 4 2 6" xfId="12976"/>
    <cellStyle name="Percent 10 4 2 6 2" xfId="12977"/>
    <cellStyle name="Percent 10 4 2 7" xfId="12978"/>
    <cellStyle name="Percent 10 4 2 8" xfId="12979"/>
    <cellStyle name="Percent 10 4 3" xfId="12980"/>
    <cellStyle name="Percent 10 4 3 2" xfId="12981"/>
    <cellStyle name="Percent 10 4 3 2 2" xfId="12982"/>
    <cellStyle name="Percent 10 4 3 3" xfId="12983"/>
    <cellStyle name="Percent 10 4 3 3 2" xfId="12984"/>
    <cellStyle name="Percent 10 4 3 4" xfId="12985"/>
    <cellStyle name="Percent 10 4 3 5" xfId="12986"/>
    <cellStyle name="Percent 10 4 4" xfId="12987"/>
    <cellStyle name="Percent 10 4 4 2" xfId="12988"/>
    <cellStyle name="Percent 10 4 4 2 2" xfId="12989"/>
    <cellStyle name="Percent 10 4 4 3" xfId="12990"/>
    <cellStyle name="Percent 10 4 4 3 2" xfId="12991"/>
    <cellStyle name="Percent 10 4 4 4" xfId="12992"/>
    <cellStyle name="Percent 10 4 4 5" xfId="12993"/>
    <cellStyle name="Percent 10 4 5" xfId="12994"/>
    <cellStyle name="Percent 10 4 5 2" xfId="12995"/>
    <cellStyle name="Percent 10 4 6" xfId="12996"/>
    <cellStyle name="Percent 10 4 6 2" xfId="12997"/>
    <cellStyle name="Percent 10 4 7" xfId="12998"/>
    <cellStyle name="Percent 10 4 8" xfId="12999"/>
    <cellStyle name="Percent 10 4 9" xfId="13000"/>
    <cellStyle name="Percent 10 5" xfId="13001"/>
    <cellStyle name="Percent 10 5 2" xfId="13002"/>
    <cellStyle name="Percent 10 5 2 2" xfId="13003"/>
    <cellStyle name="Percent 10 5 2 2 2" xfId="13004"/>
    <cellStyle name="Percent 10 5 2 3" xfId="13005"/>
    <cellStyle name="Percent 10 5 2 3 2" xfId="13006"/>
    <cellStyle name="Percent 10 5 2 4" xfId="13007"/>
    <cellStyle name="Percent 10 5 2 5" xfId="13008"/>
    <cellStyle name="Percent 10 5 3" xfId="13009"/>
    <cellStyle name="Percent 10 5 3 2" xfId="13010"/>
    <cellStyle name="Percent 10 5 4" xfId="13011"/>
    <cellStyle name="Percent 10 5 4 2" xfId="13012"/>
    <cellStyle name="Percent 10 5 5" xfId="13013"/>
    <cellStyle name="Percent 10 5 5 2" xfId="13014"/>
    <cellStyle name="Percent 10 5 6" xfId="13015"/>
    <cellStyle name="Percent 10 5 6 2" xfId="13016"/>
    <cellStyle name="Percent 10 5 7" xfId="13017"/>
    <cellStyle name="Percent 10 5 8" xfId="13018"/>
    <cellStyle name="Percent 10 6" xfId="13019"/>
    <cellStyle name="Percent 10 6 2" xfId="13020"/>
    <cellStyle name="Percent 10 6 2 2" xfId="13021"/>
    <cellStyle name="Percent 10 6 3" xfId="13022"/>
    <cellStyle name="Percent 10 6 3 2" xfId="13023"/>
    <cellStyle name="Percent 10 6 4" xfId="13024"/>
    <cellStyle name="Percent 10 6 5" xfId="13025"/>
    <cellStyle name="Percent 10 7" xfId="13026"/>
    <cellStyle name="Percent 10 7 2" xfId="13027"/>
    <cellStyle name="Percent 10 7 2 2" xfId="13028"/>
    <cellStyle name="Percent 10 7 3" xfId="13029"/>
    <cellStyle name="Percent 10 7 3 2" xfId="13030"/>
    <cellStyle name="Percent 10 7 4" xfId="13031"/>
    <cellStyle name="Percent 10 7 5" xfId="13032"/>
    <cellStyle name="Percent 10 8" xfId="13033"/>
    <cellStyle name="Percent 10 8 2" xfId="13034"/>
    <cellStyle name="Percent 10 9" xfId="13035"/>
    <cellStyle name="Percent 10 9 2" xfId="13036"/>
    <cellStyle name="Percent 11" xfId="13037"/>
    <cellStyle name="Percent 11 10" xfId="13038"/>
    <cellStyle name="Percent 11 11" xfId="13039"/>
    <cellStyle name="Percent 11 12" xfId="13040"/>
    <cellStyle name="Percent 11 13" xfId="19281"/>
    <cellStyle name="Percent 11 14" xfId="39756"/>
    <cellStyle name="Percent 11 2" xfId="13041"/>
    <cellStyle name="Percent 11 2 10" xfId="13042"/>
    <cellStyle name="Percent 11 2 11" xfId="13043"/>
    <cellStyle name="Percent 11 2 12" xfId="39757"/>
    <cellStyle name="Percent 11 2 13" xfId="39758"/>
    <cellStyle name="Percent 11 2 2" xfId="13044"/>
    <cellStyle name="Percent 11 2 2 2" xfId="13045"/>
    <cellStyle name="Percent 11 2 2 2 2" xfId="13046"/>
    <cellStyle name="Percent 11 2 2 2 2 2" xfId="13047"/>
    <cellStyle name="Percent 11 2 2 2 2 2 2" xfId="13048"/>
    <cellStyle name="Percent 11 2 2 2 2 3" xfId="13049"/>
    <cellStyle name="Percent 11 2 2 2 2 3 2" xfId="13050"/>
    <cellStyle name="Percent 11 2 2 2 2 4" xfId="13051"/>
    <cellStyle name="Percent 11 2 2 2 2 5" xfId="13052"/>
    <cellStyle name="Percent 11 2 2 2 3" xfId="13053"/>
    <cellStyle name="Percent 11 2 2 2 3 2" xfId="13054"/>
    <cellStyle name="Percent 11 2 2 2 4" xfId="13055"/>
    <cellStyle name="Percent 11 2 2 2 4 2" xfId="13056"/>
    <cellStyle name="Percent 11 2 2 2 5" xfId="13057"/>
    <cellStyle name="Percent 11 2 2 2 5 2" xfId="13058"/>
    <cellStyle name="Percent 11 2 2 2 6" xfId="13059"/>
    <cellStyle name="Percent 11 2 2 2 6 2" xfId="13060"/>
    <cellStyle name="Percent 11 2 2 2 7" xfId="13061"/>
    <cellStyle name="Percent 11 2 2 2 8" xfId="13062"/>
    <cellStyle name="Percent 11 2 2 3" xfId="13063"/>
    <cellStyle name="Percent 11 2 2 3 2" xfId="13064"/>
    <cellStyle name="Percent 11 2 2 3 2 2" xfId="13065"/>
    <cellStyle name="Percent 11 2 2 3 3" xfId="13066"/>
    <cellStyle name="Percent 11 2 2 3 3 2" xfId="13067"/>
    <cellStyle name="Percent 11 2 2 3 4" xfId="13068"/>
    <cellStyle name="Percent 11 2 2 3 5" xfId="13069"/>
    <cellStyle name="Percent 11 2 2 4" xfId="13070"/>
    <cellStyle name="Percent 11 2 2 4 2" xfId="13071"/>
    <cellStyle name="Percent 11 2 2 4 2 2" xfId="13072"/>
    <cellStyle name="Percent 11 2 2 4 3" xfId="13073"/>
    <cellStyle name="Percent 11 2 2 4 3 2" xfId="13074"/>
    <cellStyle name="Percent 11 2 2 4 4" xfId="13075"/>
    <cellStyle name="Percent 11 2 2 4 5" xfId="13076"/>
    <cellStyle name="Percent 11 2 2 5" xfId="13077"/>
    <cellStyle name="Percent 11 2 2 5 2" xfId="13078"/>
    <cellStyle name="Percent 11 2 2 6" xfId="13079"/>
    <cellStyle name="Percent 11 2 2 6 2" xfId="13080"/>
    <cellStyle name="Percent 11 2 2 7" xfId="13081"/>
    <cellStyle name="Percent 11 2 2 8" xfId="13082"/>
    <cellStyle name="Percent 11 2 2 9" xfId="13083"/>
    <cellStyle name="Percent 11 2 3" xfId="13084"/>
    <cellStyle name="Percent 11 2 3 2" xfId="13085"/>
    <cellStyle name="Percent 11 2 3 2 2" xfId="13086"/>
    <cellStyle name="Percent 11 2 3 2 2 2" xfId="13087"/>
    <cellStyle name="Percent 11 2 3 2 2 2 2" xfId="13088"/>
    <cellStyle name="Percent 11 2 3 2 2 3" xfId="13089"/>
    <cellStyle name="Percent 11 2 3 2 2 3 2" xfId="13090"/>
    <cellStyle name="Percent 11 2 3 2 2 4" xfId="13091"/>
    <cellStyle name="Percent 11 2 3 2 2 5" xfId="13092"/>
    <cellStyle name="Percent 11 2 3 2 3" xfId="13093"/>
    <cellStyle name="Percent 11 2 3 2 3 2" xfId="13094"/>
    <cellStyle name="Percent 11 2 3 2 4" xfId="13095"/>
    <cellStyle name="Percent 11 2 3 2 4 2" xfId="13096"/>
    <cellStyle name="Percent 11 2 3 2 5" xfId="13097"/>
    <cellStyle name="Percent 11 2 3 2 5 2" xfId="13098"/>
    <cellStyle name="Percent 11 2 3 2 6" xfId="13099"/>
    <cellStyle name="Percent 11 2 3 2 6 2" xfId="13100"/>
    <cellStyle name="Percent 11 2 3 2 7" xfId="13101"/>
    <cellStyle name="Percent 11 2 3 2 8" xfId="13102"/>
    <cellStyle name="Percent 11 2 3 3" xfId="13103"/>
    <cellStyle name="Percent 11 2 3 3 2" xfId="13104"/>
    <cellStyle name="Percent 11 2 3 3 2 2" xfId="13105"/>
    <cellStyle name="Percent 11 2 3 3 3" xfId="13106"/>
    <cellStyle name="Percent 11 2 3 3 3 2" xfId="13107"/>
    <cellStyle name="Percent 11 2 3 3 4" xfId="13108"/>
    <cellStyle name="Percent 11 2 3 3 5" xfId="13109"/>
    <cellStyle name="Percent 11 2 3 4" xfId="13110"/>
    <cellStyle name="Percent 11 2 3 4 2" xfId="13111"/>
    <cellStyle name="Percent 11 2 3 4 2 2" xfId="13112"/>
    <cellStyle name="Percent 11 2 3 4 3" xfId="13113"/>
    <cellStyle name="Percent 11 2 3 4 3 2" xfId="13114"/>
    <cellStyle name="Percent 11 2 3 4 4" xfId="13115"/>
    <cellStyle name="Percent 11 2 3 4 5" xfId="13116"/>
    <cellStyle name="Percent 11 2 3 5" xfId="13117"/>
    <cellStyle name="Percent 11 2 3 5 2" xfId="13118"/>
    <cellStyle name="Percent 11 2 3 6" xfId="13119"/>
    <cellStyle name="Percent 11 2 3 6 2" xfId="13120"/>
    <cellStyle name="Percent 11 2 3 7" xfId="13121"/>
    <cellStyle name="Percent 11 2 3 8" xfId="13122"/>
    <cellStyle name="Percent 11 2 3 9" xfId="13123"/>
    <cellStyle name="Percent 11 2 4" xfId="13124"/>
    <cellStyle name="Percent 11 2 4 2" xfId="13125"/>
    <cellStyle name="Percent 11 2 4 2 2" xfId="13126"/>
    <cellStyle name="Percent 11 2 4 2 2 2" xfId="13127"/>
    <cellStyle name="Percent 11 2 4 2 3" xfId="13128"/>
    <cellStyle name="Percent 11 2 4 2 3 2" xfId="13129"/>
    <cellStyle name="Percent 11 2 4 2 4" xfId="13130"/>
    <cellStyle name="Percent 11 2 4 2 5" xfId="13131"/>
    <cellStyle name="Percent 11 2 4 3" xfId="13132"/>
    <cellStyle name="Percent 11 2 4 3 2" xfId="13133"/>
    <cellStyle name="Percent 11 2 4 4" xfId="13134"/>
    <cellStyle name="Percent 11 2 4 4 2" xfId="13135"/>
    <cellStyle name="Percent 11 2 4 5" xfId="13136"/>
    <cellStyle name="Percent 11 2 4 5 2" xfId="13137"/>
    <cellStyle name="Percent 11 2 4 6" xfId="13138"/>
    <cellStyle name="Percent 11 2 4 6 2" xfId="13139"/>
    <cellStyle name="Percent 11 2 4 7" xfId="13140"/>
    <cellStyle name="Percent 11 2 4 8" xfId="13141"/>
    <cellStyle name="Percent 11 2 5" xfId="13142"/>
    <cellStyle name="Percent 11 2 5 2" xfId="13143"/>
    <cellStyle name="Percent 11 2 5 2 2" xfId="13144"/>
    <cellStyle name="Percent 11 2 5 3" xfId="13145"/>
    <cellStyle name="Percent 11 2 5 3 2" xfId="13146"/>
    <cellStyle name="Percent 11 2 5 4" xfId="13147"/>
    <cellStyle name="Percent 11 2 5 5" xfId="13148"/>
    <cellStyle name="Percent 11 2 6" xfId="13149"/>
    <cellStyle name="Percent 11 2 6 2" xfId="13150"/>
    <cellStyle name="Percent 11 2 6 2 2" xfId="13151"/>
    <cellStyle name="Percent 11 2 6 3" xfId="13152"/>
    <cellStyle name="Percent 11 2 6 3 2" xfId="13153"/>
    <cellStyle name="Percent 11 2 6 4" xfId="13154"/>
    <cellStyle name="Percent 11 2 6 5" xfId="13155"/>
    <cellStyle name="Percent 11 2 7" xfId="13156"/>
    <cellStyle name="Percent 11 2 7 2" xfId="13157"/>
    <cellStyle name="Percent 11 2 8" xfId="13158"/>
    <cellStyle name="Percent 11 2 8 2" xfId="13159"/>
    <cellStyle name="Percent 11 2 9" xfId="13160"/>
    <cellStyle name="Percent 11 3" xfId="13161"/>
    <cellStyle name="Percent 11 3 2" xfId="13162"/>
    <cellStyle name="Percent 11 3 2 2" xfId="13163"/>
    <cellStyle name="Percent 11 3 2 2 2" xfId="13164"/>
    <cellStyle name="Percent 11 3 2 2 2 2" xfId="13165"/>
    <cellStyle name="Percent 11 3 2 2 3" xfId="13166"/>
    <cellStyle name="Percent 11 3 2 2 3 2" xfId="13167"/>
    <cellStyle name="Percent 11 3 2 2 4" xfId="13168"/>
    <cellStyle name="Percent 11 3 2 2 5" xfId="13169"/>
    <cellStyle name="Percent 11 3 2 3" xfId="13170"/>
    <cellStyle name="Percent 11 3 2 3 2" xfId="13171"/>
    <cellStyle name="Percent 11 3 2 4" xfId="13172"/>
    <cellStyle name="Percent 11 3 2 4 2" xfId="13173"/>
    <cellStyle name="Percent 11 3 2 5" xfId="13174"/>
    <cellStyle name="Percent 11 3 2 5 2" xfId="13175"/>
    <cellStyle name="Percent 11 3 2 6" xfId="13176"/>
    <cellStyle name="Percent 11 3 2 6 2" xfId="13177"/>
    <cellStyle name="Percent 11 3 2 7" xfId="13178"/>
    <cellStyle name="Percent 11 3 2 8" xfId="13179"/>
    <cellStyle name="Percent 11 3 3" xfId="13180"/>
    <cellStyle name="Percent 11 3 3 2" xfId="13181"/>
    <cellStyle name="Percent 11 3 3 2 2" xfId="13182"/>
    <cellStyle name="Percent 11 3 3 3" xfId="13183"/>
    <cellStyle name="Percent 11 3 3 3 2" xfId="13184"/>
    <cellStyle name="Percent 11 3 3 4" xfId="13185"/>
    <cellStyle name="Percent 11 3 3 5" xfId="13186"/>
    <cellStyle name="Percent 11 3 4" xfId="13187"/>
    <cellStyle name="Percent 11 3 4 2" xfId="13188"/>
    <cellStyle name="Percent 11 3 4 2 2" xfId="13189"/>
    <cellStyle name="Percent 11 3 4 3" xfId="13190"/>
    <cellStyle name="Percent 11 3 4 3 2" xfId="13191"/>
    <cellStyle name="Percent 11 3 4 4" xfId="13192"/>
    <cellStyle name="Percent 11 3 4 5" xfId="13193"/>
    <cellStyle name="Percent 11 3 5" xfId="13194"/>
    <cellStyle name="Percent 11 3 5 2" xfId="13195"/>
    <cellStyle name="Percent 11 3 6" xfId="13196"/>
    <cellStyle name="Percent 11 3 6 2" xfId="13197"/>
    <cellStyle name="Percent 11 3 7" xfId="13198"/>
    <cellStyle name="Percent 11 3 8" xfId="13199"/>
    <cellStyle name="Percent 11 3 9" xfId="13200"/>
    <cellStyle name="Percent 11 4" xfId="13201"/>
    <cellStyle name="Percent 11 4 2" xfId="13202"/>
    <cellStyle name="Percent 11 4 2 2" xfId="13203"/>
    <cellStyle name="Percent 11 4 2 2 2" xfId="13204"/>
    <cellStyle name="Percent 11 4 2 2 2 2" xfId="13205"/>
    <cellStyle name="Percent 11 4 2 2 3" xfId="13206"/>
    <cellStyle name="Percent 11 4 2 2 3 2" xfId="13207"/>
    <cellStyle name="Percent 11 4 2 2 4" xfId="13208"/>
    <cellStyle name="Percent 11 4 2 2 5" xfId="13209"/>
    <cellStyle name="Percent 11 4 2 3" xfId="13210"/>
    <cellStyle name="Percent 11 4 2 3 2" xfId="13211"/>
    <cellStyle name="Percent 11 4 2 4" xfId="13212"/>
    <cellStyle name="Percent 11 4 2 4 2" xfId="13213"/>
    <cellStyle name="Percent 11 4 2 5" xfId="13214"/>
    <cellStyle name="Percent 11 4 2 5 2" xfId="13215"/>
    <cellStyle name="Percent 11 4 2 6" xfId="13216"/>
    <cellStyle name="Percent 11 4 2 6 2" xfId="13217"/>
    <cellStyle name="Percent 11 4 2 7" xfId="13218"/>
    <cellStyle name="Percent 11 4 2 8" xfId="13219"/>
    <cellStyle name="Percent 11 4 3" xfId="13220"/>
    <cellStyle name="Percent 11 4 3 2" xfId="13221"/>
    <cellStyle name="Percent 11 4 3 2 2" xfId="13222"/>
    <cellStyle name="Percent 11 4 3 3" xfId="13223"/>
    <cellStyle name="Percent 11 4 3 3 2" xfId="13224"/>
    <cellStyle name="Percent 11 4 3 4" xfId="13225"/>
    <cellStyle name="Percent 11 4 3 5" xfId="13226"/>
    <cellStyle name="Percent 11 4 4" xfId="13227"/>
    <cellStyle name="Percent 11 4 4 2" xfId="13228"/>
    <cellStyle name="Percent 11 4 4 2 2" xfId="13229"/>
    <cellStyle name="Percent 11 4 4 3" xfId="13230"/>
    <cellStyle name="Percent 11 4 4 3 2" xfId="13231"/>
    <cellStyle name="Percent 11 4 4 4" xfId="13232"/>
    <cellStyle name="Percent 11 4 4 5" xfId="13233"/>
    <cellStyle name="Percent 11 4 5" xfId="13234"/>
    <cellStyle name="Percent 11 4 5 2" xfId="13235"/>
    <cellStyle name="Percent 11 4 6" xfId="13236"/>
    <cellStyle name="Percent 11 4 6 2" xfId="13237"/>
    <cellStyle name="Percent 11 4 7" xfId="13238"/>
    <cellStyle name="Percent 11 4 8" xfId="13239"/>
    <cellStyle name="Percent 11 4 9" xfId="13240"/>
    <cellStyle name="Percent 11 5" xfId="13241"/>
    <cellStyle name="Percent 11 5 2" xfId="13242"/>
    <cellStyle name="Percent 11 5 2 2" xfId="13243"/>
    <cellStyle name="Percent 11 5 2 2 2" xfId="13244"/>
    <cellStyle name="Percent 11 5 2 3" xfId="13245"/>
    <cellStyle name="Percent 11 5 2 3 2" xfId="13246"/>
    <cellStyle name="Percent 11 5 2 4" xfId="13247"/>
    <cellStyle name="Percent 11 5 2 5" xfId="13248"/>
    <cellStyle name="Percent 11 5 3" xfId="13249"/>
    <cellStyle name="Percent 11 5 3 2" xfId="13250"/>
    <cellStyle name="Percent 11 5 4" xfId="13251"/>
    <cellStyle name="Percent 11 5 4 2" xfId="13252"/>
    <cellStyle name="Percent 11 5 5" xfId="13253"/>
    <cellStyle name="Percent 11 5 5 2" xfId="13254"/>
    <cellStyle name="Percent 11 5 6" xfId="13255"/>
    <cellStyle name="Percent 11 5 6 2" xfId="13256"/>
    <cellStyle name="Percent 11 5 7" xfId="13257"/>
    <cellStyle name="Percent 11 5 8" xfId="13258"/>
    <cellStyle name="Percent 11 6" xfId="13259"/>
    <cellStyle name="Percent 11 6 2" xfId="13260"/>
    <cellStyle name="Percent 11 6 2 2" xfId="13261"/>
    <cellStyle name="Percent 11 6 3" xfId="13262"/>
    <cellStyle name="Percent 11 6 3 2" xfId="13263"/>
    <cellStyle name="Percent 11 6 4" xfId="13264"/>
    <cellStyle name="Percent 11 6 5" xfId="13265"/>
    <cellStyle name="Percent 11 7" xfId="13266"/>
    <cellStyle name="Percent 11 7 2" xfId="13267"/>
    <cellStyle name="Percent 11 7 2 2" xfId="13268"/>
    <cellStyle name="Percent 11 7 3" xfId="13269"/>
    <cellStyle name="Percent 11 7 3 2" xfId="13270"/>
    <cellStyle name="Percent 11 7 4" xfId="13271"/>
    <cellStyle name="Percent 11 7 5" xfId="13272"/>
    <cellStyle name="Percent 11 8" xfId="13273"/>
    <cellStyle name="Percent 11 8 2" xfId="13274"/>
    <cellStyle name="Percent 11 9" xfId="13275"/>
    <cellStyle name="Percent 11 9 2" xfId="13276"/>
    <cellStyle name="Percent 12" xfId="13277"/>
    <cellStyle name="Percent 12 10" xfId="13278"/>
    <cellStyle name="Percent 12 11" xfId="13279"/>
    <cellStyle name="Percent 12 12" xfId="13280"/>
    <cellStyle name="Percent 12 13" xfId="19282"/>
    <cellStyle name="Percent 12 14" xfId="39759"/>
    <cellStyle name="Percent 12 2" xfId="13281"/>
    <cellStyle name="Percent 12 2 10" xfId="13282"/>
    <cellStyle name="Percent 12 2 11" xfId="13283"/>
    <cellStyle name="Percent 12 2 12" xfId="39760"/>
    <cellStyle name="Percent 12 2 13" xfId="39761"/>
    <cellStyle name="Percent 12 2 2" xfId="13284"/>
    <cellStyle name="Percent 12 2 2 2" xfId="13285"/>
    <cellStyle name="Percent 12 2 2 2 2" xfId="13286"/>
    <cellStyle name="Percent 12 2 2 2 2 2" xfId="13287"/>
    <cellStyle name="Percent 12 2 2 2 2 2 2" xfId="13288"/>
    <cellStyle name="Percent 12 2 2 2 2 3" xfId="13289"/>
    <cellStyle name="Percent 12 2 2 2 2 3 2" xfId="13290"/>
    <cellStyle name="Percent 12 2 2 2 2 4" xfId="13291"/>
    <cellStyle name="Percent 12 2 2 2 2 5" xfId="13292"/>
    <cellStyle name="Percent 12 2 2 2 3" xfId="13293"/>
    <cellStyle name="Percent 12 2 2 2 3 2" xfId="13294"/>
    <cellStyle name="Percent 12 2 2 2 4" xfId="13295"/>
    <cellStyle name="Percent 12 2 2 2 4 2" xfId="13296"/>
    <cellStyle name="Percent 12 2 2 2 5" xfId="13297"/>
    <cellStyle name="Percent 12 2 2 2 5 2" xfId="13298"/>
    <cellStyle name="Percent 12 2 2 2 6" xfId="13299"/>
    <cellStyle name="Percent 12 2 2 2 6 2" xfId="13300"/>
    <cellStyle name="Percent 12 2 2 2 7" xfId="13301"/>
    <cellStyle name="Percent 12 2 2 2 8" xfId="13302"/>
    <cellStyle name="Percent 12 2 2 3" xfId="13303"/>
    <cellStyle name="Percent 12 2 2 3 2" xfId="13304"/>
    <cellStyle name="Percent 12 2 2 3 2 2" xfId="13305"/>
    <cellStyle name="Percent 12 2 2 3 3" xfId="13306"/>
    <cellStyle name="Percent 12 2 2 3 3 2" xfId="13307"/>
    <cellStyle name="Percent 12 2 2 3 4" xfId="13308"/>
    <cellStyle name="Percent 12 2 2 3 5" xfId="13309"/>
    <cellStyle name="Percent 12 2 2 4" xfId="13310"/>
    <cellStyle name="Percent 12 2 2 4 2" xfId="13311"/>
    <cellStyle name="Percent 12 2 2 4 2 2" xfId="13312"/>
    <cellStyle name="Percent 12 2 2 4 3" xfId="13313"/>
    <cellStyle name="Percent 12 2 2 4 3 2" xfId="13314"/>
    <cellStyle name="Percent 12 2 2 4 4" xfId="13315"/>
    <cellStyle name="Percent 12 2 2 4 5" xfId="13316"/>
    <cellStyle name="Percent 12 2 2 5" xfId="13317"/>
    <cellStyle name="Percent 12 2 2 5 2" xfId="13318"/>
    <cellStyle name="Percent 12 2 2 6" xfId="13319"/>
    <cellStyle name="Percent 12 2 2 6 2" xfId="13320"/>
    <cellStyle name="Percent 12 2 2 7" xfId="13321"/>
    <cellStyle name="Percent 12 2 2 8" xfId="13322"/>
    <cellStyle name="Percent 12 2 2 9" xfId="13323"/>
    <cellStyle name="Percent 12 2 3" xfId="13324"/>
    <cellStyle name="Percent 12 2 3 2" xfId="13325"/>
    <cellStyle name="Percent 12 2 3 2 2" xfId="13326"/>
    <cellStyle name="Percent 12 2 3 2 2 2" xfId="13327"/>
    <cellStyle name="Percent 12 2 3 2 2 2 2" xfId="13328"/>
    <cellStyle name="Percent 12 2 3 2 2 3" xfId="13329"/>
    <cellStyle name="Percent 12 2 3 2 2 3 2" xfId="13330"/>
    <cellStyle name="Percent 12 2 3 2 2 4" xfId="13331"/>
    <cellStyle name="Percent 12 2 3 2 2 5" xfId="13332"/>
    <cellStyle name="Percent 12 2 3 2 3" xfId="13333"/>
    <cellStyle name="Percent 12 2 3 2 3 2" xfId="13334"/>
    <cellStyle name="Percent 12 2 3 2 4" xfId="13335"/>
    <cellStyle name="Percent 12 2 3 2 4 2" xfId="13336"/>
    <cellStyle name="Percent 12 2 3 2 5" xfId="13337"/>
    <cellStyle name="Percent 12 2 3 2 5 2" xfId="13338"/>
    <cellStyle name="Percent 12 2 3 2 6" xfId="13339"/>
    <cellStyle name="Percent 12 2 3 2 6 2" xfId="13340"/>
    <cellStyle name="Percent 12 2 3 2 7" xfId="13341"/>
    <cellStyle name="Percent 12 2 3 2 8" xfId="13342"/>
    <cellStyle name="Percent 12 2 3 3" xfId="13343"/>
    <cellStyle name="Percent 12 2 3 3 2" xfId="13344"/>
    <cellStyle name="Percent 12 2 3 3 2 2" xfId="13345"/>
    <cellStyle name="Percent 12 2 3 3 3" xfId="13346"/>
    <cellStyle name="Percent 12 2 3 3 3 2" xfId="13347"/>
    <cellStyle name="Percent 12 2 3 3 4" xfId="13348"/>
    <cellStyle name="Percent 12 2 3 3 5" xfId="13349"/>
    <cellStyle name="Percent 12 2 3 4" xfId="13350"/>
    <cellStyle name="Percent 12 2 3 4 2" xfId="13351"/>
    <cellStyle name="Percent 12 2 3 4 2 2" xfId="13352"/>
    <cellStyle name="Percent 12 2 3 4 3" xfId="13353"/>
    <cellStyle name="Percent 12 2 3 4 3 2" xfId="13354"/>
    <cellStyle name="Percent 12 2 3 4 4" xfId="13355"/>
    <cellStyle name="Percent 12 2 3 4 5" xfId="13356"/>
    <cellStyle name="Percent 12 2 3 5" xfId="13357"/>
    <cellStyle name="Percent 12 2 3 5 2" xfId="13358"/>
    <cellStyle name="Percent 12 2 3 6" xfId="13359"/>
    <cellStyle name="Percent 12 2 3 6 2" xfId="13360"/>
    <cellStyle name="Percent 12 2 3 7" xfId="13361"/>
    <cellStyle name="Percent 12 2 3 8" xfId="13362"/>
    <cellStyle name="Percent 12 2 3 9" xfId="13363"/>
    <cellStyle name="Percent 12 2 4" xfId="13364"/>
    <cellStyle name="Percent 12 2 4 2" xfId="13365"/>
    <cellStyle name="Percent 12 2 4 2 2" xfId="13366"/>
    <cellStyle name="Percent 12 2 4 2 2 2" xfId="13367"/>
    <cellStyle name="Percent 12 2 4 2 3" xfId="13368"/>
    <cellStyle name="Percent 12 2 4 2 3 2" xfId="13369"/>
    <cellStyle name="Percent 12 2 4 2 4" xfId="13370"/>
    <cellStyle name="Percent 12 2 4 2 5" xfId="13371"/>
    <cellStyle name="Percent 12 2 4 3" xfId="13372"/>
    <cellStyle name="Percent 12 2 4 3 2" xfId="13373"/>
    <cellStyle name="Percent 12 2 4 4" xfId="13374"/>
    <cellStyle name="Percent 12 2 4 4 2" xfId="13375"/>
    <cellStyle name="Percent 12 2 4 5" xfId="13376"/>
    <cellStyle name="Percent 12 2 4 5 2" xfId="13377"/>
    <cellStyle name="Percent 12 2 4 6" xfId="13378"/>
    <cellStyle name="Percent 12 2 4 6 2" xfId="13379"/>
    <cellStyle name="Percent 12 2 4 7" xfId="13380"/>
    <cellStyle name="Percent 12 2 4 8" xfId="13381"/>
    <cellStyle name="Percent 12 2 5" xfId="13382"/>
    <cellStyle name="Percent 12 2 5 2" xfId="13383"/>
    <cellStyle name="Percent 12 2 5 2 2" xfId="13384"/>
    <cellStyle name="Percent 12 2 5 3" xfId="13385"/>
    <cellStyle name="Percent 12 2 5 3 2" xfId="13386"/>
    <cellStyle name="Percent 12 2 5 4" xfId="13387"/>
    <cellStyle name="Percent 12 2 5 5" xfId="13388"/>
    <cellStyle name="Percent 12 2 6" xfId="13389"/>
    <cellStyle name="Percent 12 2 6 2" xfId="13390"/>
    <cellStyle name="Percent 12 2 6 2 2" xfId="13391"/>
    <cellStyle name="Percent 12 2 6 3" xfId="13392"/>
    <cellStyle name="Percent 12 2 6 3 2" xfId="13393"/>
    <cellStyle name="Percent 12 2 6 4" xfId="13394"/>
    <cellStyle name="Percent 12 2 6 5" xfId="13395"/>
    <cellStyle name="Percent 12 2 7" xfId="13396"/>
    <cellStyle name="Percent 12 2 7 2" xfId="13397"/>
    <cellStyle name="Percent 12 2 8" xfId="13398"/>
    <cellStyle name="Percent 12 2 8 2" xfId="13399"/>
    <cellStyle name="Percent 12 2 9" xfId="13400"/>
    <cellStyle name="Percent 12 3" xfId="13401"/>
    <cellStyle name="Percent 12 3 2" xfId="13402"/>
    <cellStyle name="Percent 12 3 2 2" xfId="13403"/>
    <cellStyle name="Percent 12 3 2 2 2" xfId="13404"/>
    <cellStyle name="Percent 12 3 2 2 2 2" xfId="13405"/>
    <cellStyle name="Percent 12 3 2 2 3" xfId="13406"/>
    <cellStyle name="Percent 12 3 2 2 3 2" xfId="13407"/>
    <cellStyle name="Percent 12 3 2 2 4" xfId="13408"/>
    <cellStyle name="Percent 12 3 2 2 5" xfId="13409"/>
    <cellStyle name="Percent 12 3 2 3" xfId="13410"/>
    <cellStyle name="Percent 12 3 2 3 2" xfId="13411"/>
    <cellStyle name="Percent 12 3 2 4" xfId="13412"/>
    <cellStyle name="Percent 12 3 2 4 2" xfId="13413"/>
    <cellStyle name="Percent 12 3 2 5" xfId="13414"/>
    <cellStyle name="Percent 12 3 2 5 2" xfId="13415"/>
    <cellStyle name="Percent 12 3 2 6" xfId="13416"/>
    <cellStyle name="Percent 12 3 2 6 2" xfId="13417"/>
    <cellStyle name="Percent 12 3 2 7" xfId="13418"/>
    <cellStyle name="Percent 12 3 2 8" xfId="13419"/>
    <cellStyle name="Percent 12 3 3" xfId="13420"/>
    <cellStyle name="Percent 12 3 3 2" xfId="13421"/>
    <cellStyle name="Percent 12 3 3 2 2" xfId="13422"/>
    <cellStyle name="Percent 12 3 3 3" xfId="13423"/>
    <cellStyle name="Percent 12 3 3 3 2" xfId="13424"/>
    <cellStyle name="Percent 12 3 3 4" xfId="13425"/>
    <cellStyle name="Percent 12 3 3 5" xfId="13426"/>
    <cellStyle name="Percent 12 3 4" xfId="13427"/>
    <cellStyle name="Percent 12 3 4 2" xfId="13428"/>
    <cellStyle name="Percent 12 3 4 2 2" xfId="13429"/>
    <cellStyle name="Percent 12 3 4 3" xfId="13430"/>
    <cellStyle name="Percent 12 3 4 3 2" xfId="13431"/>
    <cellStyle name="Percent 12 3 4 4" xfId="13432"/>
    <cellStyle name="Percent 12 3 4 5" xfId="13433"/>
    <cellStyle name="Percent 12 3 5" xfId="13434"/>
    <cellStyle name="Percent 12 3 5 2" xfId="13435"/>
    <cellStyle name="Percent 12 3 6" xfId="13436"/>
    <cellStyle name="Percent 12 3 6 2" xfId="13437"/>
    <cellStyle name="Percent 12 3 7" xfId="13438"/>
    <cellStyle name="Percent 12 3 8" xfId="13439"/>
    <cellStyle name="Percent 12 3 9" xfId="13440"/>
    <cellStyle name="Percent 12 4" xfId="13441"/>
    <cellStyle name="Percent 12 4 2" xfId="13442"/>
    <cellStyle name="Percent 12 4 2 2" xfId="13443"/>
    <cellStyle name="Percent 12 4 2 2 2" xfId="13444"/>
    <cellStyle name="Percent 12 4 2 2 2 2" xfId="13445"/>
    <cellStyle name="Percent 12 4 2 2 3" xfId="13446"/>
    <cellStyle name="Percent 12 4 2 2 3 2" xfId="13447"/>
    <cellStyle name="Percent 12 4 2 2 4" xfId="13448"/>
    <cellStyle name="Percent 12 4 2 2 5" xfId="13449"/>
    <cellStyle name="Percent 12 4 2 3" xfId="13450"/>
    <cellStyle name="Percent 12 4 2 3 2" xfId="13451"/>
    <cellStyle name="Percent 12 4 2 4" xfId="13452"/>
    <cellStyle name="Percent 12 4 2 4 2" xfId="13453"/>
    <cellStyle name="Percent 12 4 2 5" xfId="13454"/>
    <cellStyle name="Percent 12 4 2 5 2" xfId="13455"/>
    <cellStyle name="Percent 12 4 2 6" xfId="13456"/>
    <cellStyle name="Percent 12 4 2 6 2" xfId="13457"/>
    <cellStyle name="Percent 12 4 2 7" xfId="13458"/>
    <cellStyle name="Percent 12 4 2 8" xfId="13459"/>
    <cellStyle name="Percent 12 4 3" xfId="13460"/>
    <cellStyle name="Percent 12 4 3 2" xfId="13461"/>
    <cellStyle name="Percent 12 4 3 2 2" xfId="13462"/>
    <cellStyle name="Percent 12 4 3 3" xfId="13463"/>
    <cellStyle name="Percent 12 4 3 3 2" xfId="13464"/>
    <cellStyle name="Percent 12 4 3 4" xfId="13465"/>
    <cellStyle name="Percent 12 4 3 5" xfId="13466"/>
    <cellStyle name="Percent 12 4 4" xfId="13467"/>
    <cellStyle name="Percent 12 4 4 2" xfId="13468"/>
    <cellStyle name="Percent 12 4 4 2 2" xfId="13469"/>
    <cellStyle name="Percent 12 4 4 3" xfId="13470"/>
    <cellStyle name="Percent 12 4 4 3 2" xfId="13471"/>
    <cellStyle name="Percent 12 4 4 4" xfId="13472"/>
    <cellStyle name="Percent 12 4 4 5" xfId="13473"/>
    <cellStyle name="Percent 12 4 5" xfId="13474"/>
    <cellStyle name="Percent 12 4 5 2" xfId="13475"/>
    <cellStyle name="Percent 12 4 6" xfId="13476"/>
    <cellStyle name="Percent 12 4 6 2" xfId="13477"/>
    <cellStyle name="Percent 12 4 7" xfId="13478"/>
    <cellStyle name="Percent 12 4 8" xfId="13479"/>
    <cellStyle name="Percent 12 4 9" xfId="13480"/>
    <cellStyle name="Percent 12 5" xfId="13481"/>
    <cellStyle name="Percent 12 5 2" xfId="13482"/>
    <cellStyle name="Percent 12 5 2 2" xfId="13483"/>
    <cellStyle name="Percent 12 5 2 2 2" xfId="13484"/>
    <cellStyle name="Percent 12 5 2 3" xfId="13485"/>
    <cellStyle name="Percent 12 5 2 3 2" xfId="13486"/>
    <cellStyle name="Percent 12 5 2 4" xfId="13487"/>
    <cellStyle name="Percent 12 5 2 5" xfId="13488"/>
    <cellStyle name="Percent 12 5 3" xfId="13489"/>
    <cellStyle name="Percent 12 5 3 2" xfId="13490"/>
    <cellStyle name="Percent 12 5 4" xfId="13491"/>
    <cellStyle name="Percent 12 5 4 2" xfId="13492"/>
    <cellStyle name="Percent 12 5 5" xfId="13493"/>
    <cellStyle name="Percent 12 5 5 2" xfId="13494"/>
    <cellStyle name="Percent 12 5 6" xfId="13495"/>
    <cellStyle name="Percent 12 5 6 2" xfId="13496"/>
    <cellStyle name="Percent 12 5 7" xfId="13497"/>
    <cellStyle name="Percent 12 5 8" xfId="13498"/>
    <cellStyle name="Percent 12 6" xfId="13499"/>
    <cellStyle name="Percent 12 6 2" xfId="13500"/>
    <cellStyle name="Percent 12 6 2 2" xfId="13501"/>
    <cellStyle name="Percent 12 6 3" xfId="13502"/>
    <cellStyle name="Percent 12 6 3 2" xfId="13503"/>
    <cellStyle name="Percent 12 6 4" xfId="13504"/>
    <cellStyle name="Percent 12 6 5" xfId="13505"/>
    <cellStyle name="Percent 12 7" xfId="13506"/>
    <cellStyle name="Percent 12 7 2" xfId="13507"/>
    <cellStyle name="Percent 12 7 2 2" xfId="13508"/>
    <cellStyle name="Percent 12 7 3" xfId="13509"/>
    <cellStyle name="Percent 12 7 3 2" xfId="13510"/>
    <cellStyle name="Percent 12 7 4" xfId="13511"/>
    <cellStyle name="Percent 12 7 5" xfId="13512"/>
    <cellStyle name="Percent 12 8" xfId="13513"/>
    <cellStyle name="Percent 12 8 2" xfId="13514"/>
    <cellStyle name="Percent 12 9" xfId="13515"/>
    <cellStyle name="Percent 12 9 2" xfId="13516"/>
    <cellStyle name="Percent 13" xfId="13517"/>
    <cellStyle name="Percent 13 10" xfId="13518"/>
    <cellStyle name="Percent 13 11" xfId="13519"/>
    <cellStyle name="Percent 13 12" xfId="13520"/>
    <cellStyle name="Percent 13 13" xfId="19283"/>
    <cellStyle name="Percent 13 14" xfId="39762"/>
    <cellStyle name="Percent 13 2" xfId="13521"/>
    <cellStyle name="Percent 13 2 10" xfId="13522"/>
    <cellStyle name="Percent 13 2 11" xfId="13523"/>
    <cellStyle name="Percent 13 2 12" xfId="19284"/>
    <cellStyle name="Percent 13 2 13" xfId="39763"/>
    <cellStyle name="Percent 13 2 2" xfId="13524"/>
    <cellStyle name="Percent 13 2 2 2" xfId="13525"/>
    <cellStyle name="Percent 13 2 2 2 2" xfId="13526"/>
    <cellStyle name="Percent 13 2 2 2 2 2" xfId="13527"/>
    <cellStyle name="Percent 13 2 2 2 2 2 2" xfId="13528"/>
    <cellStyle name="Percent 13 2 2 2 2 3" xfId="13529"/>
    <cellStyle name="Percent 13 2 2 2 2 3 2" xfId="13530"/>
    <cellStyle name="Percent 13 2 2 2 2 4" xfId="13531"/>
    <cellStyle name="Percent 13 2 2 2 2 5" xfId="13532"/>
    <cellStyle name="Percent 13 2 2 2 3" xfId="13533"/>
    <cellStyle name="Percent 13 2 2 2 3 2" xfId="13534"/>
    <cellStyle name="Percent 13 2 2 2 4" xfId="13535"/>
    <cellStyle name="Percent 13 2 2 2 4 2" xfId="13536"/>
    <cellStyle name="Percent 13 2 2 2 5" xfId="13537"/>
    <cellStyle name="Percent 13 2 2 2 5 2" xfId="13538"/>
    <cellStyle name="Percent 13 2 2 2 6" xfId="13539"/>
    <cellStyle name="Percent 13 2 2 2 6 2" xfId="13540"/>
    <cellStyle name="Percent 13 2 2 2 7" xfId="13541"/>
    <cellStyle name="Percent 13 2 2 2 8" xfId="13542"/>
    <cellStyle name="Percent 13 2 2 3" xfId="13543"/>
    <cellStyle name="Percent 13 2 2 3 2" xfId="13544"/>
    <cellStyle name="Percent 13 2 2 3 2 2" xfId="13545"/>
    <cellStyle name="Percent 13 2 2 3 3" xfId="13546"/>
    <cellStyle name="Percent 13 2 2 3 3 2" xfId="13547"/>
    <cellStyle name="Percent 13 2 2 3 4" xfId="13548"/>
    <cellStyle name="Percent 13 2 2 3 5" xfId="13549"/>
    <cellStyle name="Percent 13 2 2 4" xfId="13550"/>
    <cellStyle name="Percent 13 2 2 4 2" xfId="13551"/>
    <cellStyle name="Percent 13 2 2 4 2 2" xfId="13552"/>
    <cellStyle name="Percent 13 2 2 4 3" xfId="13553"/>
    <cellStyle name="Percent 13 2 2 4 3 2" xfId="13554"/>
    <cellStyle name="Percent 13 2 2 4 4" xfId="13555"/>
    <cellStyle name="Percent 13 2 2 4 5" xfId="13556"/>
    <cellStyle name="Percent 13 2 2 5" xfId="13557"/>
    <cellStyle name="Percent 13 2 2 5 2" xfId="13558"/>
    <cellStyle name="Percent 13 2 2 6" xfId="13559"/>
    <cellStyle name="Percent 13 2 2 6 2" xfId="13560"/>
    <cellStyle name="Percent 13 2 2 7" xfId="13561"/>
    <cellStyle name="Percent 13 2 2 8" xfId="13562"/>
    <cellStyle name="Percent 13 2 2 9" xfId="13563"/>
    <cellStyle name="Percent 13 2 3" xfId="13564"/>
    <cellStyle name="Percent 13 2 3 2" xfId="13565"/>
    <cellStyle name="Percent 13 2 3 2 2" xfId="13566"/>
    <cellStyle name="Percent 13 2 3 2 2 2" xfId="13567"/>
    <cellStyle name="Percent 13 2 3 2 2 2 2" xfId="13568"/>
    <cellStyle name="Percent 13 2 3 2 2 3" xfId="13569"/>
    <cellStyle name="Percent 13 2 3 2 2 3 2" xfId="13570"/>
    <cellStyle name="Percent 13 2 3 2 2 4" xfId="13571"/>
    <cellStyle name="Percent 13 2 3 2 2 5" xfId="13572"/>
    <cellStyle name="Percent 13 2 3 2 3" xfId="13573"/>
    <cellStyle name="Percent 13 2 3 2 3 2" xfId="13574"/>
    <cellStyle name="Percent 13 2 3 2 4" xfId="13575"/>
    <cellStyle name="Percent 13 2 3 2 4 2" xfId="13576"/>
    <cellStyle name="Percent 13 2 3 2 5" xfId="13577"/>
    <cellStyle name="Percent 13 2 3 2 5 2" xfId="13578"/>
    <cellStyle name="Percent 13 2 3 2 6" xfId="13579"/>
    <cellStyle name="Percent 13 2 3 2 6 2" xfId="13580"/>
    <cellStyle name="Percent 13 2 3 2 7" xfId="13581"/>
    <cellStyle name="Percent 13 2 3 2 8" xfId="13582"/>
    <cellStyle name="Percent 13 2 3 3" xfId="13583"/>
    <cellStyle name="Percent 13 2 3 3 2" xfId="13584"/>
    <cellStyle name="Percent 13 2 3 3 2 2" xfId="13585"/>
    <cellStyle name="Percent 13 2 3 3 3" xfId="13586"/>
    <cellStyle name="Percent 13 2 3 3 3 2" xfId="13587"/>
    <cellStyle name="Percent 13 2 3 3 4" xfId="13588"/>
    <cellStyle name="Percent 13 2 3 3 5" xfId="13589"/>
    <cellStyle name="Percent 13 2 3 4" xfId="13590"/>
    <cellStyle name="Percent 13 2 3 4 2" xfId="13591"/>
    <cellStyle name="Percent 13 2 3 4 2 2" xfId="13592"/>
    <cellStyle name="Percent 13 2 3 4 3" xfId="13593"/>
    <cellStyle name="Percent 13 2 3 4 3 2" xfId="13594"/>
    <cellStyle name="Percent 13 2 3 4 4" xfId="13595"/>
    <cellStyle name="Percent 13 2 3 4 5" xfId="13596"/>
    <cellStyle name="Percent 13 2 3 5" xfId="13597"/>
    <cellStyle name="Percent 13 2 3 5 2" xfId="13598"/>
    <cellStyle name="Percent 13 2 3 6" xfId="13599"/>
    <cellStyle name="Percent 13 2 3 6 2" xfId="13600"/>
    <cellStyle name="Percent 13 2 3 7" xfId="13601"/>
    <cellStyle name="Percent 13 2 3 8" xfId="13602"/>
    <cellStyle name="Percent 13 2 3 9" xfId="13603"/>
    <cellStyle name="Percent 13 2 4" xfId="13604"/>
    <cellStyle name="Percent 13 2 4 2" xfId="13605"/>
    <cellStyle name="Percent 13 2 4 2 2" xfId="13606"/>
    <cellStyle name="Percent 13 2 4 2 2 2" xfId="13607"/>
    <cellStyle name="Percent 13 2 4 2 3" xfId="13608"/>
    <cellStyle name="Percent 13 2 4 2 3 2" xfId="13609"/>
    <cellStyle name="Percent 13 2 4 2 4" xfId="13610"/>
    <cellStyle name="Percent 13 2 4 2 5" xfId="13611"/>
    <cellStyle name="Percent 13 2 4 3" xfId="13612"/>
    <cellStyle name="Percent 13 2 4 3 2" xfId="13613"/>
    <cellStyle name="Percent 13 2 4 4" xfId="13614"/>
    <cellStyle name="Percent 13 2 4 4 2" xfId="13615"/>
    <cellStyle name="Percent 13 2 4 5" xfId="13616"/>
    <cellStyle name="Percent 13 2 4 5 2" xfId="13617"/>
    <cellStyle name="Percent 13 2 4 6" xfId="13618"/>
    <cellStyle name="Percent 13 2 4 6 2" xfId="13619"/>
    <cellStyle name="Percent 13 2 4 7" xfId="13620"/>
    <cellStyle name="Percent 13 2 4 8" xfId="13621"/>
    <cellStyle name="Percent 13 2 5" xfId="13622"/>
    <cellStyle name="Percent 13 2 5 2" xfId="13623"/>
    <cellStyle name="Percent 13 2 5 2 2" xfId="13624"/>
    <cellStyle name="Percent 13 2 5 3" xfId="13625"/>
    <cellStyle name="Percent 13 2 5 3 2" xfId="13626"/>
    <cellStyle name="Percent 13 2 5 4" xfId="13627"/>
    <cellStyle name="Percent 13 2 5 5" xfId="13628"/>
    <cellStyle name="Percent 13 2 6" xfId="13629"/>
    <cellStyle name="Percent 13 2 6 2" xfId="13630"/>
    <cellStyle name="Percent 13 2 6 2 2" xfId="13631"/>
    <cellStyle name="Percent 13 2 6 3" xfId="13632"/>
    <cellStyle name="Percent 13 2 6 3 2" xfId="13633"/>
    <cellStyle name="Percent 13 2 6 4" xfId="13634"/>
    <cellStyle name="Percent 13 2 6 5" xfId="13635"/>
    <cellStyle name="Percent 13 2 7" xfId="13636"/>
    <cellStyle name="Percent 13 2 7 2" xfId="13637"/>
    <cellStyle name="Percent 13 2 8" xfId="13638"/>
    <cellStyle name="Percent 13 2 8 2" xfId="13639"/>
    <cellStyle name="Percent 13 2 9" xfId="13640"/>
    <cellStyle name="Percent 13 3" xfId="13641"/>
    <cellStyle name="Percent 13 3 10" xfId="19285"/>
    <cellStyle name="Percent 13 3 2" xfId="13642"/>
    <cellStyle name="Percent 13 3 2 2" xfId="13643"/>
    <cellStyle name="Percent 13 3 2 2 2" xfId="13644"/>
    <cellStyle name="Percent 13 3 2 2 2 2" xfId="13645"/>
    <cellStyle name="Percent 13 3 2 2 3" xfId="13646"/>
    <cellStyle name="Percent 13 3 2 2 3 2" xfId="13647"/>
    <cellStyle name="Percent 13 3 2 2 4" xfId="13648"/>
    <cellStyle name="Percent 13 3 2 2 5" xfId="13649"/>
    <cellStyle name="Percent 13 3 2 3" xfId="13650"/>
    <cellStyle name="Percent 13 3 2 3 2" xfId="13651"/>
    <cellStyle name="Percent 13 3 2 4" xfId="13652"/>
    <cellStyle name="Percent 13 3 2 4 2" xfId="13653"/>
    <cellStyle name="Percent 13 3 2 5" xfId="13654"/>
    <cellStyle name="Percent 13 3 2 5 2" xfId="13655"/>
    <cellStyle name="Percent 13 3 2 6" xfId="13656"/>
    <cellStyle name="Percent 13 3 2 6 2" xfId="13657"/>
    <cellStyle name="Percent 13 3 2 7" xfId="13658"/>
    <cellStyle name="Percent 13 3 2 8" xfId="13659"/>
    <cellStyle name="Percent 13 3 3" xfId="13660"/>
    <cellStyle name="Percent 13 3 3 2" xfId="13661"/>
    <cellStyle name="Percent 13 3 3 2 2" xfId="13662"/>
    <cellStyle name="Percent 13 3 3 3" xfId="13663"/>
    <cellStyle name="Percent 13 3 3 3 2" xfId="13664"/>
    <cellStyle name="Percent 13 3 3 4" xfId="13665"/>
    <cellStyle name="Percent 13 3 3 5" xfId="13666"/>
    <cellStyle name="Percent 13 3 4" xfId="13667"/>
    <cellStyle name="Percent 13 3 4 2" xfId="13668"/>
    <cellStyle name="Percent 13 3 4 2 2" xfId="13669"/>
    <cellStyle name="Percent 13 3 4 3" xfId="13670"/>
    <cellStyle name="Percent 13 3 4 3 2" xfId="13671"/>
    <cellStyle name="Percent 13 3 4 4" xfId="13672"/>
    <cellStyle name="Percent 13 3 4 5" xfId="13673"/>
    <cellStyle name="Percent 13 3 5" xfId="13674"/>
    <cellStyle name="Percent 13 3 5 2" xfId="13675"/>
    <cellStyle name="Percent 13 3 6" xfId="13676"/>
    <cellStyle name="Percent 13 3 6 2" xfId="13677"/>
    <cellStyle name="Percent 13 3 7" xfId="13678"/>
    <cellStyle name="Percent 13 3 8" xfId="13679"/>
    <cellStyle name="Percent 13 3 9" xfId="13680"/>
    <cellStyle name="Percent 13 4" xfId="13681"/>
    <cellStyle name="Percent 13 4 2" xfId="13682"/>
    <cellStyle name="Percent 13 4 2 2" xfId="13683"/>
    <cellStyle name="Percent 13 4 2 2 2" xfId="13684"/>
    <cellStyle name="Percent 13 4 2 2 2 2" xfId="13685"/>
    <cellStyle name="Percent 13 4 2 2 3" xfId="13686"/>
    <cellStyle name="Percent 13 4 2 2 3 2" xfId="13687"/>
    <cellStyle name="Percent 13 4 2 2 4" xfId="13688"/>
    <cellStyle name="Percent 13 4 2 2 5" xfId="13689"/>
    <cellStyle name="Percent 13 4 2 3" xfId="13690"/>
    <cellStyle name="Percent 13 4 2 3 2" xfId="13691"/>
    <cellStyle name="Percent 13 4 2 4" xfId="13692"/>
    <cellStyle name="Percent 13 4 2 4 2" xfId="13693"/>
    <cellStyle name="Percent 13 4 2 5" xfId="13694"/>
    <cellStyle name="Percent 13 4 2 5 2" xfId="13695"/>
    <cellStyle name="Percent 13 4 2 6" xfId="13696"/>
    <cellStyle name="Percent 13 4 2 6 2" xfId="13697"/>
    <cellStyle name="Percent 13 4 2 7" xfId="13698"/>
    <cellStyle name="Percent 13 4 2 8" xfId="13699"/>
    <cellStyle name="Percent 13 4 3" xfId="13700"/>
    <cellStyle name="Percent 13 4 3 2" xfId="13701"/>
    <cellStyle name="Percent 13 4 3 2 2" xfId="13702"/>
    <cellStyle name="Percent 13 4 3 3" xfId="13703"/>
    <cellStyle name="Percent 13 4 3 3 2" xfId="13704"/>
    <cellStyle name="Percent 13 4 3 4" xfId="13705"/>
    <cellStyle name="Percent 13 4 3 5" xfId="13706"/>
    <cellStyle name="Percent 13 4 4" xfId="13707"/>
    <cellStyle name="Percent 13 4 4 2" xfId="13708"/>
    <cellStyle name="Percent 13 4 4 2 2" xfId="13709"/>
    <cellStyle name="Percent 13 4 4 3" xfId="13710"/>
    <cellStyle name="Percent 13 4 4 3 2" xfId="13711"/>
    <cellStyle name="Percent 13 4 4 4" xfId="13712"/>
    <cellStyle name="Percent 13 4 4 5" xfId="13713"/>
    <cellStyle name="Percent 13 4 5" xfId="13714"/>
    <cellStyle name="Percent 13 4 5 2" xfId="13715"/>
    <cellStyle name="Percent 13 4 6" xfId="13716"/>
    <cellStyle name="Percent 13 4 6 2" xfId="13717"/>
    <cellStyle name="Percent 13 4 7" xfId="13718"/>
    <cellStyle name="Percent 13 4 8" xfId="13719"/>
    <cellStyle name="Percent 13 4 9" xfId="13720"/>
    <cellStyle name="Percent 13 5" xfId="13721"/>
    <cellStyle name="Percent 13 5 2" xfId="13722"/>
    <cellStyle name="Percent 13 5 2 2" xfId="13723"/>
    <cellStyle name="Percent 13 5 2 2 2" xfId="13724"/>
    <cellStyle name="Percent 13 5 2 3" xfId="13725"/>
    <cellStyle name="Percent 13 5 2 3 2" xfId="13726"/>
    <cellStyle name="Percent 13 5 2 4" xfId="13727"/>
    <cellStyle name="Percent 13 5 2 5" xfId="13728"/>
    <cellStyle name="Percent 13 5 3" xfId="13729"/>
    <cellStyle name="Percent 13 5 3 2" xfId="13730"/>
    <cellStyle name="Percent 13 5 4" xfId="13731"/>
    <cellStyle name="Percent 13 5 4 2" xfId="13732"/>
    <cellStyle name="Percent 13 5 5" xfId="13733"/>
    <cellStyle name="Percent 13 5 5 2" xfId="13734"/>
    <cellStyle name="Percent 13 5 6" xfId="13735"/>
    <cellStyle name="Percent 13 5 6 2" xfId="13736"/>
    <cellStyle name="Percent 13 5 7" xfId="13737"/>
    <cellStyle name="Percent 13 5 8" xfId="13738"/>
    <cellStyle name="Percent 13 6" xfId="13739"/>
    <cellStyle name="Percent 13 6 2" xfId="13740"/>
    <cellStyle name="Percent 13 6 2 2" xfId="13741"/>
    <cellStyle name="Percent 13 6 3" xfId="13742"/>
    <cellStyle name="Percent 13 6 3 2" xfId="13743"/>
    <cellStyle name="Percent 13 6 4" xfId="13744"/>
    <cellStyle name="Percent 13 6 5" xfId="13745"/>
    <cellStyle name="Percent 13 7" xfId="13746"/>
    <cellStyle name="Percent 13 7 2" xfId="13747"/>
    <cellStyle name="Percent 13 7 2 2" xfId="13748"/>
    <cellStyle name="Percent 13 7 3" xfId="13749"/>
    <cellStyle name="Percent 13 7 3 2" xfId="13750"/>
    <cellStyle name="Percent 13 7 4" xfId="13751"/>
    <cellStyle name="Percent 13 7 5" xfId="13752"/>
    <cellStyle name="Percent 13 8" xfId="13753"/>
    <cellStyle name="Percent 13 8 2" xfId="13754"/>
    <cellStyle name="Percent 13 9" xfId="13755"/>
    <cellStyle name="Percent 13 9 2" xfId="13756"/>
    <cellStyle name="Percent 14" xfId="13757"/>
    <cellStyle name="Percent 14 10" xfId="13758"/>
    <cellStyle name="Percent 14 11" xfId="13759"/>
    <cellStyle name="Percent 14 12" xfId="13760"/>
    <cellStyle name="Percent 14 13" xfId="19286"/>
    <cellStyle name="Percent 14 14" xfId="39764"/>
    <cellStyle name="Percent 14 15" xfId="39765"/>
    <cellStyle name="Percent 14 2" xfId="13761"/>
    <cellStyle name="Percent 14 2 10" xfId="13762"/>
    <cellStyle name="Percent 14 2 11" xfId="13763"/>
    <cellStyle name="Percent 14 2 12" xfId="19287"/>
    <cellStyle name="Percent 14 2 2" xfId="13764"/>
    <cellStyle name="Percent 14 2 2 2" xfId="13765"/>
    <cellStyle name="Percent 14 2 2 2 2" xfId="13766"/>
    <cellStyle name="Percent 14 2 2 2 2 2" xfId="13767"/>
    <cellStyle name="Percent 14 2 2 2 2 2 2" xfId="13768"/>
    <cellStyle name="Percent 14 2 2 2 2 3" xfId="13769"/>
    <cellStyle name="Percent 14 2 2 2 2 3 2" xfId="13770"/>
    <cellStyle name="Percent 14 2 2 2 2 4" xfId="13771"/>
    <cellStyle name="Percent 14 2 2 2 2 5" xfId="13772"/>
    <cellStyle name="Percent 14 2 2 2 3" xfId="13773"/>
    <cellStyle name="Percent 14 2 2 2 3 2" xfId="13774"/>
    <cellStyle name="Percent 14 2 2 2 4" xfId="13775"/>
    <cellStyle name="Percent 14 2 2 2 4 2" xfId="13776"/>
    <cellStyle name="Percent 14 2 2 2 5" xfId="13777"/>
    <cellStyle name="Percent 14 2 2 2 5 2" xfId="13778"/>
    <cellStyle name="Percent 14 2 2 2 6" xfId="13779"/>
    <cellStyle name="Percent 14 2 2 2 6 2" xfId="13780"/>
    <cellStyle name="Percent 14 2 2 2 7" xfId="13781"/>
    <cellStyle name="Percent 14 2 2 2 8" xfId="13782"/>
    <cellStyle name="Percent 14 2 2 3" xfId="13783"/>
    <cellStyle name="Percent 14 2 2 3 2" xfId="13784"/>
    <cellStyle name="Percent 14 2 2 3 2 2" xfId="13785"/>
    <cellStyle name="Percent 14 2 2 3 3" xfId="13786"/>
    <cellStyle name="Percent 14 2 2 3 3 2" xfId="13787"/>
    <cellStyle name="Percent 14 2 2 3 4" xfId="13788"/>
    <cellStyle name="Percent 14 2 2 3 5" xfId="13789"/>
    <cellStyle name="Percent 14 2 2 4" xfId="13790"/>
    <cellStyle name="Percent 14 2 2 4 2" xfId="13791"/>
    <cellStyle name="Percent 14 2 2 4 2 2" xfId="13792"/>
    <cellStyle name="Percent 14 2 2 4 3" xfId="13793"/>
    <cellStyle name="Percent 14 2 2 4 3 2" xfId="13794"/>
    <cellStyle name="Percent 14 2 2 4 4" xfId="13795"/>
    <cellStyle name="Percent 14 2 2 4 5" xfId="13796"/>
    <cellStyle name="Percent 14 2 2 5" xfId="13797"/>
    <cellStyle name="Percent 14 2 2 5 2" xfId="13798"/>
    <cellStyle name="Percent 14 2 2 6" xfId="13799"/>
    <cellStyle name="Percent 14 2 2 6 2" xfId="13800"/>
    <cellStyle name="Percent 14 2 2 7" xfId="13801"/>
    <cellStyle name="Percent 14 2 2 8" xfId="13802"/>
    <cellStyle name="Percent 14 2 2 9" xfId="13803"/>
    <cellStyle name="Percent 14 2 3" xfId="13804"/>
    <cellStyle name="Percent 14 2 3 2" xfId="13805"/>
    <cellStyle name="Percent 14 2 3 2 2" xfId="13806"/>
    <cellStyle name="Percent 14 2 3 2 2 2" xfId="13807"/>
    <cellStyle name="Percent 14 2 3 2 2 2 2" xfId="13808"/>
    <cellStyle name="Percent 14 2 3 2 2 3" xfId="13809"/>
    <cellStyle name="Percent 14 2 3 2 2 3 2" xfId="13810"/>
    <cellStyle name="Percent 14 2 3 2 2 4" xfId="13811"/>
    <cellStyle name="Percent 14 2 3 2 2 5" xfId="13812"/>
    <cellStyle name="Percent 14 2 3 2 3" xfId="13813"/>
    <cellStyle name="Percent 14 2 3 2 3 2" xfId="13814"/>
    <cellStyle name="Percent 14 2 3 2 4" xfId="13815"/>
    <cellStyle name="Percent 14 2 3 2 4 2" xfId="13816"/>
    <cellStyle name="Percent 14 2 3 2 5" xfId="13817"/>
    <cellStyle name="Percent 14 2 3 2 5 2" xfId="13818"/>
    <cellStyle name="Percent 14 2 3 2 6" xfId="13819"/>
    <cellStyle name="Percent 14 2 3 2 6 2" xfId="13820"/>
    <cellStyle name="Percent 14 2 3 2 7" xfId="13821"/>
    <cellStyle name="Percent 14 2 3 2 8" xfId="13822"/>
    <cellStyle name="Percent 14 2 3 3" xfId="13823"/>
    <cellStyle name="Percent 14 2 3 3 2" xfId="13824"/>
    <cellStyle name="Percent 14 2 3 3 2 2" xfId="13825"/>
    <cellStyle name="Percent 14 2 3 3 3" xfId="13826"/>
    <cellStyle name="Percent 14 2 3 3 3 2" xfId="13827"/>
    <cellStyle name="Percent 14 2 3 3 4" xfId="13828"/>
    <cellStyle name="Percent 14 2 3 3 5" xfId="13829"/>
    <cellStyle name="Percent 14 2 3 4" xfId="13830"/>
    <cellStyle name="Percent 14 2 3 4 2" xfId="13831"/>
    <cellStyle name="Percent 14 2 3 4 2 2" xfId="13832"/>
    <cellStyle name="Percent 14 2 3 4 3" xfId="13833"/>
    <cellStyle name="Percent 14 2 3 4 3 2" xfId="13834"/>
    <cellStyle name="Percent 14 2 3 4 4" xfId="13835"/>
    <cellStyle name="Percent 14 2 3 4 5" xfId="13836"/>
    <cellStyle name="Percent 14 2 3 5" xfId="13837"/>
    <cellStyle name="Percent 14 2 3 5 2" xfId="13838"/>
    <cellStyle name="Percent 14 2 3 6" xfId="13839"/>
    <cellStyle name="Percent 14 2 3 6 2" xfId="13840"/>
    <cellStyle name="Percent 14 2 3 7" xfId="13841"/>
    <cellStyle name="Percent 14 2 3 8" xfId="13842"/>
    <cellStyle name="Percent 14 2 3 9" xfId="13843"/>
    <cellStyle name="Percent 14 2 4" xfId="13844"/>
    <cellStyle name="Percent 14 2 4 2" xfId="13845"/>
    <cellStyle name="Percent 14 2 4 2 2" xfId="13846"/>
    <cellStyle name="Percent 14 2 4 2 2 2" xfId="13847"/>
    <cellStyle name="Percent 14 2 4 2 3" xfId="13848"/>
    <cellStyle name="Percent 14 2 4 2 3 2" xfId="13849"/>
    <cellStyle name="Percent 14 2 4 2 4" xfId="13850"/>
    <cellStyle name="Percent 14 2 4 2 5" xfId="13851"/>
    <cellStyle name="Percent 14 2 4 3" xfId="13852"/>
    <cellStyle name="Percent 14 2 4 3 2" xfId="13853"/>
    <cellStyle name="Percent 14 2 4 4" xfId="13854"/>
    <cellStyle name="Percent 14 2 4 4 2" xfId="13855"/>
    <cellStyle name="Percent 14 2 4 5" xfId="13856"/>
    <cellStyle name="Percent 14 2 4 5 2" xfId="13857"/>
    <cellStyle name="Percent 14 2 4 6" xfId="13858"/>
    <cellStyle name="Percent 14 2 4 6 2" xfId="13859"/>
    <cellStyle name="Percent 14 2 4 7" xfId="13860"/>
    <cellStyle name="Percent 14 2 4 8" xfId="13861"/>
    <cellStyle name="Percent 14 2 5" xfId="13862"/>
    <cellStyle name="Percent 14 2 5 2" xfId="13863"/>
    <cellStyle name="Percent 14 2 5 2 2" xfId="13864"/>
    <cellStyle name="Percent 14 2 5 3" xfId="13865"/>
    <cellStyle name="Percent 14 2 5 3 2" xfId="13866"/>
    <cellStyle name="Percent 14 2 5 4" xfId="13867"/>
    <cellStyle name="Percent 14 2 5 5" xfId="13868"/>
    <cellStyle name="Percent 14 2 6" xfId="13869"/>
    <cellStyle name="Percent 14 2 6 2" xfId="13870"/>
    <cellStyle name="Percent 14 2 6 2 2" xfId="13871"/>
    <cellStyle name="Percent 14 2 6 3" xfId="13872"/>
    <cellStyle name="Percent 14 2 6 3 2" xfId="13873"/>
    <cellStyle name="Percent 14 2 6 4" xfId="13874"/>
    <cellStyle name="Percent 14 2 6 5" xfId="13875"/>
    <cellStyle name="Percent 14 2 7" xfId="13876"/>
    <cellStyle name="Percent 14 2 7 2" xfId="13877"/>
    <cellStyle name="Percent 14 2 8" xfId="13878"/>
    <cellStyle name="Percent 14 2 8 2" xfId="13879"/>
    <cellStyle name="Percent 14 2 9" xfId="13880"/>
    <cellStyle name="Percent 14 3" xfId="13881"/>
    <cellStyle name="Percent 14 3 2" xfId="13882"/>
    <cellStyle name="Percent 14 3 2 2" xfId="13883"/>
    <cellStyle name="Percent 14 3 2 2 2" xfId="13884"/>
    <cellStyle name="Percent 14 3 2 2 2 2" xfId="13885"/>
    <cellStyle name="Percent 14 3 2 2 3" xfId="13886"/>
    <cellStyle name="Percent 14 3 2 2 3 2" xfId="13887"/>
    <cellStyle name="Percent 14 3 2 2 4" xfId="13888"/>
    <cellStyle name="Percent 14 3 2 2 5" xfId="13889"/>
    <cellStyle name="Percent 14 3 2 3" xfId="13890"/>
    <cellStyle name="Percent 14 3 2 3 2" xfId="13891"/>
    <cellStyle name="Percent 14 3 2 4" xfId="13892"/>
    <cellStyle name="Percent 14 3 2 4 2" xfId="13893"/>
    <cellStyle name="Percent 14 3 2 5" xfId="13894"/>
    <cellStyle name="Percent 14 3 2 5 2" xfId="13895"/>
    <cellStyle name="Percent 14 3 2 6" xfId="13896"/>
    <cellStyle name="Percent 14 3 2 6 2" xfId="13897"/>
    <cellStyle name="Percent 14 3 2 7" xfId="13898"/>
    <cellStyle name="Percent 14 3 2 8" xfId="13899"/>
    <cellStyle name="Percent 14 3 3" xfId="13900"/>
    <cellStyle name="Percent 14 3 3 2" xfId="13901"/>
    <cellStyle name="Percent 14 3 3 2 2" xfId="13902"/>
    <cellStyle name="Percent 14 3 3 3" xfId="13903"/>
    <cellStyle name="Percent 14 3 3 3 2" xfId="13904"/>
    <cellStyle name="Percent 14 3 3 4" xfId="13905"/>
    <cellStyle name="Percent 14 3 3 5" xfId="13906"/>
    <cellStyle name="Percent 14 3 4" xfId="13907"/>
    <cellStyle name="Percent 14 3 4 2" xfId="13908"/>
    <cellStyle name="Percent 14 3 4 2 2" xfId="13909"/>
    <cellStyle name="Percent 14 3 4 3" xfId="13910"/>
    <cellStyle name="Percent 14 3 4 3 2" xfId="13911"/>
    <cellStyle name="Percent 14 3 4 4" xfId="13912"/>
    <cellStyle name="Percent 14 3 4 5" xfId="13913"/>
    <cellStyle name="Percent 14 3 5" xfId="13914"/>
    <cellStyle name="Percent 14 3 5 2" xfId="13915"/>
    <cellStyle name="Percent 14 3 6" xfId="13916"/>
    <cellStyle name="Percent 14 3 6 2" xfId="13917"/>
    <cellStyle name="Percent 14 3 7" xfId="13918"/>
    <cellStyle name="Percent 14 3 8" xfId="13919"/>
    <cellStyle name="Percent 14 3 9" xfId="13920"/>
    <cellStyle name="Percent 14 4" xfId="13921"/>
    <cellStyle name="Percent 14 4 2" xfId="13922"/>
    <cellStyle name="Percent 14 4 2 2" xfId="13923"/>
    <cellStyle name="Percent 14 4 2 2 2" xfId="13924"/>
    <cellStyle name="Percent 14 4 2 2 2 2" xfId="13925"/>
    <cellStyle name="Percent 14 4 2 2 3" xfId="13926"/>
    <cellStyle name="Percent 14 4 2 2 3 2" xfId="13927"/>
    <cellStyle name="Percent 14 4 2 2 4" xfId="13928"/>
    <cellStyle name="Percent 14 4 2 2 5" xfId="13929"/>
    <cellStyle name="Percent 14 4 2 3" xfId="13930"/>
    <cellStyle name="Percent 14 4 2 3 2" xfId="13931"/>
    <cellStyle name="Percent 14 4 2 4" xfId="13932"/>
    <cellStyle name="Percent 14 4 2 4 2" xfId="13933"/>
    <cellStyle name="Percent 14 4 2 5" xfId="13934"/>
    <cellStyle name="Percent 14 4 2 5 2" xfId="13935"/>
    <cellStyle name="Percent 14 4 2 6" xfId="13936"/>
    <cellStyle name="Percent 14 4 2 6 2" xfId="13937"/>
    <cellStyle name="Percent 14 4 2 7" xfId="13938"/>
    <cellStyle name="Percent 14 4 2 8" xfId="13939"/>
    <cellStyle name="Percent 14 4 3" xfId="13940"/>
    <cellStyle name="Percent 14 4 3 2" xfId="13941"/>
    <cellStyle name="Percent 14 4 3 2 2" xfId="13942"/>
    <cellStyle name="Percent 14 4 3 3" xfId="13943"/>
    <cellStyle name="Percent 14 4 3 3 2" xfId="13944"/>
    <cellStyle name="Percent 14 4 3 4" xfId="13945"/>
    <cellStyle name="Percent 14 4 3 5" xfId="13946"/>
    <cellStyle name="Percent 14 4 4" xfId="13947"/>
    <cellStyle name="Percent 14 4 4 2" xfId="13948"/>
    <cellStyle name="Percent 14 4 4 2 2" xfId="13949"/>
    <cellStyle name="Percent 14 4 4 3" xfId="13950"/>
    <cellStyle name="Percent 14 4 4 3 2" xfId="13951"/>
    <cellStyle name="Percent 14 4 4 4" xfId="13952"/>
    <cellStyle name="Percent 14 4 4 5" xfId="13953"/>
    <cellStyle name="Percent 14 4 5" xfId="13954"/>
    <cellStyle name="Percent 14 4 5 2" xfId="13955"/>
    <cellStyle name="Percent 14 4 6" xfId="13956"/>
    <cellStyle name="Percent 14 4 6 2" xfId="13957"/>
    <cellStyle name="Percent 14 4 7" xfId="13958"/>
    <cellStyle name="Percent 14 4 8" xfId="13959"/>
    <cellStyle name="Percent 14 4 9" xfId="13960"/>
    <cellStyle name="Percent 14 5" xfId="13961"/>
    <cellStyle name="Percent 14 5 2" xfId="13962"/>
    <cellStyle name="Percent 14 5 2 2" xfId="13963"/>
    <cellStyle name="Percent 14 5 2 2 2" xfId="13964"/>
    <cellStyle name="Percent 14 5 2 3" xfId="13965"/>
    <cellStyle name="Percent 14 5 2 3 2" xfId="13966"/>
    <cellStyle name="Percent 14 5 2 4" xfId="13967"/>
    <cellStyle name="Percent 14 5 2 5" xfId="13968"/>
    <cellStyle name="Percent 14 5 3" xfId="13969"/>
    <cellStyle name="Percent 14 5 3 2" xfId="13970"/>
    <cellStyle name="Percent 14 5 4" xfId="13971"/>
    <cellStyle name="Percent 14 5 4 2" xfId="13972"/>
    <cellStyle name="Percent 14 5 5" xfId="13973"/>
    <cellStyle name="Percent 14 5 5 2" xfId="13974"/>
    <cellStyle name="Percent 14 5 6" xfId="13975"/>
    <cellStyle name="Percent 14 5 6 2" xfId="13976"/>
    <cellStyle name="Percent 14 5 7" xfId="13977"/>
    <cellStyle name="Percent 14 5 8" xfId="13978"/>
    <cellStyle name="Percent 14 6" xfId="13979"/>
    <cellStyle name="Percent 14 6 2" xfId="13980"/>
    <cellStyle name="Percent 14 6 2 2" xfId="13981"/>
    <cellStyle name="Percent 14 6 3" xfId="13982"/>
    <cellStyle name="Percent 14 6 3 2" xfId="13983"/>
    <cellStyle name="Percent 14 6 4" xfId="13984"/>
    <cellStyle name="Percent 14 6 5" xfId="13985"/>
    <cellStyle name="Percent 14 7" xfId="13986"/>
    <cellStyle name="Percent 14 7 2" xfId="13987"/>
    <cellStyle name="Percent 14 7 2 2" xfId="13988"/>
    <cellStyle name="Percent 14 7 3" xfId="13989"/>
    <cellStyle name="Percent 14 7 3 2" xfId="13990"/>
    <cellStyle name="Percent 14 7 4" xfId="13991"/>
    <cellStyle name="Percent 14 7 5" xfId="13992"/>
    <cellStyle name="Percent 14 8" xfId="13993"/>
    <cellStyle name="Percent 14 8 2" xfId="13994"/>
    <cellStyle name="Percent 14 9" xfId="13995"/>
    <cellStyle name="Percent 14 9 2" xfId="13996"/>
    <cellStyle name="Percent 15" xfId="13997"/>
    <cellStyle name="Percent 15 10" xfId="13998"/>
    <cellStyle name="Percent 15 11" xfId="13999"/>
    <cellStyle name="Percent 15 12" xfId="14000"/>
    <cellStyle name="Percent 15 13" xfId="19288"/>
    <cellStyle name="Percent 15 14" xfId="39766"/>
    <cellStyle name="Percent 15 15" xfId="39767"/>
    <cellStyle name="Percent 15 2" xfId="14001"/>
    <cellStyle name="Percent 15 2 10" xfId="14002"/>
    <cellStyle name="Percent 15 2 11" xfId="14003"/>
    <cellStyle name="Percent 15 2 2" xfId="14004"/>
    <cellStyle name="Percent 15 2 2 2" xfId="14005"/>
    <cellStyle name="Percent 15 2 2 2 2" xfId="14006"/>
    <cellStyle name="Percent 15 2 2 2 2 2" xfId="14007"/>
    <cellStyle name="Percent 15 2 2 2 2 2 2" xfId="14008"/>
    <cellStyle name="Percent 15 2 2 2 2 3" xfId="14009"/>
    <cellStyle name="Percent 15 2 2 2 2 3 2" xfId="14010"/>
    <cellStyle name="Percent 15 2 2 2 2 4" xfId="14011"/>
    <cellStyle name="Percent 15 2 2 2 2 5" xfId="14012"/>
    <cellStyle name="Percent 15 2 2 2 3" xfId="14013"/>
    <cellStyle name="Percent 15 2 2 2 3 2" xfId="14014"/>
    <cellStyle name="Percent 15 2 2 2 4" xfId="14015"/>
    <cellStyle name="Percent 15 2 2 2 4 2" xfId="14016"/>
    <cellStyle name="Percent 15 2 2 2 5" xfId="14017"/>
    <cellStyle name="Percent 15 2 2 2 5 2" xfId="14018"/>
    <cellStyle name="Percent 15 2 2 2 6" xfId="14019"/>
    <cellStyle name="Percent 15 2 2 2 6 2" xfId="14020"/>
    <cellStyle name="Percent 15 2 2 2 7" xfId="14021"/>
    <cellStyle name="Percent 15 2 2 2 8" xfId="14022"/>
    <cellStyle name="Percent 15 2 2 3" xfId="14023"/>
    <cellStyle name="Percent 15 2 2 3 2" xfId="14024"/>
    <cellStyle name="Percent 15 2 2 3 2 2" xfId="14025"/>
    <cellStyle name="Percent 15 2 2 3 3" xfId="14026"/>
    <cellStyle name="Percent 15 2 2 3 3 2" xfId="14027"/>
    <cellStyle name="Percent 15 2 2 3 4" xfId="14028"/>
    <cellStyle name="Percent 15 2 2 3 5" xfId="14029"/>
    <cellStyle name="Percent 15 2 2 4" xfId="14030"/>
    <cellStyle name="Percent 15 2 2 4 2" xfId="14031"/>
    <cellStyle name="Percent 15 2 2 4 2 2" xfId="14032"/>
    <cellStyle name="Percent 15 2 2 4 3" xfId="14033"/>
    <cellStyle name="Percent 15 2 2 4 3 2" xfId="14034"/>
    <cellStyle name="Percent 15 2 2 4 4" xfId="14035"/>
    <cellStyle name="Percent 15 2 2 4 5" xfId="14036"/>
    <cellStyle name="Percent 15 2 2 5" xfId="14037"/>
    <cellStyle name="Percent 15 2 2 5 2" xfId="14038"/>
    <cellStyle name="Percent 15 2 2 6" xfId="14039"/>
    <cellStyle name="Percent 15 2 2 6 2" xfId="14040"/>
    <cellStyle name="Percent 15 2 2 7" xfId="14041"/>
    <cellStyle name="Percent 15 2 2 8" xfId="14042"/>
    <cellStyle name="Percent 15 2 2 9" xfId="14043"/>
    <cellStyle name="Percent 15 2 3" xfId="14044"/>
    <cellStyle name="Percent 15 2 3 2" xfId="14045"/>
    <cellStyle name="Percent 15 2 3 2 2" xfId="14046"/>
    <cellStyle name="Percent 15 2 3 2 2 2" xfId="14047"/>
    <cellStyle name="Percent 15 2 3 2 2 2 2" xfId="14048"/>
    <cellStyle name="Percent 15 2 3 2 2 3" xfId="14049"/>
    <cellStyle name="Percent 15 2 3 2 2 3 2" xfId="14050"/>
    <cellStyle name="Percent 15 2 3 2 2 4" xfId="14051"/>
    <cellStyle name="Percent 15 2 3 2 2 5" xfId="14052"/>
    <cellStyle name="Percent 15 2 3 2 3" xfId="14053"/>
    <cellStyle name="Percent 15 2 3 2 3 2" xfId="14054"/>
    <cellStyle name="Percent 15 2 3 2 4" xfId="14055"/>
    <cellStyle name="Percent 15 2 3 2 4 2" xfId="14056"/>
    <cellStyle name="Percent 15 2 3 2 5" xfId="14057"/>
    <cellStyle name="Percent 15 2 3 2 5 2" xfId="14058"/>
    <cellStyle name="Percent 15 2 3 2 6" xfId="14059"/>
    <cellStyle name="Percent 15 2 3 2 6 2" xfId="14060"/>
    <cellStyle name="Percent 15 2 3 2 7" xfId="14061"/>
    <cellStyle name="Percent 15 2 3 2 8" xfId="14062"/>
    <cellStyle name="Percent 15 2 3 3" xfId="14063"/>
    <cellStyle name="Percent 15 2 3 3 2" xfId="14064"/>
    <cellStyle name="Percent 15 2 3 3 2 2" xfId="14065"/>
    <cellStyle name="Percent 15 2 3 3 3" xfId="14066"/>
    <cellStyle name="Percent 15 2 3 3 3 2" xfId="14067"/>
    <cellStyle name="Percent 15 2 3 3 4" xfId="14068"/>
    <cellStyle name="Percent 15 2 3 3 5" xfId="14069"/>
    <cellStyle name="Percent 15 2 3 4" xfId="14070"/>
    <cellStyle name="Percent 15 2 3 4 2" xfId="14071"/>
    <cellStyle name="Percent 15 2 3 4 2 2" xfId="14072"/>
    <cellStyle name="Percent 15 2 3 4 3" xfId="14073"/>
    <cellStyle name="Percent 15 2 3 4 3 2" xfId="14074"/>
    <cellStyle name="Percent 15 2 3 4 4" xfId="14075"/>
    <cellStyle name="Percent 15 2 3 4 5" xfId="14076"/>
    <cellStyle name="Percent 15 2 3 5" xfId="14077"/>
    <cellStyle name="Percent 15 2 3 5 2" xfId="14078"/>
    <cellStyle name="Percent 15 2 3 6" xfId="14079"/>
    <cellStyle name="Percent 15 2 3 6 2" xfId="14080"/>
    <cellStyle name="Percent 15 2 3 7" xfId="14081"/>
    <cellStyle name="Percent 15 2 3 8" xfId="14082"/>
    <cellStyle name="Percent 15 2 3 9" xfId="14083"/>
    <cellStyle name="Percent 15 2 4" xfId="14084"/>
    <cellStyle name="Percent 15 2 4 2" xfId="14085"/>
    <cellStyle name="Percent 15 2 4 2 2" xfId="14086"/>
    <cellStyle name="Percent 15 2 4 2 2 2" xfId="14087"/>
    <cellStyle name="Percent 15 2 4 2 3" xfId="14088"/>
    <cellStyle name="Percent 15 2 4 2 3 2" xfId="14089"/>
    <cellStyle name="Percent 15 2 4 2 4" xfId="14090"/>
    <cellStyle name="Percent 15 2 4 2 5" xfId="14091"/>
    <cellStyle name="Percent 15 2 4 3" xfId="14092"/>
    <cellStyle name="Percent 15 2 4 3 2" xfId="14093"/>
    <cellStyle name="Percent 15 2 4 4" xfId="14094"/>
    <cellStyle name="Percent 15 2 4 4 2" xfId="14095"/>
    <cellStyle name="Percent 15 2 4 5" xfId="14096"/>
    <cellStyle name="Percent 15 2 4 5 2" xfId="14097"/>
    <cellStyle name="Percent 15 2 4 6" xfId="14098"/>
    <cellStyle name="Percent 15 2 4 6 2" xfId="14099"/>
    <cellStyle name="Percent 15 2 4 7" xfId="14100"/>
    <cellStyle name="Percent 15 2 4 8" xfId="14101"/>
    <cellStyle name="Percent 15 2 5" xfId="14102"/>
    <cellStyle name="Percent 15 2 5 2" xfId="14103"/>
    <cellStyle name="Percent 15 2 5 2 2" xfId="14104"/>
    <cellStyle name="Percent 15 2 5 3" xfId="14105"/>
    <cellStyle name="Percent 15 2 5 3 2" xfId="14106"/>
    <cellStyle name="Percent 15 2 5 4" xfId="14107"/>
    <cellStyle name="Percent 15 2 5 5" xfId="14108"/>
    <cellStyle name="Percent 15 2 6" xfId="14109"/>
    <cellStyle name="Percent 15 2 6 2" xfId="14110"/>
    <cellStyle name="Percent 15 2 6 2 2" xfId="14111"/>
    <cellStyle name="Percent 15 2 6 3" xfId="14112"/>
    <cellStyle name="Percent 15 2 6 3 2" xfId="14113"/>
    <cellStyle name="Percent 15 2 6 4" xfId="14114"/>
    <cellStyle name="Percent 15 2 6 5" xfId="14115"/>
    <cellStyle name="Percent 15 2 7" xfId="14116"/>
    <cellStyle name="Percent 15 2 7 2" xfId="14117"/>
    <cellStyle name="Percent 15 2 8" xfId="14118"/>
    <cellStyle name="Percent 15 2 8 2" xfId="14119"/>
    <cellStyle name="Percent 15 2 9" xfId="14120"/>
    <cellStyle name="Percent 15 3" xfId="14121"/>
    <cellStyle name="Percent 15 3 2" xfId="14122"/>
    <cellStyle name="Percent 15 3 2 2" xfId="14123"/>
    <cellStyle name="Percent 15 3 2 2 2" xfId="14124"/>
    <cellStyle name="Percent 15 3 2 2 2 2" xfId="14125"/>
    <cellStyle name="Percent 15 3 2 2 3" xfId="14126"/>
    <cellStyle name="Percent 15 3 2 2 3 2" xfId="14127"/>
    <cellStyle name="Percent 15 3 2 2 4" xfId="14128"/>
    <cellStyle name="Percent 15 3 2 2 5" xfId="14129"/>
    <cellStyle name="Percent 15 3 2 3" xfId="14130"/>
    <cellStyle name="Percent 15 3 2 3 2" xfId="14131"/>
    <cellStyle name="Percent 15 3 2 4" xfId="14132"/>
    <cellStyle name="Percent 15 3 2 4 2" xfId="14133"/>
    <cellStyle name="Percent 15 3 2 5" xfId="14134"/>
    <cellStyle name="Percent 15 3 2 5 2" xfId="14135"/>
    <cellStyle name="Percent 15 3 2 6" xfId="14136"/>
    <cellStyle name="Percent 15 3 2 6 2" xfId="14137"/>
    <cellStyle name="Percent 15 3 2 7" xfId="14138"/>
    <cellStyle name="Percent 15 3 2 8" xfId="14139"/>
    <cellStyle name="Percent 15 3 3" xfId="14140"/>
    <cellStyle name="Percent 15 3 3 2" xfId="14141"/>
    <cellStyle name="Percent 15 3 3 2 2" xfId="14142"/>
    <cellStyle name="Percent 15 3 3 3" xfId="14143"/>
    <cellStyle name="Percent 15 3 3 3 2" xfId="14144"/>
    <cellStyle name="Percent 15 3 3 4" xfId="14145"/>
    <cellStyle name="Percent 15 3 3 5" xfId="14146"/>
    <cellStyle name="Percent 15 3 4" xfId="14147"/>
    <cellStyle name="Percent 15 3 4 2" xfId="14148"/>
    <cellStyle name="Percent 15 3 4 2 2" xfId="14149"/>
    <cellStyle name="Percent 15 3 4 3" xfId="14150"/>
    <cellStyle name="Percent 15 3 4 3 2" xfId="14151"/>
    <cellStyle name="Percent 15 3 4 4" xfId="14152"/>
    <cellStyle name="Percent 15 3 4 5" xfId="14153"/>
    <cellStyle name="Percent 15 3 5" xfId="14154"/>
    <cellStyle name="Percent 15 3 5 2" xfId="14155"/>
    <cellStyle name="Percent 15 3 6" xfId="14156"/>
    <cellStyle name="Percent 15 3 6 2" xfId="14157"/>
    <cellStyle name="Percent 15 3 7" xfId="14158"/>
    <cellStyle name="Percent 15 3 8" xfId="14159"/>
    <cellStyle name="Percent 15 3 9" xfId="14160"/>
    <cellStyle name="Percent 15 4" xfId="14161"/>
    <cellStyle name="Percent 15 4 2" xfId="14162"/>
    <cellStyle name="Percent 15 4 2 2" xfId="14163"/>
    <cellStyle name="Percent 15 4 2 2 2" xfId="14164"/>
    <cellStyle name="Percent 15 4 2 2 2 2" xfId="14165"/>
    <cellStyle name="Percent 15 4 2 2 3" xfId="14166"/>
    <cellStyle name="Percent 15 4 2 2 3 2" xfId="14167"/>
    <cellStyle name="Percent 15 4 2 2 4" xfId="14168"/>
    <cellStyle name="Percent 15 4 2 2 5" xfId="14169"/>
    <cellStyle name="Percent 15 4 2 3" xfId="14170"/>
    <cellStyle name="Percent 15 4 2 3 2" xfId="14171"/>
    <cellStyle name="Percent 15 4 2 4" xfId="14172"/>
    <cellStyle name="Percent 15 4 2 4 2" xfId="14173"/>
    <cellStyle name="Percent 15 4 2 5" xfId="14174"/>
    <cellStyle name="Percent 15 4 2 5 2" xfId="14175"/>
    <cellStyle name="Percent 15 4 2 6" xfId="14176"/>
    <cellStyle name="Percent 15 4 2 6 2" xfId="14177"/>
    <cellStyle name="Percent 15 4 2 7" xfId="14178"/>
    <cellStyle name="Percent 15 4 2 8" xfId="14179"/>
    <cellStyle name="Percent 15 4 3" xfId="14180"/>
    <cellStyle name="Percent 15 4 3 2" xfId="14181"/>
    <cellStyle name="Percent 15 4 3 2 2" xfId="14182"/>
    <cellStyle name="Percent 15 4 3 3" xfId="14183"/>
    <cellStyle name="Percent 15 4 3 3 2" xfId="14184"/>
    <cellStyle name="Percent 15 4 3 4" xfId="14185"/>
    <cellStyle name="Percent 15 4 3 5" xfId="14186"/>
    <cellStyle name="Percent 15 4 4" xfId="14187"/>
    <cellStyle name="Percent 15 4 4 2" xfId="14188"/>
    <cellStyle name="Percent 15 4 4 2 2" xfId="14189"/>
    <cellStyle name="Percent 15 4 4 3" xfId="14190"/>
    <cellStyle name="Percent 15 4 4 3 2" xfId="14191"/>
    <cellStyle name="Percent 15 4 4 4" xfId="14192"/>
    <cellStyle name="Percent 15 4 4 5" xfId="14193"/>
    <cellStyle name="Percent 15 4 5" xfId="14194"/>
    <cellStyle name="Percent 15 4 5 2" xfId="14195"/>
    <cellStyle name="Percent 15 4 6" xfId="14196"/>
    <cellStyle name="Percent 15 4 6 2" xfId="14197"/>
    <cellStyle name="Percent 15 4 7" xfId="14198"/>
    <cellStyle name="Percent 15 4 8" xfId="14199"/>
    <cellStyle name="Percent 15 4 9" xfId="14200"/>
    <cellStyle name="Percent 15 5" xfId="14201"/>
    <cellStyle name="Percent 15 5 2" xfId="14202"/>
    <cellStyle name="Percent 15 5 2 2" xfId="14203"/>
    <cellStyle name="Percent 15 5 2 2 2" xfId="14204"/>
    <cellStyle name="Percent 15 5 2 3" xfId="14205"/>
    <cellStyle name="Percent 15 5 2 3 2" xfId="14206"/>
    <cellStyle name="Percent 15 5 2 4" xfId="14207"/>
    <cellStyle name="Percent 15 5 2 5" xfId="14208"/>
    <cellStyle name="Percent 15 5 3" xfId="14209"/>
    <cellStyle name="Percent 15 5 3 2" xfId="14210"/>
    <cellStyle name="Percent 15 5 4" xfId="14211"/>
    <cellStyle name="Percent 15 5 4 2" xfId="14212"/>
    <cellStyle name="Percent 15 5 5" xfId="14213"/>
    <cellStyle name="Percent 15 5 5 2" xfId="14214"/>
    <cellStyle name="Percent 15 5 6" xfId="14215"/>
    <cellStyle name="Percent 15 5 6 2" xfId="14216"/>
    <cellStyle name="Percent 15 5 7" xfId="14217"/>
    <cellStyle name="Percent 15 5 8" xfId="14218"/>
    <cellStyle name="Percent 15 6" xfId="14219"/>
    <cellStyle name="Percent 15 6 2" xfId="14220"/>
    <cellStyle name="Percent 15 6 2 2" xfId="14221"/>
    <cellStyle name="Percent 15 6 3" xfId="14222"/>
    <cellStyle name="Percent 15 6 3 2" xfId="14223"/>
    <cellStyle name="Percent 15 6 4" xfId="14224"/>
    <cellStyle name="Percent 15 6 5" xfId="14225"/>
    <cellStyle name="Percent 15 7" xfId="14226"/>
    <cellStyle name="Percent 15 7 2" xfId="14227"/>
    <cellStyle name="Percent 15 7 2 2" xfId="14228"/>
    <cellStyle name="Percent 15 7 3" xfId="14229"/>
    <cellStyle name="Percent 15 7 3 2" xfId="14230"/>
    <cellStyle name="Percent 15 7 4" xfId="14231"/>
    <cellStyle name="Percent 15 7 5" xfId="14232"/>
    <cellStyle name="Percent 15 8" xfId="14233"/>
    <cellStyle name="Percent 15 8 2" xfId="14234"/>
    <cellStyle name="Percent 15 9" xfId="14235"/>
    <cellStyle name="Percent 15 9 2" xfId="14236"/>
    <cellStyle name="Percent 16" xfId="14237"/>
    <cellStyle name="Percent 16 10" xfId="14238"/>
    <cellStyle name="Percent 16 11" xfId="14239"/>
    <cellStyle name="Percent 16 12" xfId="14240"/>
    <cellStyle name="Percent 16 13" xfId="19289"/>
    <cellStyle name="Percent 16 14" xfId="39768"/>
    <cellStyle name="Percent 16 15" xfId="39769"/>
    <cellStyle name="Percent 16 2" xfId="14241"/>
    <cellStyle name="Percent 16 2 10" xfId="14242"/>
    <cellStyle name="Percent 16 2 11" xfId="14243"/>
    <cellStyle name="Percent 16 2 2" xfId="14244"/>
    <cellStyle name="Percent 16 2 2 2" xfId="14245"/>
    <cellStyle name="Percent 16 2 2 2 2" xfId="14246"/>
    <cellStyle name="Percent 16 2 2 2 2 2" xfId="14247"/>
    <cellStyle name="Percent 16 2 2 2 2 2 2" xfId="14248"/>
    <cellStyle name="Percent 16 2 2 2 2 3" xfId="14249"/>
    <cellStyle name="Percent 16 2 2 2 2 3 2" xfId="14250"/>
    <cellStyle name="Percent 16 2 2 2 2 4" xfId="14251"/>
    <cellStyle name="Percent 16 2 2 2 2 5" xfId="14252"/>
    <cellStyle name="Percent 16 2 2 2 3" xfId="14253"/>
    <cellStyle name="Percent 16 2 2 2 3 2" xfId="14254"/>
    <cellStyle name="Percent 16 2 2 2 4" xfId="14255"/>
    <cellStyle name="Percent 16 2 2 2 4 2" xfId="14256"/>
    <cellStyle name="Percent 16 2 2 2 5" xfId="14257"/>
    <cellStyle name="Percent 16 2 2 2 5 2" xfId="14258"/>
    <cellStyle name="Percent 16 2 2 2 6" xfId="14259"/>
    <cellStyle name="Percent 16 2 2 2 6 2" xfId="14260"/>
    <cellStyle name="Percent 16 2 2 2 7" xfId="14261"/>
    <cellStyle name="Percent 16 2 2 2 8" xfId="14262"/>
    <cellStyle name="Percent 16 2 2 3" xfId="14263"/>
    <cellStyle name="Percent 16 2 2 3 2" xfId="14264"/>
    <cellStyle name="Percent 16 2 2 3 2 2" xfId="14265"/>
    <cellStyle name="Percent 16 2 2 3 3" xfId="14266"/>
    <cellStyle name="Percent 16 2 2 3 3 2" xfId="14267"/>
    <cellStyle name="Percent 16 2 2 3 4" xfId="14268"/>
    <cellStyle name="Percent 16 2 2 3 5" xfId="14269"/>
    <cellStyle name="Percent 16 2 2 4" xfId="14270"/>
    <cellStyle name="Percent 16 2 2 4 2" xfId="14271"/>
    <cellStyle name="Percent 16 2 2 4 2 2" xfId="14272"/>
    <cellStyle name="Percent 16 2 2 4 3" xfId="14273"/>
    <cellStyle name="Percent 16 2 2 4 3 2" xfId="14274"/>
    <cellStyle name="Percent 16 2 2 4 4" xfId="14275"/>
    <cellStyle name="Percent 16 2 2 4 5" xfId="14276"/>
    <cellStyle name="Percent 16 2 2 5" xfId="14277"/>
    <cellStyle name="Percent 16 2 2 5 2" xfId="14278"/>
    <cellStyle name="Percent 16 2 2 6" xfId="14279"/>
    <cellStyle name="Percent 16 2 2 6 2" xfId="14280"/>
    <cellStyle name="Percent 16 2 2 7" xfId="14281"/>
    <cellStyle name="Percent 16 2 2 8" xfId="14282"/>
    <cellStyle name="Percent 16 2 2 9" xfId="14283"/>
    <cellStyle name="Percent 16 2 3" xfId="14284"/>
    <cellStyle name="Percent 16 2 3 2" xfId="14285"/>
    <cellStyle name="Percent 16 2 3 2 2" xfId="14286"/>
    <cellStyle name="Percent 16 2 3 2 2 2" xfId="14287"/>
    <cellStyle name="Percent 16 2 3 2 2 2 2" xfId="14288"/>
    <cellStyle name="Percent 16 2 3 2 2 3" xfId="14289"/>
    <cellStyle name="Percent 16 2 3 2 2 3 2" xfId="14290"/>
    <cellStyle name="Percent 16 2 3 2 2 4" xfId="14291"/>
    <cellStyle name="Percent 16 2 3 2 2 5" xfId="14292"/>
    <cellStyle name="Percent 16 2 3 2 3" xfId="14293"/>
    <cellStyle name="Percent 16 2 3 2 3 2" xfId="14294"/>
    <cellStyle name="Percent 16 2 3 2 4" xfId="14295"/>
    <cellStyle name="Percent 16 2 3 2 4 2" xfId="14296"/>
    <cellStyle name="Percent 16 2 3 2 5" xfId="14297"/>
    <cellStyle name="Percent 16 2 3 2 5 2" xfId="14298"/>
    <cellStyle name="Percent 16 2 3 2 6" xfId="14299"/>
    <cellStyle name="Percent 16 2 3 2 6 2" xfId="14300"/>
    <cellStyle name="Percent 16 2 3 2 7" xfId="14301"/>
    <cellStyle name="Percent 16 2 3 2 8" xfId="14302"/>
    <cellStyle name="Percent 16 2 3 3" xfId="14303"/>
    <cellStyle name="Percent 16 2 3 3 2" xfId="14304"/>
    <cellStyle name="Percent 16 2 3 3 2 2" xfId="14305"/>
    <cellStyle name="Percent 16 2 3 3 3" xfId="14306"/>
    <cellStyle name="Percent 16 2 3 3 3 2" xfId="14307"/>
    <cellStyle name="Percent 16 2 3 3 4" xfId="14308"/>
    <cellStyle name="Percent 16 2 3 3 5" xfId="14309"/>
    <cellStyle name="Percent 16 2 3 4" xfId="14310"/>
    <cellStyle name="Percent 16 2 3 4 2" xfId="14311"/>
    <cellStyle name="Percent 16 2 3 4 2 2" xfId="14312"/>
    <cellStyle name="Percent 16 2 3 4 3" xfId="14313"/>
    <cellStyle name="Percent 16 2 3 4 3 2" xfId="14314"/>
    <cellStyle name="Percent 16 2 3 4 4" xfId="14315"/>
    <cellStyle name="Percent 16 2 3 4 5" xfId="14316"/>
    <cellStyle name="Percent 16 2 3 5" xfId="14317"/>
    <cellStyle name="Percent 16 2 3 5 2" xfId="14318"/>
    <cellStyle name="Percent 16 2 3 6" xfId="14319"/>
    <cellStyle name="Percent 16 2 3 6 2" xfId="14320"/>
    <cellStyle name="Percent 16 2 3 7" xfId="14321"/>
    <cellStyle name="Percent 16 2 3 8" xfId="14322"/>
    <cellStyle name="Percent 16 2 3 9" xfId="14323"/>
    <cellStyle name="Percent 16 2 4" xfId="14324"/>
    <cellStyle name="Percent 16 2 4 2" xfId="14325"/>
    <cellStyle name="Percent 16 2 4 2 2" xfId="14326"/>
    <cellStyle name="Percent 16 2 4 2 2 2" xfId="14327"/>
    <cellStyle name="Percent 16 2 4 2 3" xfId="14328"/>
    <cellStyle name="Percent 16 2 4 2 3 2" xfId="14329"/>
    <cellStyle name="Percent 16 2 4 2 4" xfId="14330"/>
    <cellStyle name="Percent 16 2 4 2 5" xfId="14331"/>
    <cellStyle name="Percent 16 2 4 3" xfId="14332"/>
    <cellStyle name="Percent 16 2 4 3 2" xfId="14333"/>
    <cellStyle name="Percent 16 2 4 4" xfId="14334"/>
    <cellStyle name="Percent 16 2 4 4 2" xfId="14335"/>
    <cellStyle name="Percent 16 2 4 5" xfId="14336"/>
    <cellStyle name="Percent 16 2 4 5 2" xfId="14337"/>
    <cellStyle name="Percent 16 2 4 6" xfId="14338"/>
    <cellStyle name="Percent 16 2 4 6 2" xfId="14339"/>
    <cellStyle name="Percent 16 2 4 7" xfId="14340"/>
    <cellStyle name="Percent 16 2 4 8" xfId="14341"/>
    <cellStyle name="Percent 16 2 5" xfId="14342"/>
    <cellStyle name="Percent 16 2 5 2" xfId="14343"/>
    <cellStyle name="Percent 16 2 5 2 2" xfId="14344"/>
    <cellStyle name="Percent 16 2 5 3" xfId="14345"/>
    <cellStyle name="Percent 16 2 5 3 2" xfId="14346"/>
    <cellStyle name="Percent 16 2 5 4" xfId="14347"/>
    <cellStyle name="Percent 16 2 5 5" xfId="14348"/>
    <cellStyle name="Percent 16 2 6" xfId="14349"/>
    <cellStyle name="Percent 16 2 6 2" xfId="14350"/>
    <cellStyle name="Percent 16 2 6 2 2" xfId="14351"/>
    <cellStyle name="Percent 16 2 6 3" xfId="14352"/>
    <cellStyle name="Percent 16 2 6 3 2" xfId="14353"/>
    <cellStyle name="Percent 16 2 6 4" xfId="14354"/>
    <cellStyle name="Percent 16 2 6 5" xfId="14355"/>
    <cellStyle name="Percent 16 2 7" xfId="14356"/>
    <cellStyle name="Percent 16 2 7 2" xfId="14357"/>
    <cellStyle name="Percent 16 2 8" xfId="14358"/>
    <cellStyle name="Percent 16 2 8 2" xfId="14359"/>
    <cellStyle name="Percent 16 2 9" xfId="14360"/>
    <cellStyle name="Percent 16 3" xfId="14361"/>
    <cellStyle name="Percent 16 3 2" xfId="14362"/>
    <cellStyle name="Percent 16 3 2 2" xfId="14363"/>
    <cellStyle name="Percent 16 3 2 2 2" xfId="14364"/>
    <cellStyle name="Percent 16 3 2 2 2 2" xfId="14365"/>
    <cellStyle name="Percent 16 3 2 2 3" xfId="14366"/>
    <cellStyle name="Percent 16 3 2 2 3 2" xfId="14367"/>
    <cellStyle name="Percent 16 3 2 2 4" xfId="14368"/>
    <cellStyle name="Percent 16 3 2 2 5" xfId="14369"/>
    <cellStyle name="Percent 16 3 2 3" xfId="14370"/>
    <cellStyle name="Percent 16 3 2 3 2" xfId="14371"/>
    <cellStyle name="Percent 16 3 2 4" xfId="14372"/>
    <cellStyle name="Percent 16 3 2 4 2" xfId="14373"/>
    <cellStyle name="Percent 16 3 2 5" xfId="14374"/>
    <cellStyle name="Percent 16 3 2 5 2" xfId="14375"/>
    <cellStyle name="Percent 16 3 2 6" xfId="14376"/>
    <cellStyle name="Percent 16 3 2 6 2" xfId="14377"/>
    <cellStyle name="Percent 16 3 2 7" xfId="14378"/>
    <cellStyle name="Percent 16 3 2 8" xfId="14379"/>
    <cellStyle name="Percent 16 3 3" xfId="14380"/>
    <cellStyle name="Percent 16 3 3 2" xfId="14381"/>
    <cellStyle name="Percent 16 3 3 2 2" xfId="14382"/>
    <cellStyle name="Percent 16 3 3 3" xfId="14383"/>
    <cellStyle name="Percent 16 3 3 3 2" xfId="14384"/>
    <cellStyle name="Percent 16 3 3 4" xfId="14385"/>
    <cellStyle name="Percent 16 3 3 5" xfId="14386"/>
    <cellStyle name="Percent 16 3 4" xfId="14387"/>
    <cellStyle name="Percent 16 3 4 2" xfId="14388"/>
    <cellStyle name="Percent 16 3 4 2 2" xfId="14389"/>
    <cellStyle name="Percent 16 3 4 3" xfId="14390"/>
    <cellStyle name="Percent 16 3 4 3 2" xfId="14391"/>
    <cellStyle name="Percent 16 3 4 4" xfId="14392"/>
    <cellStyle name="Percent 16 3 4 5" xfId="14393"/>
    <cellStyle name="Percent 16 3 5" xfId="14394"/>
    <cellStyle name="Percent 16 3 5 2" xfId="14395"/>
    <cellStyle name="Percent 16 3 6" xfId="14396"/>
    <cellStyle name="Percent 16 3 6 2" xfId="14397"/>
    <cellStyle name="Percent 16 3 7" xfId="14398"/>
    <cellStyle name="Percent 16 3 8" xfId="14399"/>
    <cellStyle name="Percent 16 3 9" xfId="14400"/>
    <cellStyle name="Percent 16 4" xfId="14401"/>
    <cellStyle name="Percent 16 4 2" xfId="14402"/>
    <cellStyle name="Percent 16 4 2 2" xfId="14403"/>
    <cellStyle name="Percent 16 4 2 2 2" xfId="14404"/>
    <cellStyle name="Percent 16 4 2 2 2 2" xfId="14405"/>
    <cellStyle name="Percent 16 4 2 2 3" xfId="14406"/>
    <cellStyle name="Percent 16 4 2 2 3 2" xfId="14407"/>
    <cellStyle name="Percent 16 4 2 2 4" xfId="14408"/>
    <cellStyle name="Percent 16 4 2 2 5" xfId="14409"/>
    <cellStyle name="Percent 16 4 2 3" xfId="14410"/>
    <cellStyle name="Percent 16 4 2 3 2" xfId="14411"/>
    <cellStyle name="Percent 16 4 2 4" xfId="14412"/>
    <cellStyle name="Percent 16 4 2 4 2" xfId="14413"/>
    <cellStyle name="Percent 16 4 2 5" xfId="14414"/>
    <cellStyle name="Percent 16 4 2 5 2" xfId="14415"/>
    <cellStyle name="Percent 16 4 2 6" xfId="14416"/>
    <cellStyle name="Percent 16 4 2 6 2" xfId="14417"/>
    <cellStyle name="Percent 16 4 2 7" xfId="14418"/>
    <cellStyle name="Percent 16 4 2 8" xfId="14419"/>
    <cellStyle name="Percent 16 4 3" xfId="14420"/>
    <cellStyle name="Percent 16 4 3 2" xfId="14421"/>
    <cellStyle name="Percent 16 4 3 2 2" xfId="14422"/>
    <cellStyle name="Percent 16 4 3 3" xfId="14423"/>
    <cellStyle name="Percent 16 4 3 3 2" xfId="14424"/>
    <cellStyle name="Percent 16 4 3 4" xfId="14425"/>
    <cellStyle name="Percent 16 4 3 5" xfId="14426"/>
    <cellStyle name="Percent 16 4 4" xfId="14427"/>
    <cellStyle name="Percent 16 4 4 2" xfId="14428"/>
    <cellStyle name="Percent 16 4 4 2 2" xfId="14429"/>
    <cellStyle name="Percent 16 4 4 3" xfId="14430"/>
    <cellStyle name="Percent 16 4 4 3 2" xfId="14431"/>
    <cellStyle name="Percent 16 4 4 4" xfId="14432"/>
    <cellStyle name="Percent 16 4 4 5" xfId="14433"/>
    <cellStyle name="Percent 16 4 5" xfId="14434"/>
    <cellStyle name="Percent 16 4 5 2" xfId="14435"/>
    <cellStyle name="Percent 16 4 6" xfId="14436"/>
    <cellStyle name="Percent 16 4 6 2" xfId="14437"/>
    <cellStyle name="Percent 16 4 7" xfId="14438"/>
    <cellStyle name="Percent 16 4 8" xfId="14439"/>
    <cellStyle name="Percent 16 4 9" xfId="14440"/>
    <cellStyle name="Percent 16 5" xfId="14441"/>
    <cellStyle name="Percent 16 5 2" xfId="14442"/>
    <cellStyle name="Percent 16 5 2 2" xfId="14443"/>
    <cellStyle name="Percent 16 5 2 2 2" xfId="14444"/>
    <cellStyle name="Percent 16 5 2 3" xfId="14445"/>
    <cellStyle name="Percent 16 5 2 3 2" xfId="14446"/>
    <cellStyle name="Percent 16 5 2 4" xfId="14447"/>
    <cellStyle name="Percent 16 5 2 5" xfId="14448"/>
    <cellStyle name="Percent 16 5 3" xfId="14449"/>
    <cellStyle name="Percent 16 5 3 2" xfId="14450"/>
    <cellStyle name="Percent 16 5 4" xfId="14451"/>
    <cellStyle name="Percent 16 5 4 2" xfId="14452"/>
    <cellStyle name="Percent 16 5 5" xfId="14453"/>
    <cellStyle name="Percent 16 5 5 2" xfId="14454"/>
    <cellStyle name="Percent 16 5 6" xfId="14455"/>
    <cellStyle name="Percent 16 5 6 2" xfId="14456"/>
    <cellStyle name="Percent 16 5 7" xfId="14457"/>
    <cellStyle name="Percent 16 5 8" xfId="14458"/>
    <cellStyle name="Percent 16 6" xfId="14459"/>
    <cellStyle name="Percent 16 6 2" xfId="14460"/>
    <cellStyle name="Percent 16 6 2 2" xfId="14461"/>
    <cellStyle name="Percent 16 6 3" xfId="14462"/>
    <cellStyle name="Percent 16 6 3 2" xfId="14463"/>
    <cellStyle name="Percent 16 6 4" xfId="14464"/>
    <cellStyle name="Percent 16 6 5" xfId="14465"/>
    <cellStyle name="Percent 16 7" xfId="14466"/>
    <cellStyle name="Percent 16 7 2" xfId="14467"/>
    <cellStyle name="Percent 16 7 2 2" xfId="14468"/>
    <cellStyle name="Percent 16 7 3" xfId="14469"/>
    <cellStyle name="Percent 16 7 3 2" xfId="14470"/>
    <cellStyle name="Percent 16 7 4" xfId="14471"/>
    <cellStyle name="Percent 16 7 5" xfId="14472"/>
    <cellStyle name="Percent 16 8" xfId="14473"/>
    <cellStyle name="Percent 16 8 2" xfId="14474"/>
    <cellStyle name="Percent 16 9" xfId="14475"/>
    <cellStyle name="Percent 16 9 2" xfId="14476"/>
    <cellStyle name="Percent 17" xfId="14477"/>
    <cellStyle name="Percent 17 10" xfId="14478"/>
    <cellStyle name="Percent 17 11" xfId="14479"/>
    <cellStyle name="Percent 17 12" xfId="19290"/>
    <cellStyle name="Percent 17 13" xfId="39770"/>
    <cellStyle name="Percent 17 2" xfId="14480"/>
    <cellStyle name="Percent 17 2 2" xfId="14481"/>
    <cellStyle name="Percent 17 2 2 2" xfId="14482"/>
    <cellStyle name="Percent 17 2 2 2 2" xfId="14483"/>
    <cellStyle name="Percent 17 2 2 2 2 2" xfId="14484"/>
    <cellStyle name="Percent 17 2 2 2 3" xfId="14485"/>
    <cellStyle name="Percent 17 2 2 2 3 2" xfId="14486"/>
    <cellStyle name="Percent 17 2 2 2 4" xfId="14487"/>
    <cellStyle name="Percent 17 2 2 2 5" xfId="14488"/>
    <cellStyle name="Percent 17 2 2 3" xfId="14489"/>
    <cellStyle name="Percent 17 2 2 3 2" xfId="14490"/>
    <cellStyle name="Percent 17 2 2 4" xfId="14491"/>
    <cellStyle name="Percent 17 2 2 4 2" xfId="14492"/>
    <cellStyle name="Percent 17 2 2 5" xfId="14493"/>
    <cellStyle name="Percent 17 2 2 5 2" xfId="14494"/>
    <cellStyle name="Percent 17 2 2 6" xfId="14495"/>
    <cellStyle name="Percent 17 2 2 6 2" xfId="14496"/>
    <cellStyle name="Percent 17 2 2 7" xfId="14497"/>
    <cellStyle name="Percent 17 2 2 8" xfId="14498"/>
    <cellStyle name="Percent 17 2 3" xfId="14499"/>
    <cellStyle name="Percent 17 2 3 2" xfId="14500"/>
    <cellStyle name="Percent 17 2 3 2 2" xfId="14501"/>
    <cellStyle name="Percent 17 2 3 3" xfId="14502"/>
    <cellStyle name="Percent 17 2 3 3 2" xfId="14503"/>
    <cellStyle name="Percent 17 2 3 4" xfId="14504"/>
    <cellStyle name="Percent 17 2 3 5" xfId="14505"/>
    <cellStyle name="Percent 17 2 4" xfId="14506"/>
    <cellStyle name="Percent 17 2 4 2" xfId="14507"/>
    <cellStyle name="Percent 17 2 4 2 2" xfId="14508"/>
    <cellStyle name="Percent 17 2 4 3" xfId="14509"/>
    <cellStyle name="Percent 17 2 4 3 2" xfId="14510"/>
    <cellStyle name="Percent 17 2 4 4" xfId="14511"/>
    <cellStyle name="Percent 17 2 4 5" xfId="14512"/>
    <cellStyle name="Percent 17 2 5" xfId="14513"/>
    <cellStyle name="Percent 17 2 5 2" xfId="14514"/>
    <cellStyle name="Percent 17 2 6" xfId="14515"/>
    <cellStyle name="Percent 17 2 6 2" xfId="14516"/>
    <cellStyle name="Percent 17 2 7" xfId="14517"/>
    <cellStyle name="Percent 17 2 8" xfId="14518"/>
    <cellStyle name="Percent 17 2 9" xfId="14519"/>
    <cellStyle name="Percent 17 3" xfId="14520"/>
    <cellStyle name="Percent 17 3 2" xfId="14521"/>
    <cellStyle name="Percent 17 3 2 2" xfId="14522"/>
    <cellStyle name="Percent 17 3 2 2 2" xfId="14523"/>
    <cellStyle name="Percent 17 3 2 2 2 2" xfId="14524"/>
    <cellStyle name="Percent 17 3 2 2 3" xfId="14525"/>
    <cellStyle name="Percent 17 3 2 2 3 2" xfId="14526"/>
    <cellStyle name="Percent 17 3 2 2 4" xfId="14527"/>
    <cellStyle name="Percent 17 3 2 2 5" xfId="14528"/>
    <cellStyle name="Percent 17 3 2 3" xfId="14529"/>
    <cellStyle name="Percent 17 3 2 3 2" xfId="14530"/>
    <cellStyle name="Percent 17 3 2 4" xfId="14531"/>
    <cellStyle name="Percent 17 3 2 4 2" xfId="14532"/>
    <cellStyle name="Percent 17 3 2 5" xfId="14533"/>
    <cellStyle name="Percent 17 3 2 5 2" xfId="14534"/>
    <cellStyle name="Percent 17 3 2 6" xfId="14535"/>
    <cellStyle name="Percent 17 3 2 6 2" xfId="14536"/>
    <cellStyle name="Percent 17 3 2 7" xfId="14537"/>
    <cellStyle name="Percent 17 3 2 8" xfId="14538"/>
    <cellStyle name="Percent 17 3 3" xfId="14539"/>
    <cellStyle name="Percent 17 3 3 2" xfId="14540"/>
    <cellStyle name="Percent 17 3 3 2 2" xfId="14541"/>
    <cellStyle name="Percent 17 3 3 3" xfId="14542"/>
    <cellStyle name="Percent 17 3 3 3 2" xfId="14543"/>
    <cellStyle name="Percent 17 3 3 4" xfId="14544"/>
    <cellStyle name="Percent 17 3 3 5" xfId="14545"/>
    <cellStyle name="Percent 17 3 4" xfId="14546"/>
    <cellStyle name="Percent 17 3 4 2" xfId="14547"/>
    <cellStyle name="Percent 17 3 4 2 2" xfId="14548"/>
    <cellStyle name="Percent 17 3 4 3" xfId="14549"/>
    <cellStyle name="Percent 17 3 4 3 2" xfId="14550"/>
    <cellStyle name="Percent 17 3 4 4" xfId="14551"/>
    <cellStyle name="Percent 17 3 4 5" xfId="14552"/>
    <cellStyle name="Percent 17 3 5" xfId="14553"/>
    <cellStyle name="Percent 17 3 5 2" xfId="14554"/>
    <cellStyle name="Percent 17 3 6" xfId="14555"/>
    <cellStyle name="Percent 17 3 6 2" xfId="14556"/>
    <cellStyle name="Percent 17 3 7" xfId="14557"/>
    <cellStyle name="Percent 17 3 8" xfId="14558"/>
    <cellStyle name="Percent 17 3 9" xfId="14559"/>
    <cellStyle name="Percent 17 4" xfId="14560"/>
    <cellStyle name="Percent 17 4 2" xfId="14561"/>
    <cellStyle name="Percent 17 4 2 2" xfId="14562"/>
    <cellStyle name="Percent 17 4 2 2 2" xfId="14563"/>
    <cellStyle name="Percent 17 4 2 3" xfId="14564"/>
    <cellStyle name="Percent 17 4 2 3 2" xfId="14565"/>
    <cellStyle name="Percent 17 4 2 4" xfId="14566"/>
    <cellStyle name="Percent 17 4 2 5" xfId="14567"/>
    <cellStyle name="Percent 17 4 3" xfId="14568"/>
    <cellStyle name="Percent 17 4 3 2" xfId="14569"/>
    <cellStyle name="Percent 17 4 4" xfId="14570"/>
    <cellStyle name="Percent 17 4 4 2" xfId="14571"/>
    <cellStyle name="Percent 17 4 5" xfId="14572"/>
    <cellStyle name="Percent 17 4 5 2" xfId="14573"/>
    <cellStyle name="Percent 17 4 6" xfId="14574"/>
    <cellStyle name="Percent 17 4 6 2" xfId="14575"/>
    <cellStyle name="Percent 17 4 7" xfId="14576"/>
    <cellStyle name="Percent 17 4 8" xfId="14577"/>
    <cellStyle name="Percent 17 5" xfId="14578"/>
    <cellStyle name="Percent 17 5 2" xfId="14579"/>
    <cellStyle name="Percent 17 5 2 2" xfId="14580"/>
    <cellStyle name="Percent 17 5 3" xfId="14581"/>
    <cellStyle name="Percent 17 5 3 2" xfId="14582"/>
    <cellStyle name="Percent 17 5 4" xfId="14583"/>
    <cellStyle name="Percent 17 5 5" xfId="14584"/>
    <cellStyle name="Percent 17 6" xfId="14585"/>
    <cellStyle name="Percent 17 6 2" xfId="14586"/>
    <cellStyle name="Percent 17 6 2 2" xfId="14587"/>
    <cellStyle name="Percent 17 6 3" xfId="14588"/>
    <cellStyle name="Percent 17 6 3 2" xfId="14589"/>
    <cellStyle name="Percent 17 6 4" xfId="14590"/>
    <cellStyle name="Percent 17 6 5" xfId="14591"/>
    <cellStyle name="Percent 17 7" xfId="14592"/>
    <cellStyle name="Percent 17 7 2" xfId="14593"/>
    <cellStyle name="Percent 17 8" xfId="14594"/>
    <cellStyle name="Percent 17 8 2" xfId="14595"/>
    <cellStyle name="Percent 17 9" xfId="14596"/>
    <cellStyle name="Percent 18" xfId="14597"/>
    <cellStyle name="Percent 18 10" xfId="14598"/>
    <cellStyle name="Percent 18 11" xfId="14599"/>
    <cellStyle name="Percent 18 12" xfId="19291"/>
    <cellStyle name="Percent 18 13" xfId="39771"/>
    <cellStyle name="Percent 18 14" xfId="39772"/>
    <cellStyle name="Percent 18 2" xfId="14600"/>
    <cellStyle name="Percent 18 2 2" xfId="14601"/>
    <cellStyle name="Percent 18 2 2 2" xfId="14602"/>
    <cellStyle name="Percent 18 2 2 2 2" xfId="14603"/>
    <cellStyle name="Percent 18 2 2 2 2 2" xfId="14604"/>
    <cellStyle name="Percent 18 2 2 2 3" xfId="14605"/>
    <cellStyle name="Percent 18 2 2 2 3 2" xfId="14606"/>
    <cellStyle name="Percent 18 2 2 2 4" xfId="14607"/>
    <cellStyle name="Percent 18 2 2 2 5" xfId="14608"/>
    <cellStyle name="Percent 18 2 2 3" xfId="14609"/>
    <cellStyle name="Percent 18 2 2 3 2" xfId="14610"/>
    <cellStyle name="Percent 18 2 2 4" xfId="14611"/>
    <cellStyle name="Percent 18 2 2 4 2" xfId="14612"/>
    <cellStyle name="Percent 18 2 2 5" xfId="14613"/>
    <cellStyle name="Percent 18 2 2 5 2" xfId="14614"/>
    <cellStyle name="Percent 18 2 2 6" xfId="14615"/>
    <cellStyle name="Percent 18 2 2 6 2" xfId="14616"/>
    <cellStyle name="Percent 18 2 2 7" xfId="14617"/>
    <cellStyle name="Percent 18 2 2 8" xfId="14618"/>
    <cellStyle name="Percent 18 2 3" xfId="14619"/>
    <cellStyle name="Percent 18 2 3 2" xfId="14620"/>
    <cellStyle name="Percent 18 2 3 2 2" xfId="14621"/>
    <cellStyle name="Percent 18 2 3 3" xfId="14622"/>
    <cellStyle name="Percent 18 2 3 3 2" xfId="14623"/>
    <cellStyle name="Percent 18 2 3 4" xfId="14624"/>
    <cellStyle name="Percent 18 2 3 5" xfId="14625"/>
    <cellStyle name="Percent 18 2 4" xfId="14626"/>
    <cellStyle name="Percent 18 2 4 2" xfId="14627"/>
    <cellStyle name="Percent 18 2 4 2 2" xfId="14628"/>
    <cellStyle name="Percent 18 2 4 3" xfId="14629"/>
    <cellStyle name="Percent 18 2 4 3 2" xfId="14630"/>
    <cellStyle name="Percent 18 2 4 4" xfId="14631"/>
    <cellStyle name="Percent 18 2 4 5" xfId="14632"/>
    <cellStyle name="Percent 18 2 5" xfId="14633"/>
    <cellStyle name="Percent 18 2 5 2" xfId="14634"/>
    <cellStyle name="Percent 18 2 6" xfId="14635"/>
    <cellStyle name="Percent 18 2 6 2" xfId="14636"/>
    <cellStyle name="Percent 18 2 7" xfId="14637"/>
    <cellStyle name="Percent 18 2 8" xfId="14638"/>
    <cellStyle name="Percent 18 2 9" xfId="14639"/>
    <cellStyle name="Percent 18 3" xfId="14640"/>
    <cellStyle name="Percent 18 3 2" xfId="14641"/>
    <cellStyle name="Percent 18 3 2 2" xfId="14642"/>
    <cellStyle name="Percent 18 3 2 2 2" xfId="14643"/>
    <cellStyle name="Percent 18 3 2 2 2 2" xfId="14644"/>
    <cellStyle name="Percent 18 3 2 2 3" xfId="14645"/>
    <cellStyle name="Percent 18 3 2 2 3 2" xfId="14646"/>
    <cellStyle name="Percent 18 3 2 2 4" xfId="14647"/>
    <cellStyle name="Percent 18 3 2 2 5" xfId="14648"/>
    <cellStyle name="Percent 18 3 2 3" xfId="14649"/>
    <cellStyle name="Percent 18 3 2 3 2" xfId="14650"/>
    <cellStyle name="Percent 18 3 2 4" xfId="14651"/>
    <cellStyle name="Percent 18 3 2 4 2" xfId="14652"/>
    <cellStyle name="Percent 18 3 2 5" xfId="14653"/>
    <cellStyle name="Percent 18 3 2 5 2" xfId="14654"/>
    <cellStyle name="Percent 18 3 2 6" xfId="14655"/>
    <cellStyle name="Percent 18 3 2 6 2" xfId="14656"/>
    <cellStyle name="Percent 18 3 2 7" xfId="14657"/>
    <cellStyle name="Percent 18 3 2 8" xfId="14658"/>
    <cellStyle name="Percent 18 3 3" xfId="14659"/>
    <cellStyle name="Percent 18 3 3 2" xfId="14660"/>
    <cellStyle name="Percent 18 3 3 2 2" xfId="14661"/>
    <cellStyle name="Percent 18 3 3 3" xfId="14662"/>
    <cellStyle name="Percent 18 3 3 3 2" xfId="14663"/>
    <cellStyle name="Percent 18 3 3 4" xfId="14664"/>
    <cellStyle name="Percent 18 3 3 5" xfId="14665"/>
    <cellStyle name="Percent 18 3 4" xfId="14666"/>
    <cellStyle name="Percent 18 3 4 2" xfId="14667"/>
    <cellStyle name="Percent 18 3 4 2 2" xfId="14668"/>
    <cellStyle name="Percent 18 3 4 3" xfId="14669"/>
    <cellStyle name="Percent 18 3 4 3 2" xfId="14670"/>
    <cellStyle name="Percent 18 3 4 4" xfId="14671"/>
    <cellStyle name="Percent 18 3 4 5" xfId="14672"/>
    <cellStyle name="Percent 18 3 5" xfId="14673"/>
    <cellStyle name="Percent 18 3 5 2" xfId="14674"/>
    <cellStyle name="Percent 18 3 6" xfId="14675"/>
    <cellStyle name="Percent 18 3 6 2" xfId="14676"/>
    <cellStyle name="Percent 18 3 7" xfId="14677"/>
    <cellStyle name="Percent 18 3 8" xfId="14678"/>
    <cellStyle name="Percent 18 3 9" xfId="14679"/>
    <cellStyle name="Percent 18 4" xfId="14680"/>
    <cellStyle name="Percent 18 4 2" xfId="14681"/>
    <cellStyle name="Percent 18 4 2 2" xfId="14682"/>
    <cellStyle name="Percent 18 4 2 2 2" xfId="14683"/>
    <cellStyle name="Percent 18 4 2 3" xfId="14684"/>
    <cellStyle name="Percent 18 4 2 3 2" xfId="14685"/>
    <cellStyle name="Percent 18 4 2 4" xfId="14686"/>
    <cellStyle name="Percent 18 4 2 5" xfId="14687"/>
    <cellStyle name="Percent 18 4 3" xfId="14688"/>
    <cellStyle name="Percent 18 4 3 2" xfId="14689"/>
    <cellStyle name="Percent 18 4 4" xfId="14690"/>
    <cellStyle name="Percent 18 4 4 2" xfId="14691"/>
    <cellStyle name="Percent 18 4 5" xfId="14692"/>
    <cellStyle name="Percent 18 4 5 2" xfId="14693"/>
    <cellStyle name="Percent 18 4 6" xfId="14694"/>
    <cellStyle name="Percent 18 4 6 2" xfId="14695"/>
    <cellStyle name="Percent 18 4 7" xfId="14696"/>
    <cellStyle name="Percent 18 4 8" xfId="14697"/>
    <cellStyle name="Percent 18 5" xfId="14698"/>
    <cellStyle name="Percent 18 5 2" xfId="14699"/>
    <cellStyle name="Percent 18 5 2 2" xfId="14700"/>
    <cellStyle name="Percent 18 5 3" xfId="14701"/>
    <cellStyle name="Percent 18 5 3 2" xfId="14702"/>
    <cellStyle name="Percent 18 5 4" xfId="14703"/>
    <cellStyle name="Percent 18 5 5" xfId="14704"/>
    <cellStyle name="Percent 18 6" xfId="14705"/>
    <cellStyle name="Percent 18 6 2" xfId="14706"/>
    <cellStyle name="Percent 18 6 2 2" xfId="14707"/>
    <cellStyle name="Percent 18 6 3" xfId="14708"/>
    <cellStyle name="Percent 18 6 3 2" xfId="14709"/>
    <cellStyle name="Percent 18 6 4" xfId="14710"/>
    <cellStyle name="Percent 18 6 5" xfId="14711"/>
    <cellStyle name="Percent 18 7" xfId="14712"/>
    <cellStyle name="Percent 18 7 2" xfId="14713"/>
    <cellStyle name="Percent 18 8" xfId="14714"/>
    <cellStyle name="Percent 18 8 2" xfId="14715"/>
    <cellStyle name="Percent 18 9" xfId="14716"/>
    <cellStyle name="Percent 19" xfId="14717"/>
    <cellStyle name="Percent 19 2" xfId="19292"/>
    <cellStyle name="Percent 19 3" xfId="39773"/>
    <cellStyle name="Percent 19 4" xfId="39774"/>
    <cellStyle name="Percent 2" xfId="84"/>
    <cellStyle name="Percent 2 2" xfId="85"/>
    <cellStyle name="Percent 2 2 2" xfId="14718"/>
    <cellStyle name="Percent 2 2 2 2" xfId="39775"/>
    <cellStyle name="Percent 2 2 2 3" xfId="39776"/>
    <cellStyle name="Percent 2 2 3" xfId="16672"/>
    <cellStyle name="Percent 2 2 3 2" xfId="39777"/>
    <cellStyle name="Percent 2 2 4" xfId="19293"/>
    <cellStyle name="Percent 2 3" xfId="14719"/>
    <cellStyle name="Percent 2 3 2" xfId="14720"/>
    <cellStyle name="Percent 2 3 3" xfId="39778"/>
    <cellStyle name="Percent 2 3 4" xfId="39779"/>
    <cellStyle name="Percent 2 4" xfId="14721"/>
    <cellStyle name="Percent 2 4 2" xfId="39780"/>
    <cellStyle name="Percent 2 4 3" xfId="39781"/>
    <cellStyle name="Percent 2 5" xfId="14722"/>
    <cellStyle name="Percent 2 6" xfId="14723"/>
    <cellStyle name="Percent 2 7" xfId="14724"/>
    <cellStyle name="Percent 2 7 2" xfId="39782"/>
    <cellStyle name="Percent 2 8" xfId="39783"/>
    <cellStyle name="Percent 20" xfId="14725"/>
    <cellStyle name="Percent 20 2" xfId="19294"/>
    <cellStyle name="Percent 20 3" xfId="39784"/>
    <cellStyle name="Percent 20 4" xfId="39785"/>
    <cellStyle name="Percent 21" xfId="16675"/>
    <cellStyle name="Percent 21 2" xfId="19042"/>
    <cellStyle name="Percent 22" xfId="19043"/>
    <cellStyle name="Percent 22 2" xfId="39786"/>
    <cellStyle name="Percent 23" xfId="19044"/>
    <cellStyle name="Percent 23 2" xfId="39787"/>
    <cellStyle name="Percent 24" xfId="19045"/>
    <cellStyle name="Percent 24 2" xfId="39788"/>
    <cellStyle name="Percent 25" xfId="19046"/>
    <cellStyle name="Percent 25 2" xfId="39789"/>
    <cellStyle name="Percent 26" xfId="19047"/>
    <cellStyle name="Percent 26 2" xfId="19048"/>
    <cellStyle name="Percent 26 2 2" xfId="19049"/>
    <cellStyle name="Percent 26 2 2 2" xfId="19050"/>
    <cellStyle name="Percent 26 2 2 2 2" xfId="19051"/>
    <cellStyle name="Percent 26 2 2 2 2 2" xfId="39790"/>
    <cellStyle name="Percent 26 2 2 2 2 2 2" xfId="39791"/>
    <cellStyle name="Percent 26 2 2 2 2 2 2 2" xfId="39792"/>
    <cellStyle name="Percent 26 2 2 2 2 2 3" xfId="39793"/>
    <cellStyle name="Percent 26 2 2 2 2 3" xfId="39794"/>
    <cellStyle name="Percent 26 2 2 2 2 3 2" xfId="39795"/>
    <cellStyle name="Percent 26 2 2 2 2 4" xfId="39796"/>
    <cellStyle name="Percent 26 2 2 2 3" xfId="39797"/>
    <cellStyle name="Percent 26 2 2 2 3 2" xfId="39798"/>
    <cellStyle name="Percent 26 2 2 2 3 2 2" xfId="39799"/>
    <cellStyle name="Percent 26 2 2 2 3 3" xfId="39800"/>
    <cellStyle name="Percent 26 2 2 2 4" xfId="39801"/>
    <cellStyle name="Percent 26 2 2 2 4 2" xfId="39802"/>
    <cellStyle name="Percent 26 2 2 2 5" xfId="39803"/>
    <cellStyle name="Percent 26 2 2 3" xfId="19052"/>
    <cellStyle name="Percent 26 2 2 3 2" xfId="39804"/>
    <cellStyle name="Percent 26 2 2 3 2 2" xfId="39805"/>
    <cellStyle name="Percent 26 2 2 3 2 2 2" xfId="39806"/>
    <cellStyle name="Percent 26 2 2 3 2 3" xfId="39807"/>
    <cellStyle name="Percent 26 2 2 3 3" xfId="39808"/>
    <cellStyle name="Percent 26 2 2 3 3 2" xfId="39809"/>
    <cellStyle name="Percent 26 2 2 3 4" xfId="39810"/>
    <cellStyle name="Percent 26 2 2 4" xfId="39811"/>
    <cellStyle name="Percent 26 2 2 4 2" xfId="39812"/>
    <cellStyle name="Percent 26 2 2 4 2 2" xfId="39813"/>
    <cellStyle name="Percent 26 2 2 4 3" xfId="39814"/>
    <cellStyle name="Percent 26 2 2 5" xfId="39815"/>
    <cellStyle name="Percent 26 2 2 5 2" xfId="39816"/>
    <cellStyle name="Percent 26 2 2 6" xfId="39817"/>
    <cellStyle name="Percent 26 2 3" xfId="19053"/>
    <cellStyle name="Percent 26 2 3 2" xfId="19054"/>
    <cellStyle name="Percent 26 2 3 2 2" xfId="39818"/>
    <cellStyle name="Percent 26 2 3 2 2 2" xfId="39819"/>
    <cellStyle name="Percent 26 2 3 2 2 2 2" xfId="39820"/>
    <cellStyle name="Percent 26 2 3 2 2 3" xfId="39821"/>
    <cellStyle name="Percent 26 2 3 2 3" xfId="39822"/>
    <cellStyle name="Percent 26 2 3 2 3 2" xfId="39823"/>
    <cellStyle name="Percent 26 2 3 2 4" xfId="39824"/>
    <cellStyle name="Percent 26 2 3 3" xfId="39825"/>
    <cellStyle name="Percent 26 2 3 3 2" xfId="39826"/>
    <cellStyle name="Percent 26 2 3 3 2 2" xfId="39827"/>
    <cellStyle name="Percent 26 2 3 3 3" xfId="39828"/>
    <cellStyle name="Percent 26 2 3 4" xfId="39829"/>
    <cellStyle name="Percent 26 2 3 4 2" xfId="39830"/>
    <cellStyle name="Percent 26 2 3 5" xfId="39831"/>
    <cellStyle name="Percent 26 2 4" xfId="19055"/>
    <cellStyle name="Percent 26 2 4 2" xfId="39832"/>
    <cellStyle name="Percent 26 2 4 2 2" xfId="39833"/>
    <cellStyle name="Percent 26 2 4 2 2 2" xfId="39834"/>
    <cellStyle name="Percent 26 2 4 2 3" xfId="39835"/>
    <cellStyle name="Percent 26 2 4 3" xfId="39836"/>
    <cellStyle name="Percent 26 2 4 3 2" xfId="39837"/>
    <cellStyle name="Percent 26 2 4 4" xfId="39838"/>
    <cellStyle name="Percent 26 2 5" xfId="19056"/>
    <cellStyle name="Percent 26 2 5 2" xfId="39839"/>
    <cellStyle name="Percent 26 2 5 2 2" xfId="39840"/>
    <cellStyle name="Percent 26 2 5 3" xfId="39841"/>
    <cellStyle name="Percent 26 2 6" xfId="19295"/>
    <cellStyle name="Percent 26 2 6 2" xfId="39842"/>
    <cellStyle name="Percent 26 2 7" xfId="39843"/>
    <cellStyle name="Percent 26 3" xfId="19057"/>
    <cellStyle name="Percent 27" xfId="19058"/>
    <cellStyle name="Percent 27 2" xfId="19059"/>
    <cellStyle name="Percent 27 2 2" xfId="19060"/>
    <cellStyle name="Percent 27 2 2 2" xfId="19061"/>
    <cellStyle name="Percent 27 2 2 2 2" xfId="39844"/>
    <cellStyle name="Percent 27 2 2 2 2 2" xfId="39845"/>
    <cellStyle name="Percent 27 2 2 2 2 2 2" xfId="39846"/>
    <cellStyle name="Percent 27 2 2 2 2 3" xfId="39847"/>
    <cellStyle name="Percent 27 2 2 2 3" xfId="39848"/>
    <cellStyle name="Percent 27 2 2 2 3 2" xfId="39849"/>
    <cellStyle name="Percent 27 2 2 2 4" xfId="39850"/>
    <cellStyle name="Percent 27 2 2 3" xfId="39851"/>
    <cellStyle name="Percent 27 2 2 3 2" xfId="39852"/>
    <cellStyle name="Percent 27 2 2 3 2 2" xfId="39853"/>
    <cellStyle name="Percent 27 2 2 3 3" xfId="39854"/>
    <cellStyle name="Percent 27 2 2 4" xfId="39855"/>
    <cellStyle name="Percent 27 2 2 4 2" xfId="39856"/>
    <cellStyle name="Percent 27 2 2 5" xfId="39857"/>
    <cellStyle name="Percent 27 2 3" xfId="19062"/>
    <cellStyle name="Percent 27 2 3 2" xfId="39858"/>
    <cellStyle name="Percent 27 2 3 2 2" xfId="39859"/>
    <cellStyle name="Percent 27 2 3 2 2 2" xfId="39860"/>
    <cellStyle name="Percent 27 2 3 2 3" xfId="39861"/>
    <cellStyle name="Percent 27 2 3 3" xfId="39862"/>
    <cellStyle name="Percent 27 2 3 3 2" xfId="39863"/>
    <cellStyle name="Percent 27 2 3 4" xfId="39864"/>
    <cellStyle name="Percent 27 2 4" xfId="39865"/>
    <cellStyle name="Percent 27 2 4 2" xfId="39866"/>
    <cellStyle name="Percent 27 2 4 2 2" xfId="39867"/>
    <cellStyle name="Percent 27 2 4 3" xfId="39868"/>
    <cellStyle name="Percent 27 2 5" xfId="39869"/>
    <cellStyle name="Percent 27 2 5 2" xfId="39870"/>
    <cellStyle name="Percent 27 2 6" xfId="39871"/>
    <cellStyle name="Percent 27 3" xfId="19063"/>
    <cellStyle name="Percent 27 3 2" xfId="19064"/>
    <cellStyle name="Percent 27 3 2 2" xfId="39872"/>
    <cellStyle name="Percent 27 3 2 2 2" xfId="39873"/>
    <cellStyle name="Percent 27 3 2 2 2 2" xfId="39874"/>
    <cellStyle name="Percent 27 3 2 2 3" xfId="39875"/>
    <cellStyle name="Percent 27 3 2 3" xfId="39876"/>
    <cellStyle name="Percent 27 3 2 3 2" xfId="39877"/>
    <cellStyle name="Percent 27 3 2 4" xfId="39878"/>
    <cellStyle name="Percent 27 3 3" xfId="39879"/>
    <cellStyle name="Percent 27 3 3 2" xfId="39880"/>
    <cellStyle name="Percent 27 3 3 2 2" xfId="39881"/>
    <cellStyle name="Percent 27 3 3 3" xfId="39882"/>
    <cellStyle name="Percent 27 3 4" xfId="39883"/>
    <cellStyle name="Percent 27 3 4 2" xfId="39884"/>
    <cellStyle name="Percent 27 3 5" xfId="39885"/>
    <cellStyle name="Percent 27 4" xfId="19065"/>
    <cellStyle name="Percent 27 4 2" xfId="39886"/>
    <cellStyle name="Percent 27 4 2 2" xfId="39887"/>
    <cellStyle name="Percent 27 4 2 2 2" xfId="39888"/>
    <cellStyle name="Percent 27 4 2 3" xfId="39889"/>
    <cellStyle name="Percent 27 4 3" xfId="39890"/>
    <cellStyle name="Percent 27 4 3 2" xfId="39891"/>
    <cellStyle name="Percent 27 4 4" xfId="39892"/>
    <cellStyle name="Percent 27 5" xfId="19066"/>
    <cellStyle name="Percent 27 5 2" xfId="39893"/>
    <cellStyle name="Percent 27 5 2 2" xfId="39894"/>
    <cellStyle name="Percent 27 5 3" xfId="39895"/>
    <cellStyle name="Percent 27 6" xfId="19296"/>
    <cellStyle name="Percent 27 6 2" xfId="39896"/>
    <cellStyle name="Percent 27 7" xfId="39897"/>
    <cellStyle name="Percent 27 8" xfId="39898"/>
    <cellStyle name="Percent 28" xfId="19067"/>
    <cellStyle name="Percent 28 2" xfId="19068"/>
    <cellStyle name="Percent 29" xfId="19069"/>
    <cellStyle name="Percent 29 2" xfId="19070"/>
    <cellStyle name="Percent 3" xfId="86"/>
    <cellStyle name="Percent 3 10" xfId="14726"/>
    <cellStyle name="Percent 3 11" xfId="14727"/>
    <cellStyle name="Percent 3 12" xfId="14728"/>
    <cellStyle name="Percent 3 13" xfId="14729"/>
    <cellStyle name="Percent 3 14" xfId="14730"/>
    <cellStyle name="Percent 3 15" xfId="14731"/>
    <cellStyle name="Percent 3 15 2" xfId="39899"/>
    <cellStyle name="Percent 3 16" xfId="39900"/>
    <cellStyle name="Percent 3 16 2" xfId="39901"/>
    <cellStyle name="Percent 3 2" xfId="14732"/>
    <cellStyle name="Percent 3 2 10" xfId="14733"/>
    <cellStyle name="Percent 3 2 11" xfId="14734"/>
    <cellStyle name="Percent 3 2 12" xfId="14735"/>
    <cellStyle name="Percent 3 2 13" xfId="19297"/>
    <cellStyle name="Percent 3 2 14" xfId="39902"/>
    <cellStyle name="Percent 3 2 15" xfId="39903"/>
    <cellStyle name="Percent 3 2 2" xfId="14736"/>
    <cellStyle name="Percent 3 2 2 10" xfId="14737"/>
    <cellStyle name="Percent 3 2 2 2" xfId="14738"/>
    <cellStyle name="Percent 3 2 2 2 2" xfId="14739"/>
    <cellStyle name="Percent 3 2 2 2 2 2" xfId="14740"/>
    <cellStyle name="Percent 3 2 2 2 2 2 2" xfId="14741"/>
    <cellStyle name="Percent 3 2 2 2 2 3" xfId="14742"/>
    <cellStyle name="Percent 3 2 2 2 2 3 2" xfId="14743"/>
    <cellStyle name="Percent 3 2 2 2 2 4" xfId="14744"/>
    <cellStyle name="Percent 3 2 2 2 2 5" xfId="14745"/>
    <cellStyle name="Percent 3 2 2 2 3" xfId="14746"/>
    <cellStyle name="Percent 3 2 2 2 3 2" xfId="14747"/>
    <cellStyle name="Percent 3 2 2 2 4" xfId="14748"/>
    <cellStyle name="Percent 3 2 2 2 4 2" xfId="14749"/>
    <cellStyle name="Percent 3 2 2 2 5" xfId="14750"/>
    <cellStyle name="Percent 3 2 2 2 5 2" xfId="14751"/>
    <cellStyle name="Percent 3 2 2 2 6" xfId="14752"/>
    <cellStyle name="Percent 3 2 2 2 6 2" xfId="14753"/>
    <cellStyle name="Percent 3 2 2 2 7" xfId="14754"/>
    <cellStyle name="Percent 3 2 2 2 8" xfId="14755"/>
    <cellStyle name="Percent 3 2 2 3" xfId="14756"/>
    <cellStyle name="Percent 3 2 2 3 2" xfId="14757"/>
    <cellStyle name="Percent 3 2 2 3 2 2" xfId="14758"/>
    <cellStyle name="Percent 3 2 2 3 3" xfId="14759"/>
    <cellStyle name="Percent 3 2 2 3 3 2" xfId="14760"/>
    <cellStyle name="Percent 3 2 2 3 4" xfId="14761"/>
    <cellStyle name="Percent 3 2 2 3 5" xfId="14762"/>
    <cellStyle name="Percent 3 2 2 4" xfId="14763"/>
    <cellStyle name="Percent 3 2 2 4 2" xfId="14764"/>
    <cellStyle name="Percent 3 2 2 4 2 2" xfId="14765"/>
    <cellStyle name="Percent 3 2 2 4 3" xfId="14766"/>
    <cellStyle name="Percent 3 2 2 4 3 2" xfId="14767"/>
    <cellStyle name="Percent 3 2 2 4 4" xfId="14768"/>
    <cellStyle name="Percent 3 2 2 4 5" xfId="14769"/>
    <cellStyle name="Percent 3 2 2 5" xfId="14770"/>
    <cellStyle name="Percent 3 2 2 5 2" xfId="14771"/>
    <cellStyle name="Percent 3 2 2 6" xfId="14772"/>
    <cellStyle name="Percent 3 2 2 6 2" xfId="14773"/>
    <cellStyle name="Percent 3 2 2 7" xfId="14774"/>
    <cellStyle name="Percent 3 2 2 8" xfId="14775"/>
    <cellStyle name="Percent 3 2 2 9" xfId="14776"/>
    <cellStyle name="Percent 3 2 3" xfId="14777"/>
    <cellStyle name="Percent 3 2 3 2" xfId="14778"/>
    <cellStyle name="Percent 3 2 3 2 2" xfId="14779"/>
    <cellStyle name="Percent 3 2 3 2 2 2" xfId="14780"/>
    <cellStyle name="Percent 3 2 3 2 2 2 2" xfId="14781"/>
    <cellStyle name="Percent 3 2 3 2 2 3" xfId="14782"/>
    <cellStyle name="Percent 3 2 3 2 2 3 2" xfId="14783"/>
    <cellStyle name="Percent 3 2 3 2 2 4" xfId="14784"/>
    <cellStyle name="Percent 3 2 3 2 2 5" xfId="14785"/>
    <cellStyle name="Percent 3 2 3 2 3" xfId="14786"/>
    <cellStyle name="Percent 3 2 3 2 3 2" xfId="14787"/>
    <cellStyle name="Percent 3 2 3 2 4" xfId="14788"/>
    <cellStyle name="Percent 3 2 3 2 4 2" xfId="14789"/>
    <cellStyle name="Percent 3 2 3 2 5" xfId="14790"/>
    <cellStyle name="Percent 3 2 3 2 5 2" xfId="14791"/>
    <cellStyle name="Percent 3 2 3 2 6" xfId="14792"/>
    <cellStyle name="Percent 3 2 3 2 6 2" xfId="14793"/>
    <cellStyle name="Percent 3 2 3 2 7" xfId="14794"/>
    <cellStyle name="Percent 3 2 3 2 8" xfId="14795"/>
    <cellStyle name="Percent 3 2 3 3" xfId="14796"/>
    <cellStyle name="Percent 3 2 3 3 2" xfId="14797"/>
    <cellStyle name="Percent 3 2 3 3 2 2" xfId="14798"/>
    <cellStyle name="Percent 3 2 3 3 3" xfId="14799"/>
    <cellStyle name="Percent 3 2 3 3 3 2" xfId="14800"/>
    <cellStyle name="Percent 3 2 3 3 4" xfId="14801"/>
    <cellStyle name="Percent 3 2 3 3 5" xfId="14802"/>
    <cellStyle name="Percent 3 2 3 4" xfId="14803"/>
    <cellStyle name="Percent 3 2 3 4 2" xfId="14804"/>
    <cellStyle name="Percent 3 2 3 4 2 2" xfId="14805"/>
    <cellStyle name="Percent 3 2 3 4 3" xfId="14806"/>
    <cellStyle name="Percent 3 2 3 4 3 2" xfId="14807"/>
    <cellStyle name="Percent 3 2 3 4 4" xfId="14808"/>
    <cellStyle name="Percent 3 2 3 4 5" xfId="14809"/>
    <cellStyle name="Percent 3 2 3 5" xfId="14810"/>
    <cellStyle name="Percent 3 2 3 5 2" xfId="14811"/>
    <cellStyle name="Percent 3 2 3 6" xfId="14812"/>
    <cellStyle name="Percent 3 2 3 6 2" xfId="14813"/>
    <cellStyle name="Percent 3 2 3 7" xfId="14814"/>
    <cellStyle name="Percent 3 2 3 8" xfId="14815"/>
    <cellStyle name="Percent 3 2 3 9" xfId="14816"/>
    <cellStyle name="Percent 3 2 4" xfId="14817"/>
    <cellStyle name="Percent 3 2 4 2" xfId="14818"/>
    <cellStyle name="Percent 3 2 4 2 2" xfId="14819"/>
    <cellStyle name="Percent 3 2 4 2 2 2" xfId="14820"/>
    <cellStyle name="Percent 3 2 4 2 3" xfId="14821"/>
    <cellStyle name="Percent 3 2 4 2 3 2" xfId="14822"/>
    <cellStyle name="Percent 3 2 4 2 4" xfId="14823"/>
    <cellStyle name="Percent 3 2 4 2 5" xfId="14824"/>
    <cellStyle name="Percent 3 2 4 3" xfId="14825"/>
    <cellStyle name="Percent 3 2 4 3 2" xfId="14826"/>
    <cellStyle name="Percent 3 2 4 4" xfId="14827"/>
    <cellStyle name="Percent 3 2 4 4 2" xfId="14828"/>
    <cellStyle name="Percent 3 2 4 5" xfId="14829"/>
    <cellStyle name="Percent 3 2 4 5 2" xfId="14830"/>
    <cellStyle name="Percent 3 2 4 6" xfId="14831"/>
    <cellStyle name="Percent 3 2 4 6 2" xfId="14832"/>
    <cellStyle name="Percent 3 2 4 7" xfId="14833"/>
    <cellStyle name="Percent 3 2 4 8" xfId="14834"/>
    <cellStyle name="Percent 3 2 5" xfId="14835"/>
    <cellStyle name="Percent 3 2 5 2" xfId="14836"/>
    <cellStyle name="Percent 3 2 5 2 2" xfId="14837"/>
    <cellStyle name="Percent 3 2 5 3" xfId="14838"/>
    <cellStyle name="Percent 3 2 5 3 2" xfId="14839"/>
    <cellStyle name="Percent 3 2 5 4" xfId="14840"/>
    <cellStyle name="Percent 3 2 5 5" xfId="14841"/>
    <cellStyle name="Percent 3 2 6" xfId="14842"/>
    <cellStyle name="Percent 3 2 6 2" xfId="14843"/>
    <cellStyle name="Percent 3 2 6 2 2" xfId="14844"/>
    <cellStyle name="Percent 3 2 6 3" xfId="14845"/>
    <cellStyle name="Percent 3 2 6 3 2" xfId="14846"/>
    <cellStyle name="Percent 3 2 6 4" xfId="14847"/>
    <cellStyle name="Percent 3 2 6 5" xfId="14848"/>
    <cellStyle name="Percent 3 2 7" xfId="14849"/>
    <cellStyle name="Percent 3 2 7 2" xfId="14850"/>
    <cellStyle name="Percent 3 2 8" xfId="14851"/>
    <cellStyle name="Percent 3 2 8 2" xfId="14852"/>
    <cellStyle name="Percent 3 2 9" xfId="14853"/>
    <cellStyle name="Percent 3 3" xfId="14854"/>
    <cellStyle name="Percent 3 3 10" xfId="19298"/>
    <cellStyle name="Percent 3 3 11" xfId="39904"/>
    <cellStyle name="Percent 3 3 2" xfId="14855"/>
    <cellStyle name="Percent 3 3 2 2" xfId="14856"/>
    <cellStyle name="Percent 3 3 2 2 2" xfId="14857"/>
    <cellStyle name="Percent 3 3 2 2 2 2" xfId="14858"/>
    <cellStyle name="Percent 3 3 2 2 3" xfId="14859"/>
    <cellStyle name="Percent 3 3 2 2 3 2" xfId="14860"/>
    <cellStyle name="Percent 3 3 2 2 4" xfId="14861"/>
    <cellStyle name="Percent 3 3 2 2 5" xfId="14862"/>
    <cellStyle name="Percent 3 3 2 3" xfId="14863"/>
    <cellStyle name="Percent 3 3 2 3 2" xfId="14864"/>
    <cellStyle name="Percent 3 3 2 4" xfId="14865"/>
    <cellStyle name="Percent 3 3 2 4 2" xfId="14866"/>
    <cellStyle name="Percent 3 3 2 5" xfId="14867"/>
    <cellStyle name="Percent 3 3 2 5 2" xfId="14868"/>
    <cellStyle name="Percent 3 3 2 6" xfId="14869"/>
    <cellStyle name="Percent 3 3 2 6 2" xfId="14870"/>
    <cellStyle name="Percent 3 3 2 7" xfId="14871"/>
    <cellStyle name="Percent 3 3 2 8" xfId="14872"/>
    <cellStyle name="Percent 3 3 3" xfId="14873"/>
    <cellStyle name="Percent 3 3 3 2" xfId="14874"/>
    <cellStyle name="Percent 3 3 3 2 2" xfId="14875"/>
    <cellStyle name="Percent 3 3 3 3" xfId="14876"/>
    <cellStyle name="Percent 3 3 3 3 2" xfId="14877"/>
    <cellStyle name="Percent 3 3 3 4" xfId="14878"/>
    <cellStyle name="Percent 3 3 3 5" xfId="14879"/>
    <cellStyle name="Percent 3 3 4" xfId="14880"/>
    <cellStyle name="Percent 3 3 4 2" xfId="14881"/>
    <cellStyle name="Percent 3 3 4 2 2" xfId="14882"/>
    <cellStyle name="Percent 3 3 4 3" xfId="14883"/>
    <cellStyle name="Percent 3 3 4 3 2" xfId="14884"/>
    <cellStyle name="Percent 3 3 4 4" xfId="14885"/>
    <cellStyle name="Percent 3 3 4 5" xfId="14886"/>
    <cellStyle name="Percent 3 3 5" xfId="14887"/>
    <cellStyle name="Percent 3 3 5 2" xfId="14888"/>
    <cellStyle name="Percent 3 3 6" xfId="14889"/>
    <cellStyle name="Percent 3 3 6 2" xfId="14890"/>
    <cellStyle name="Percent 3 3 7" xfId="14891"/>
    <cellStyle name="Percent 3 3 8" xfId="14892"/>
    <cellStyle name="Percent 3 3 9" xfId="14893"/>
    <cellStyle name="Percent 3 4" xfId="14894"/>
    <cellStyle name="Percent 3 4 2" xfId="14895"/>
    <cellStyle name="Percent 3 4 2 2" xfId="14896"/>
    <cellStyle name="Percent 3 4 2 2 2" xfId="14897"/>
    <cellStyle name="Percent 3 4 2 2 2 2" xfId="14898"/>
    <cellStyle name="Percent 3 4 2 2 3" xfId="14899"/>
    <cellStyle name="Percent 3 4 2 2 3 2" xfId="14900"/>
    <cellStyle name="Percent 3 4 2 2 4" xfId="14901"/>
    <cellStyle name="Percent 3 4 2 2 5" xfId="14902"/>
    <cellStyle name="Percent 3 4 2 3" xfId="14903"/>
    <cellStyle name="Percent 3 4 2 3 2" xfId="14904"/>
    <cellStyle name="Percent 3 4 2 4" xfId="14905"/>
    <cellStyle name="Percent 3 4 2 4 2" xfId="14906"/>
    <cellStyle name="Percent 3 4 2 5" xfId="14907"/>
    <cellStyle name="Percent 3 4 2 5 2" xfId="14908"/>
    <cellStyle name="Percent 3 4 2 6" xfId="14909"/>
    <cellStyle name="Percent 3 4 2 6 2" xfId="14910"/>
    <cellStyle name="Percent 3 4 2 7" xfId="14911"/>
    <cellStyle name="Percent 3 4 2 8" xfId="14912"/>
    <cellStyle name="Percent 3 4 3" xfId="14913"/>
    <cellStyle name="Percent 3 4 3 2" xfId="14914"/>
    <cellStyle name="Percent 3 4 3 2 2" xfId="14915"/>
    <cellStyle name="Percent 3 4 3 3" xfId="14916"/>
    <cellStyle name="Percent 3 4 3 3 2" xfId="14917"/>
    <cellStyle name="Percent 3 4 3 4" xfId="14918"/>
    <cellStyle name="Percent 3 4 3 5" xfId="14919"/>
    <cellStyle name="Percent 3 4 4" xfId="14920"/>
    <cellStyle name="Percent 3 4 4 2" xfId="14921"/>
    <cellStyle name="Percent 3 4 4 2 2" xfId="14922"/>
    <cellStyle name="Percent 3 4 4 3" xfId="14923"/>
    <cellStyle name="Percent 3 4 4 3 2" xfId="14924"/>
    <cellStyle name="Percent 3 4 4 4" xfId="14925"/>
    <cellStyle name="Percent 3 4 4 5" xfId="14926"/>
    <cellStyle name="Percent 3 4 5" xfId="14927"/>
    <cellStyle name="Percent 3 4 5 2" xfId="14928"/>
    <cellStyle name="Percent 3 4 6" xfId="14929"/>
    <cellStyle name="Percent 3 4 6 2" xfId="14930"/>
    <cellStyle name="Percent 3 4 7" xfId="14931"/>
    <cellStyle name="Percent 3 4 8" xfId="14932"/>
    <cellStyle name="Percent 3 4 9" xfId="14933"/>
    <cellStyle name="Percent 3 5" xfId="14934"/>
    <cellStyle name="Percent 3 5 2" xfId="14935"/>
    <cellStyle name="Percent 3 5 2 2" xfId="14936"/>
    <cellStyle name="Percent 3 5 2 2 2" xfId="14937"/>
    <cellStyle name="Percent 3 5 2 3" xfId="14938"/>
    <cellStyle name="Percent 3 5 2 3 2" xfId="14939"/>
    <cellStyle name="Percent 3 5 2 4" xfId="14940"/>
    <cellStyle name="Percent 3 5 2 5" xfId="14941"/>
    <cellStyle name="Percent 3 5 3" xfId="14942"/>
    <cellStyle name="Percent 3 5 3 2" xfId="14943"/>
    <cellStyle name="Percent 3 5 4" xfId="14944"/>
    <cellStyle name="Percent 3 5 4 2" xfId="14945"/>
    <cellStyle name="Percent 3 5 5" xfId="14946"/>
    <cellStyle name="Percent 3 5 5 2" xfId="14947"/>
    <cellStyle name="Percent 3 5 6" xfId="14948"/>
    <cellStyle name="Percent 3 5 6 2" xfId="14949"/>
    <cellStyle name="Percent 3 5 7" xfId="14950"/>
    <cellStyle name="Percent 3 5 8" xfId="14951"/>
    <cellStyle name="Percent 3 6" xfId="14952"/>
    <cellStyle name="Percent 3 6 2" xfId="14953"/>
    <cellStyle name="Percent 3 6 2 2" xfId="14954"/>
    <cellStyle name="Percent 3 6 3" xfId="14955"/>
    <cellStyle name="Percent 3 6 3 2" xfId="14956"/>
    <cellStyle name="Percent 3 6 4" xfId="14957"/>
    <cellStyle name="Percent 3 6 5" xfId="14958"/>
    <cellStyle name="Percent 3 7" xfId="14959"/>
    <cellStyle name="Percent 3 7 2" xfId="14960"/>
    <cellStyle name="Percent 3 7 2 2" xfId="14961"/>
    <cellStyle name="Percent 3 7 3" xfId="14962"/>
    <cellStyle name="Percent 3 7 3 2" xfId="14963"/>
    <cellStyle name="Percent 3 7 4" xfId="14964"/>
    <cellStyle name="Percent 3 7 5" xfId="14965"/>
    <cellStyle name="Percent 3 8" xfId="14966"/>
    <cellStyle name="Percent 3 8 2" xfId="14967"/>
    <cellStyle name="Percent 3 9" xfId="14968"/>
    <cellStyle name="Percent 3 9 2" xfId="14969"/>
    <cellStyle name="Percent 30" xfId="19071"/>
    <cellStyle name="Percent 31" xfId="19072"/>
    <cellStyle name="Percent 32" xfId="19073"/>
    <cellStyle name="Percent 33" xfId="19074"/>
    <cellStyle name="Percent 33 2" xfId="19075"/>
    <cellStyle name="Percent 34" xfId="19076"/>
    <cellStyle name="Percent 34 2" xfId="19077"/>
    <cellStyle name="Percent 35" xfId="19078"/>
    <cellStyle name="Percent 35 2" xfId="19079"/>
    <cellStyle name="Percent 36" xfId="19080"/>
    <cellStyle name="Percent 36 2" xfId="19081"/>
    <cellStyle name="Percent 37" xfId="19082"/>
    <cellStyle name="Percent 38" xfId="19083"/>
    <cellStyle name="Percent 38 2" xfId="39905"/>
    <cellStyle name="Percent 39" xfId="19084"/>
    <cellStyle name="Percent 39 2" xfId="39906"/>
    <cellStyle name="Percent 4" xfId="14970"/>
    <cellStyle name="Percent 4 10" xfId="14971"/>
    <cellStyle name="Percent 4 11" xfId="14972"/>
    <cellStyle name="Percent 4 12" xfId="14973"/>
    <cellStyle name="Percent 4 13" xfId="14974"/>
    <cellStyle name="Percent 4 14" xfId="14975"/>
    <cellStyle name="Percent 4 15" xfId="19299"/>
    <cellStyle name="Percent 4 16" xfId="39907"/>
    <cellStyle name="Percent 4 2" xfId="14976"/>
    <cellStyle name="Percent 4 2 10" xfId="14977"/>
    <cellStyle name="Percent 4 2 11" xfId="14978"/>
    <cellStyle name="Percent 4 2 12" xfId="14979"/>
    <cellStyle name="Percent 4 2 13" xfId="19300"/>
    <cellStyle name="Percent 4 2 14" xfId="39908"/>
    <cellStyle name="Percent 4 2 2" xfId="14980"/>
    <cellStyle name="Percent 4 2 2 10" xfId="39909"/>
    <cellStyle name="Percent 4 2 2 11" xfId="39910"/>
    <cellStyle name="Percent 4 2 2 2" xfId="14981"/>
    <cellStyle name="Percent 4 2 2 2 2" xfId="14982"/>
    <cellStyle name="Percent 4 2 2 2 2 2" xfId="14983"/>
    <cellStyle name="Percent 4 2 2 2 2 2 2" xfId="14984"/>
    <cellStyle name="Percent 4 2 2 2 2 3" xfId="14985"/>
    <cellStyle name="Percent 4 2 2 2 2 3 2" xfId="14986"/>
    <cellStyle name="Percent 4 2 2 2 2 4" xfId="14987"/>
    <cellStyle name="Percent 4 2 2 2 2 5" xfId="14988"/>
    <cellStyle name="Percent 4 2 2 2 3" xfId="14989"/>
    <cellStyle name="Percent 4 2 2 2 3 2" xfId="14990"/>
    <cellStyle name="Percent 4 2 2 2 4" xfId="14991"/>
    <cellStyle name="Percent 4 2 2 2 4 2" xfId="14992"/>
    <cellStyle name="Percent 4 2 2 2 5" xfId="14993"/>
    <cellStyle name="Percent 4 2 2 2 5 2" xfId="14994"/>
    <cellStyle name="Percent 4 2 2 2 6" xfId="14995"/>
    <cellStyle name="Percent 4 2 2 2 6 2" xfId="14996"/>
    <cellStyle name="Percent 4 2 2 2 7" xfId="14997"/>
    <cellStyle name="Percent 4 2 2 2 8" xfId="14998"/>
    <cellStyle name="Percent 4 2 2 3" xfId="14999"/>
    <cellStyle name="Percent 4 2 2 3 2" xfId="15000"/>
    <cellStyle name="Percent 4 2 2 3 2 2" xfId="15001"/>
    <cellStyle name="Percent 4 2 2 3 3" xfId="15002"/>
    <cellStyle name="Percent 4 2 2 3 3 2" xfId="15003"/>
    <cellStyle name="Percent 4 2 2 3 4" xfId="15004"/>
    <cellStyle name="Percent 4 2 2 3 5" xfId="15005"/>
    <cellStyle name="Percent 4 2 2 4" xfId="15006"/>
    <cellStyle name="Percent 4 2 2 4 2" xfId="15007"/>
    <cellStyle name="Percent 4 2 2 4 2 2" xfId="15008"/>
    <cellStyle name="Percent 4 2 2 4 3" xfId="15009"/>
    <cellStyle name="Percent 4 2 2 4 3 2" xfId="15010"/>
    <cellStyle name="Percent 4 2 2 4 4" xfId="15011"/>
    <cellStyle name="Percent 4 2 2 4 5" xfId="15012"/>
    <cellStyle name="Percent 4 2 2 5" xfId="15013"/>
    <cellStyle name="Percent 4 2 2 5 2" xfId="15014"/>
    <cellStyle name="Percent 4 2 2 6" xfId="15015"/>
    <cellStyle name="Percent 4 2 2 6 2" xfId="15016"/>
    <cellStyle name="Percent 4 2 2 7" xfId="15017"/>
    <cellStyle name="Percent 4 2 2 8" xfId="15018"/>
    <cellStyle name="Percent 4 2 2 9" xfId="15019"/>
    <cellStyle name="Percent 4 2 3" xfId="15020"/>
    <cellStyle name="Percent 4 2 3 2" xfId="15021"/>
    <cellStyle name="Percent 4 2 3 2 2" xfId="15022"/>
    <cellStyle name="Percent 4 2 3 2 2 2" xfId="15023"/>
    <cellStyle name="Percent 4 2 3 2 2 2 2" xfId="15024"/>
    <cellStyle name="Percent 4 2 3 2 2 3" xfId="15025"/>
    <cellStyle name="Percent 4 2 3 2 2 3 2" xfId="15026"/>
    <cellStyle name="Percent 4 2 3 2 2 4" xfId="15027"/>
    <cellStyle name="Percent 4 2 3 2 2 5" xfId="15028"/>
    <cellStyle name="Percent 4 2 3 2 3" xfId="15029"/>
    <cellStyle name="Percent 4 2 3 2 3 2" xfId="15030"/>
    <cellStyle name="Percent 4 2 3 2 4" xfId="15031"/>
    <cellStyle name="Percent 4 2 3 2 4 2" xfId="15032"/>
    <cellStyle name="Percent 4 2 3 2 5" xfId="15033"/>
    <cellStyle name="Percent 4 2 3 2 5 2" xfId="15034"/>
    <cellStyle name="Percent 4 2 3 2 6" xfId="15035"/>
    <cellStyle name="Percent 4 2 3 2 6 2" xfId="15036"/>
    <cellStyle name="Percent 4 2 3 2 7" xfId="15037"/>
    <cellStyle name="Percent 4 2 3 2 8" xfId="15038"/>
    <cellStyle name="Percent 4 2 3 3" xfId="15039"/>
    <cellStyle name="Percent 4 2 3 3 2" xfId="15040"/>
    <cellStyle name="Percent 4 2 3 3 2 2" xfId="15041"/>
    <cellStyle name="Percent 4 2 3 3 3" xfId="15042"/>
    <cellStyle name="Percent 4 2 3 3 3 2" xfId="15043"/>
    <cellStyle name="Percent 4 2 3 3 4" xfId="15044"/>
    <cellStyle name="Percent 4 2 3 3 5" xfId="15045"/>
    <cellStyle name="Percent 4 2 3 4" xfId="15046"/>
    <cellStyle name="Percent 4 2 3 4 2" xfId="15047"/>
    <cellStyle name="Percent 4 2 3 4 2 2" xfId="15048"/>
    <cellStyle name="Percent 4 2 3 4 3" xfId="15049"/>
    <cellStyle name="Percent 4 2 3 4 3 2" xfId="15050"/>
    <cellStyle name="Percent 4 2 3 4 4" xfId="15051"/>
    <cellStyle name="Percent 4 2 3 4 5" xfId="15052"/>
    <cellStyle name="Percent 4 2 3 5" xfId="15053"/>
    <cellStyle name="Percent 4 2 3 5 2" xfId="15054"/>
    <cellStyle name="Percent 4 2 3 6" xfId="15055"/>
    <cellStyle name="Percent 4 2 3 6 2" xfId="15056"/>
    <cellStyle name="Percent 4 2 3 7" xfId="15057"/>
    <cellStyle name="Percent 4 2 3 8" xfId="15058"/>
    <cellStyle name="Percent 4 2 3 9" xfId="15059"/>
    <cellStyle name="Percent 4 2 4" xfId="15060"/>
    <cellStyle name="Percent 4 2 4 2" xfId="15061"/>
    <cellStyle name="Percent 4 2 4 2 2" xfId="15062"/>
    <cellStyle name="Percent 4 2 4 2 2 2" xfId="15063"/>
    <cellStyle name="Percent 4 2 4 2 3" xfId="15064"/>
    <cellStyle name="Percent 4 2 4 2 3 2" xfId="15065"/>
    <cellStyle name="Percent 4 2 4 2 4" xfId="15066"/>
    <cellStyle name="Percent 4 2 4 2 5" xfId="15067"/>
    <cellStyle name="Percent 4 2 4 3" xfId="15068"/>
    <cellStyle name="Percent 4 2 4 3 2" xfId="15069"/>
    <cellStyle name="Percent 4 2 4 4" xfId="15070"/>
    <cellStyle name="Percent 4 2 4 4 2" xfId="15071"/>
    <cellStyle name="Percent 4 2 4 5" xfId="15072"/>
    <cellStyle name="Percent 4 2 4 5 2" xfId="15073"/>
    <cellStyle name="Percent 4 2 4 6" xfId="15074"/>
    <cellStyle name="Percent 4 2 4 6 2" xfId="15075"/>
    <cellStyle name="Percent 4 2 4 7" xfId="15076"/>
    <cellStyle name="Percent 4 2 4 8" xfId="15077"/>
    <cellStyle name="Percent 4 2 5" xfId="15078"/>
    <cellStyle name="Percent 4 2 5 2" xfId="15079"/>
    <cellStyle name="Percent 4 2 5 2 2" xfId="15080"/>
    <cellStyle name="Percent 4 2 5 3" xfId="15081"/>
    <cellStyle name="Percent 4 2 5 3 2" xfId="15082"/>
    <cellStyle name="Percent 4 2 5 4" xfId="15083"/>
    <cellStyle name="Percent 4 2 5 5" xfId="15084"/>
    <cellStyle name="Percent 4 2 6" xfId="15085"/>
    <cellStyle name="Percent 4 2 6 2" xfId="15086"/>
    <cellStyle name="Percent 4 2 6 2 2" xfId="15087"/>
    <cellStyle name="Percent 4 2 6 3" xfId="15088"/>
    <cellStyle name="Percent 4 2 6 3 2" xfId="15089"/>
    <cellStyle name="Percent 4 2 6 4" xfId="15090"/>
    <cellStyle name="Percent 4 2 6 5" xfId="15091"/>
    <cellStyle name="Percent 4 2 7" xfId="15092"/>
    <cellStyle name="Percent 4 2 7 2" xfId="15093"/>
    <cellStyle name="Percent 4 2 8" xfId="15094"/>
    <cellStyle name="Percent 4 2 8 2" xfId="15095"/>
    <cellStyle name="Percent 4 2 9" xfId="15096"/>
    <cellStyle name="Percent 4 3" xfId="15097"/>
    <cellStyle name="Percent 4 3 10" xfId="19301"/>
    <cellStyle name="Percent 4 3 11" xfId="39911"/>
    <cellStyle name="Percent 4 3 2" xfId="15098"/>
    <cellStyle name="Percent 4 3 2 2" xfId="15099"/>
    <cellStyle name="Percent 4 3 2 2 2" xfId="15100"/>
    <cellStyle name="Percent 4 3 2 2 2 2" xfId="15101"/>
    <cellStyle name="Percent 4 3 2 2 3" xfId="15102"/>
    <cellStyle name="Percent 4 3 2 2 3 2" xfId="15103"/>
    <cellStyle name="Percent 4 3 2 2 4" xfId="15104"/>
    <cellStyle name="Percent 4 3 2 2 5" xfId="15105"/>
    <cellStyle name="Percent 4 3 2 3" xfId="15106"/>
    <cellStyle name="Percent 4 3 2 3 2" xfId="15107"/>
    <cellStyle name="Percent 4 3 2 4" xfId="15108"/>
    <cellStyle name="Percent 4 3 2 4 2" xfId="15109"/>
    <cellStyle name="Percent 4 3 2 5" xfId="15110"/>
    <cellStyle name="Percent 4 3 2 5 2" xfId="15111"/>
    <cellStyle name="Percent 4 3 2 6" xfId="15112"/>
    <cellStyle name="Percent 4 3 2 6 2" xfId="15113"/>
    <cellStyle name="Percent 4 3 2 7" xfId="15114"/>
    <cellStyle name="Percent 4 3 2 8" xfId="15115"/>
    <cellStyle name="Percent 4 3 3" xfId="15116"/>
    <cellStyle name="Percent 4 3 3 2" xfId="15117"/>
    <cellStyle name="Percent 4 3 3 2 2" xfId="15118"/>
    <cellStyle name="Percent 4 3 3 3" xfId="15119"/>
    <cellStyle name="Percent 4 3 3 3 2" xfId="15120"/>
    <cellStyle name="Percent 4 3 3 4" xfId="15121"/>
    <cellStyle name="Percent 4 3 3 5" xfId="15122"/>
    <cellStyle name="Percent 4 3 4" xfId="15123"/>
    <cellStyle name="Percent 4 3 4 2" xfId="15124"/>
    <cellStyle name="Percent 4 3 4 2 2" xfId="15125"/>
    <cellStyle name="Percent 4 3 4 3" xfId="15126"/>
    <cellStyle name="Percent 4 3 4 3 2" xfId="15127"/>
    <cellStyle name="Percent 4 3 4 4" xfId="15128"/>
    <cellStyle name="Percent 4 3 4 5" xfId="15129"/>
    <cellStyle name="Percent 4 3 5" xfId="15130"/>
    <cellStyle name="Percent 4 3 5 2" xfId="15131"/>
    <cellStyle name="Percent 4 3 6" xfId="15132"/>
    <cellStyle name="Percent 4 3 6 2" xfId="15133"/>
    <cellStyle name="Percent 4 3 7" xfId="15134"/>
    <cellStyle name="Percent 4 3 8" xfId="15135"/>
    <cellStyle name="Percent 4 3 9" xfId="15136"/>
    <cellStyle name="Percent 4 4" xfId="15137"/>
    <cellStyle name="Percent 4 4 2" xfId="15138"/>
    <cellStyle name="Percent 4 4 2 2" xfId="15139"/>
    <cellStyle name="Percent 4 4 2 2 2" xfId="15140"/>
    <cellStyle name="Percent 4 4 2 2 2 2" xfId="15141"/>
    <cellStyle name="Percent 4 4 2 2 3" xfId="15142"/>
    <cellStyle name="Percent 4 4 2 2 3 2" xfId="15143"/>
    <cellStyle name="Percent 4 4 2 2 4" xfId="15144"/>
    <cellStyle name="Percent 4 4 2 2 5" xfId="15145"/>
    <cellStyle name="Percent 4 4 2 3" xfId="15146"/>
    <cellStyle name="Percent 4 4 2 3 2" xfId="15147"/>
    <cellStyle name="Percent 4 4 2 4" xfId="15148"/>
    <cellStyle name="Percent 4 4 2 4 2" xfId="15149"/>
    <cellStyle name="Percent 4 4 2 5" xfId="15150"/>
    <cellStyle name="Percent 4 4 2 5 2" xfId="15151"/>
    <cellStyle name="Percent 4 4 2 6" xfId="15152"/>
    <cellStyle name="Percent 4 4 2 6 2" xfId="15153"/>
    <cellStyle name="Percent 4 4 2 7" xfId="15154"/>
    <cellStyle name="Percent 4 4 2 8" xfId="15155"/>
    <cellStyle name="Percent 4 4 3" xfId="15156"/>
    <cellStyle name="Percent 4 4 3 2" xfId="15157"/>
    <cellStyle name="Percent 4 4 3 2 2" xfId="15158"/>
    <cellStyle name="Percent 4 4 3 3" xfId="15159"/>
    <cellStyle name="Percent 4 4 3 3 2" xfId="15160"/>
    <cellStyle name="Percent 4 4 3 4" xfId="15161"/>
    <cellStyle name="Percent 4 4 3 5" xfId="15162"/>
    <cellStyle name="Percent 4 4 4" xfId="15163"/>
    <cellStyle name="Percent 4 4 4 2" xfId="15164"/>
    <cellStyle name="Percent 4 4 4 2 2" xfId="15165"/>
    <cellStyle name="Percent 4 4 4 3" xfId="15166"/>
    <cellStyle name="Percent 4 4 4 3 2" xfId="15167"/>
    <cellStyle name="Percent 4 4 4 4" xfId="15168"/>
    <cellStyle name="Percent 4 4 4 5" xfId="15169"/>
    <cellStyle name="Percent 4 4 5" xfId="15170"/>
    <cellStyle name="Percent 4 4 5 2" xfId="15171"/>
    <cellStyle name="Percent 4 4 6" xfId="15172"/>
    <cellStyle name="Percent 4 4 6 2" xfId="15173"/>
    <cellStyle name="Percent 4 4 7" xfId="15174"/>
    <cellStyle name="Percent 4 4 8" xfId="15175"/>
    <cellStyle name="Percent 4 4 9" xfId="15176"/>
    <cellStyle name="Percent 4 5" xfId="15177"/>
    <cellStyle name="Percent 4 5 2" xfId="15178"/>
    <cellStyle name="Percent 4 5 2 2" xfId="15179"/>
    <cellStyle name="Percent 4 5 2 2 2" xfId="15180"/>
    <cellStyle name="Percent 4 5 2 3" xfId="15181"/>
    <cellStyle name="Percent 4 5 2 3 2" xfId="15182"/>
    <cellStyle name="Percent 4 5 2 4" xfId="15183"/>
    <cellStyle name="Percent 4 5 2 5" xfId="15184"/>
    <cellStyle name="Percent 4 5 3" xfId="15185"/>
    <cellStyle name="Percent 4 5 3 2" xfId="15186"/>
    <cellStyle name="Percent 4 5 4" xfId="15187"/>
    <cellStyle name="Percent 4 5 4 2" xfId="15188"/>
    <cellStyle name="Percent 4 5 5" xfId="15189"/>
    <cellStyle name="Percent 4 5 5 2" xfId="15190"/>
    <cellStyle name="Percent 4 5 6" xfId="15191"/>
    <cellStyle name="Percent 4 5 6 2" xfId="15192"/>
    <cellStyle name="Percent 4 5 7" xfId="15193"/>
    <cellStyle name="Percent 4 5 8" xfId="15194"/>
    <cellStyle name="Percent 4 6" xfId="15195"/>
    <cellStyle name="Percent 4 6 2" xfId="15196"/>
    <cellStyle name="Percent 4 6 2 2" xfId="15197"/>
    <cellStyle name="Percent 4 6 3" xfId="15198"/>
    <cellStyle name="Percent 4 6 3 2" xfId="15199"/>
    <cellStyle name="Percent 4 6 4" xfId="15200"/>
    <cellStyle name="Percent 4 6 5" xfId="15201"/>
    <cellStyle name="Percent 4 7" xfId="15202"/>
    <cellStyle name="Percent 4 7 2" xfId="15203"/>
    <cellStyle name="Percent 4 7 2 2" xfId="15204"/>
    <cellStyle name="Percent 4 7 3" xfId="15205"/>
    <cellStyle name="Percent 4 7 3 2" xfId="15206"/>
    <cellStyle name="Percent 4 7 4" xfId="15207"/>
    <cellStyle name="Percent 4 7 5" xfId="15208"/>
    <cellStyle name="Percent 4 8" xfId="15209"/>
    <cellStyle name="Percent 4 8 2" xfId="15210"/>
    <cellStyle name="Percent 4 9" xfId="15211"/>
    <cellStyle name="Percent 4 9 2" xfId="15212"/>
    <cellStyle name="Percent 40" xfId="19085"/>
    <cellStyle name="Percent 40 2" xfId="39912"/>
    <cellStyle name="Percent 41" xfId="19086"/>
    <cellStyle name="Percent 41 2" xfId="39913"/>
    <cellStyle name="Percent 42" xfId="19087"/>
    <cellStyle name="Percent 43" xfId="19088"/>
    <cellStyle name="Percent 43 2" xfId="39914"/>
    <cellStyle name="Percent 44" xfId="19089"/>
    <cellStyle name="Percent 45" xfId="19090"/>
    <cellStyle name="Percent 46" xfId="39915"/>
    <cellStyle name="Percent 47" xfId="39916"/>
    <cellStyle name="Percent 48" xfId="39917"/>
    <cellStyle name="Percent 49" xfId="39918"/>
    <cellStyle name="Percent 5" xfId="15213"/>
    <cellStyle name="Percent 5 10" xfId="15214"/>
    <cellStyle name="Percent 5 11" xfId="15215"/>
    <cellStyle name="Percent 5 12" xfId="15216"/>
    <cellStyle name="Percent 5 13" xfId="15217"/>
    <cellStyle name="Percent 5 14" xfId="15218"/>
    <cellStyle name="Percent 5 15" xfId="19302"/>
    <cellStyle name="Percent 5 16" xfId="39919"/>
    <cellStyle name="Percent 5 17" xfId="39920"/>
    <cellStyle name="Percent 5 2" xfId="15219"/>
    <cellStyle name="Percent 5 2 10" xfId="15220"/>
    <cellStyle name="Percent 5 2 11" xfId="15221"/>
    <cellStyle name="Percent 5 2 12" xfId="19303"/>
    <cellStyle name="Percent 5 2 13" xfId="39921"/>
    <cellStyle name="Percent 5 2 14" xfId="39922"/>
    <cellStyle name="Percent 5 2 2" xfId="15222"/>
    <cellStyle name="Percent 5 2 2 10" xfId="39923"/>
    <cellStyle name="Percent 5 2 2 11" xfId="39924"/>
    <cellStyle name="Percent 5 2 2 2" xfId="15223"/>
    <cellStyle name="Percent 5 2 2 2 2" xfId="15224"/>
    <cellStyle name="Percent 5 2 2 2 2 2" xfId="15225"/>
    <cellStyle name="Percent 5 2 2 2 2 2 2" xfId="15226"/>
    <cellStyle name="Percent 5 2 2 2 2 3" xfId="15227"/>
    <cellStyle name="Percent 5 2 2 2 2 3 2" xfId="15228"/>
    <cellStyle name="Percent 5 2 2 2 2 4" xfId="15229"/>
    <cellStyle name="Percent 5 2 2 2 2 5" xfId="15230"/>
    <cellStyle name="Percent 5 2 2 2 3" xfId="15231"/>
    <cellStyle name="Percent 5 2 2 2 3 2" xfId="15232"/>
    <cellStyle name="Percent 5 2 2 2 4" xfId="15233"/>
    <cellStyle name="Percent 5 2 2 2 4 2" xfId="15234"/>
    <cellStyle name="Percent 5 2 2 2 5" xfId="15235"/>
    <cellStyle name="Percent 5 2 2 2 5 2" xfId="15236"/>
    <cellStyle name="Percent 5 2 2 2 6" xfId="15237"/>
    <cellStyle name="Percent 5 2 2 2 6 2" xfId="15238"/>
    <cellStyle name="Percent 5 2 2 2 7" xfId="15239"/>
    <cellStyle name="Percent 5 2 2 2 8" xfId="15240"/>
    <cellStyle name="Percent 5 2 2 3" xfId="15241"/>
    <cellStyle name="Percent 5 2 2 3 2" xfId="15242"/>
    <cellStyle name="Percent 5 2 2 3 2 2" xfId="15243"/>
    <cellStyle name="Percent 5 2 2 3 3" xfId="15244"/>
    <cellStyle name="Percent 5 2 2 3 3 2" xfId="15245"/>
    <cellStyle name="Percent 5 2 2 3 4" xfId="15246"/>
    <cellStyle name="Percent 5 2 2 3 5" xfId="15247"/>
    <cellStyle name="Percent 5 2 2 4" xfId="15248"/>
    <cellStyle name="Percent 5 2 2 4 2" xfId="15249"/>
    <cellStyle name="Percent 5 2 2 4 2 2" xfId="15250"/>
    <cellStyle name="Percent 5 2 2 4 3" xfId="15251"/>
    <cellStyle name="Percent 5 2 2 4 3 2" xfId="15252"/>
    <cellStyle name="Percent 5 2 2 4 4" xfId="15253"/>
    <cellStyle name="Percent 5 2 2 4 5" xfId="15254"/>
    <cellStyle name="Percent 5 2 2 5" xfId="15255"/>
    <cellStyle name="Percent 5 2 2 5 2" xfId="15256"/>
    <cellStyle name="Percent 5 2 2 6" xfId="15257"/>
    <cellStyle name="Percent 5 2 2 6 2" xfId="15258"/>
    <cellStyle name="Percent 5 2 2 7" xfId="15259"/>
    <cellStyle name="Percent 5 2 2 8" xfId="15260"/>
    <cellStyle name="Percent 5 2 2 9" xfId="15261"/>
    <cellStyle name="Percent 5 2 3" xfId="15262"/>
    <cellStyle name="Percent 5 2 3 2" xfId="15263"/>
    <cellStyle name="Percent 5 2 3 2 2" xfId="15264"/>
    <cellStyle name="Percent 5 2 3 2 2 2" xfId="15265"/>
    <cellStyle name="Percent 5 2 3 2 2 2 2" xfId="15266"/>
    <cellStyle name="Percent 5 2 3 2 2 3" xfId="15267"/>
    <cellStyle name="Percent 5 2 3 2 2 3 2" xfId="15268"/>
    <cellStyle name="Percent 5 2 3 2 2 4" xfId="15269"/>
    <cellStyle name="Percent 5 2 3 2 2 5" xfId="15270"/>
    <cellStyle name="Percent 5 2 3 2 3" xfId="15271"/>
    <cellStyle name="Percent 5 2 3 2 3 2" xfId="15272"/>
    <cellStyle name="Percent 5 2 3 2 4" xfId="15273"/>
    <cellStyle name="Percent 5 2 3 2 4 2" xfId="15274"/>
    <cellStyle name="Percent 5 2 3 2 5" xfId="15275"/>
    <cellStyle name="Percent 5 2 3 2 5 2" xfId="15276"/>
    <cellStyle name="Percent 5 2 3 2 6" xfId="15277"/>
    <cellStyle name="Percent 5 2 3 2 6 2" xfId="15278"/>
    <cellStyle name="Percent 5 2 3 2 7" xfId="15279"/>
    <cellStyle name="Percent 5 2 3 2 8" xfId="15280"/>
    <cellStyle name="Percent 5 2 3 3" xfId="15281"/>
    <cellStyle name="Percent 5 2 3 3 2" xfId="15282"/>
    <cellStyle name="Percent 5 2 3 3 2 2" xfId="15283"/>
    <cellStyle name="Percent 5 2 3 3 3" xfId="15284"/>
    <cellStyle name="Percent 5 2 3 3 3 2" xfId="15285"/>
    <cellStyle name="Percent 5 2 3 3 4" xfId="15286"/>
    <cellStyle name="Percent 5 2 3 3 5" xfId="15287"/>
    <cellStyle name="Percent 5 2 3 4" xfId="15288"/>
    <cellStyle name="Percent 5 2 3 4 2" xfId="15289"/>
    <cellStyle name="Percent 5 2 3 4 2 2" xfId="15290"/>
    <cellStyle name="Percent 5 2 3 4 3" xfId="15291"/>
    <cellStyle name="Percent 5 2 3 4 3 2" xfId="15292"/>
    <cellStyle name="Percent 5 2 3 4 4" xfId="15293"/>
    <cellStyle name="Percent 5 2 3 4 5" xfId="15294"/>
    <cellStyle name="Percent 5 2 3 5" xfId="15295"/>
    <cellStyle name="Percent 5 2 3 5 2" xfId="15296"/>
    <cellStyle name="Percent 5 2 3 6" xfId="15297"/>
    <cellStyle name="Percent 5 2 3 6 2" xfId="15298"/>
    <cellStyle name="Percent 5 2 3 7" xfId="15299"/>
    <cellStyle name="Percent 5 2 3 8" xfId="15300"/>
    <cellStyle name="Percent 5 2 3 9" xfId="15301"/>
    <cellStyle name="Percent 5 2 4" xfId="15302"/>
    <cellStyle name="Percent 5 2 4 2" xfId="15303"/>
    <cellStyle name="Percent 5 2 4 2 2" xfId="15304"/>
    <cellStyle name="Percent 5 2 4 2 2 2" xfId="15305"/>
    <cellStyle name="Percent 5 2 4 2 3" xfId="15306"/>
    <cellStyle name="Percent 5 2 4 2 3 2" xfId="15307"/>
    <cellStyle name="Percent 5 2 4 2 4" xfId="15308"/>
    <cellStyle name="Percent 5 2 4 2 5" xfId="15309"/>
    <cellStyle name="Percent 5 2 4 3" xfId="15310"/>
    <cellStyle name="Percent 5 2 4 3 2" xfId="15311"/>
    <cellStyle name="Percent 5 2 4 4" xfId="15312"/>
    <cellStyle name="Percent 5 2 4 4 2" xfId="15313"/>
    <cellStyle name="Percent 5 2 4 5" xfId="15314"/>
    <cellStyle name="Percent 5 2 4 5 2" xfId="15315"/>
    <cellStyle name="Percent 5 2 4 6" xfId="15316"/>
    <cellStyle name="Percent 5 2 4 6 2" xfId="15317"/>
    <cellStyle name="Percent 5 2 4 7" xfId="15318"/>
    <cellStyle name="Percent 5 2 4 8" xfId="15319"/>
    <cellStyle name="Percent 5 2 5" xfId="15320"/>
    <cellStyle name="Percent 5 2 5 2" xfId="15321"/>
    <cellStyle name="Percent 5 2 5 2 2" xfId="15322"/>
    <cellStyle name="Percent 5 2 5 3" xfId="15323"/>
    <cellStyle name="Percent 5 2 5 3 2" xfId="15324"/>
    <cellStyle name="Percent 5 2 5 4" xfId="15325"/>
    <cellStyle name="Percent 5 2 5 5" xfId="15326"/>
    <cellStyle name="Percent 5 2 6" xfId="15327"/>
    <cellStyle name="Percent 5 2 6 2" xfId="15328"/>
    <cellStyle name="Percent 5 2 6 2 2" xfId="15329"/>
    <cellStyle name="Percent 5 2 6 3" xfId="15330"/>
    <cellStyle name="Percent 5 2 6 3 2" xfId="15331"/>
    <cellStyle name="Percent 5 2 6 4" xfId="15332"/>
    <cellStyle name="Percent 5 2 6 5" xfId="15333"/>
    <cellStyle name="Percent 5 2 7" xfId="15334"/>
    <cellStyle name="Percent 5 2 7 2" xfId="15335"/>
    <cellStyle name="Percent 5 2 8" xfId="15336"/>
    <cellStyle name="Percent 5 2 8 2" xfId="15337"/>
    <cellStyle name="Percent 5 2 9" xfId="15338"/>
    <cellStyle name="Percent 5 3" xfId="15339"/>
    <cellStyle name="Percent 5 3 10" xfId="19304"/>
    <cellStyle name="Percent 5 3 11" xfId="39925"/>
    <cellStyle name="Percent 5 3 12" xfId="39926"/>
    <cellStyle name="Percent 5 3 2" xfId="15340"/>
    <cellStyle name="Percent 5 3 2 2" xfId="15341"/>
    <cellStyle name="Percent 5 3 2 2 2" xfId="15342"/>
    <cellStyle name="Percent 5 3 2 2 2 2" xfId="15343"/>
    <cellStyle name="Percent 5 3 2 2 3" xfId="15344"/>
    <cellStyle name="Percent 5 3 2 2 3 2" xfId="15345"/>
    <cellStyle name="Percent 5 3 2 2 4" xfId="15346"/>
    <cellStyle name="Percent 5 3 2 2 5" xfId="15347"/>
    <cellStyle name="Percent 5 3 2 3" xfId="15348"/>
    <cellStyle name="Percent 5 3 2 3 2" xfId="15349"/>
    <cellStyle name="Percent 5 3 2 4" xfId="15350"/>
    <cellStyle name="Percent 5 3 2 4 2" xfId="15351"/>
    <cellStyle name="Percent 5 3 2 5" xfId="15352"/>
    <cellStyle name="Percent 5 3 2 5 2" xfId="15353"/>
    <cellStyle name="Percent 5 3 2 6" xfId="15354"/>
    <cellStyle name="Percent 5 3 2 6 2" xfId="15355"/>
    <cellStyle name="Percent 5 3 2 7" xfId="15356"/>
    <cellStyle name="Percent 5 3 2 8" xfId="15357"/>
    <cellStyle name="Percent 5 3 3" xfId="15358"/>
    <cellStyle name="Percent 5 3 3 2" xfId="15359"/>
    <cellStyle name="Percent 5 3 3 2 2" xfId="15360"/>
    <cellStyle name="Percent 5 3 3 3" xfId="15361"/>
    <cellStyle name="Percent 5 3 3 3 2" xfId="15362"/>
    <cellStyle name="Percent 5 3 3 4" xfId="15363"/>
    <cellStyle name="Percent 5 3 3 5" xfId="15364"/>
    <cellStyle name="Percent 5 3 4" xfId="15365"/>
    <cellStyle name="Percent 5 3 4 2" xfId="15366"/>
    <cellStyle name="Percent 5 3 4 2 2" xfId="15367"/>
    <cellStyle name="Percent 5 3 4 3" xfId="15368"/>
    <cellStyle name="Percent 5 3 4 3 2" xfId="15369"/>
    <cellStyle name="Percent 5 3 4 4" xfId="15370"/>
    <cellStyle name="Percent 5 3 4 5" xfId="15371"/>
    <cellStyle name="Percent 5 3 5" xfId="15372"/>
    <cellStyle name="Percent 5 3 5 2" xfId="15373"/>
    <cellStyle name="Percent 5 3 6" xfId="15374"/>
    <cellStyle name="Percent 5 3 6 2" xfId="15375"/>
    <cellStyle name="Percent 5 3 7" xfId="15376"/>
    <cellStyle name="Percent 5 3 8" xfId="15377"/>
    <cellStyle name="Percent 5 3 9" xfId="15378"/>
    <cellStyle name="Percent 5 4" xfId="15379"/>
    <cellStyle name="Percent 5 4 2" xfId="15380"/>
    <cellStyle name="Percent 5 4 2 2" xfId="15381"/>
    <cellStyle name="Percent 5 4 2 2 2" xfId="15382"/>
    <cellStyle name="Percent 5 4 2 2 2 2" xfId="15383"/>
    <cellStyle name="Percent 5 4 2 2 3" xfId="15384"/>
    <cellStyle name="Percent 5 4 2 2 3 2" xfId="15385"/>
    <cellStyle name="Percent 5 4 2 2 4" xfId="15386"/>
    <cellStyle name="Percent 5 4 2 2 5" xfId="15387"/>
    <cellStyle name="Percent 5 4 2 3" xfId="15388"/>
    <cellStyle name="Percent 5 4 2 3 2" xfId="15389"/>
    <cellStyle name="Percent 5 4 2 4" xfId="15390"/>
    <cellStyle name="Percent 5 4 2 4 2" xfId="15391"/>
    <cellStyle name="Percent 5 4 2 5" xfId="15392"/>
    <cellStyle name="Percent 5 4 2 5 2" xfId="15393"/>
    <cellStyle name="Percent 5 4 2 6" xfId="15394"/>
    <cellStyle name="Percent 5 4 2 6 2" xfId="15395"/>
    <cellStyle name="Percent 5 4 2 7" xfId="15396"/>
    <cellStyle name="Percent 5 4 2 8" xfId="15397"/>
    <cellStyle name="Percent 5 4 3" xfId="15398"/>
    <cellStyle name="Percent 5 4 3 2" xfId="15399"/>
    <cellStyle name="Percent 5 4 3 2 2" xfId="15400"/>
    <cellStyle name="Percent 5 4 3 3" xfId="15401"/>
    <cellStyle name="Percent 5 4 3 3 2" xfId="15402"/>
    <cellStyle name="Percent 5 4 3 4" xfId="15403"/>
    <cellStyle name="Percent 5 4 3 5" xfId="15404"/>
    <cellStyle name="Percent 5 4 4" xfId="15405"/>
    <cellStyle name="Percent 5 4 4 2" xfId="15406"/>
    <cellStyle name="Percent 5 4 4 2 2" xfId="15407"/>
    <cellStyle name="Percent 5 4 4 3" xfId="15408"/>
    <cellStyle name="Percent 5 4 4 3 2" xfId="15409"/>
    <cellStyle name="Percent 5 4 4 4" xfId="15410"/>
    <cellStyle name="Percent 5 4 4 5" xfId="15411"/>
    <cellStyle name="Percent 5 4 5" xfId="15412"/>
    <cellStyle name="Percent 5 4 5 2" xfId="15413"/>
    <cellStyle name="Percent 5 4 6" xfId="15414"/>
    <cellStyle name="Percent 5 4 6 2" xfId="15415"/>
    <cellStyle name="Percent 5 4 7" xfId="15416"/>
    <cellStyle name="Percent 5 4 8" xfId="15417"/>
    <cellStyle name="Percent 5 4 9" xfId="15418"/>
    <cellStyle name="Percent 5 5" xfId="15419"/>
    <cellStyle name="Percent 5 5 2" xfId="15420"/>
    <cellStyle name="Percent 5 5 2 2" xfId="15421"/>
    <cellStyle name="Percent 5 5 2 2 2" xfId="15422"/>
    <cellStyle name="Percent 5 5 2 3" xfId="15423"/>
    <cellStyle name="Percent 5 5 2 3 2" xfId="15424"/>
    <cellStyle name="Percent 5 5 2 4" xfId="15425"/>
    <cellStyle name="Percent 5 5 2 5" xfId="15426"/>
    <cellStyle name="Percent 5 5 3" xfId="15427"/>
    <cellStyle name="Percent 5 5 3 2" xfId="15428"/>
    <cellStyle name="Percent 5 5 4" xfId="15429"/>
    <cellStyle name="Percent 5 5 4 2" xfId="15430"/>
    <cellStyle name="Percent 5 5 5" xfId="15431"/>
    <cellStyle name="Percent 5 5 5 2" xfId="15432"/>
    <cellStyle name="Percent 5 5 6" xfId="15433"/>
    <cellStyle name="Percent 5 5 6 2" xfId="15434"/>
    <cellStyle name="Percent 5 5 7" xfId="15435"/>
    <cellStyle name="Percent 5 5 8" xfId="15436"/>
    <cellStyle name="Percent 5 6" xfId="15437"/>
    <cellStyle name="Percent 5 6 2" xfId="15438"/>
    <cellStyle name="Percent 5 6 2 2" xfId="15439"/>
    <cellStyle name="Percent 5 6 3" xfId="15440"/>
    <cellStyle name="Percent 5 6 3 2" xfId="15441"/>
    <cellStyle name="Percent 5 6 4" xfId="15442"/>
    <cellStyle name="Percent 5 6 5" xfId="15443"/>
    <cellStyle name="Percent 5 7" xfId="15444"/>
    <cellStyle name="Percent 5 7 2" xfId="15445"/>
    <cellStyle name="Percent 5 7 2 2" xfId="15446"/>
    <cellStyle name="Percent 5 7 3" xfId="15447"/>
    <cellStyle name="Percent 5 7 3 2" xfId="15448"/>
    <cellStyle name="Percent 5 7 4" xfId="15449"/>
    <cellStyle name="Percent 5 7 5" xfId="15450"/>
    <cellStyle name="Percent 5 8" xfId="15451"/>
    <cellStyle name="Percent 5 8 2" xfId="15452"/>
    <cellStyle name="Percent 5 9" xfId="15453"/>
    <cellStyle name="Percent 5 9 2" xfId="15454"/>
    <cellStyle name="Percent 6" xfId="15455"/>
    <cellStyle name="Percent 6 10" xfId="15456"/>
    <cellStyle name="Percent 6 11" xfId="15457"/>
    <cellStyle name="Percent 6 12" xfId="15458"/>
    <cellStyle name="Percent 6 13" xfId="15459"/>
    <cellStyle name="Percent 6 14" xfId="19305"/>
    <cellStyle name="Percent 6 15" xfId="39927"/>
    <cellStyle name="Percent 6 2" xfId="15460"/>
    <cellStyle name="Percent 6 2 10" xfId="15461"/>
    <cellStyle name="Percent 6 2 11" xfId="15462"/>
    <cellStyle name="Percent 6 2 12" xfId="15463"/>
    <cellStyle name="Percent 6 2 13" xfId="19306"/>
    <cellStyle name="Percent 6 2 14" xfId="39928"/>
    <cellStyle name="Percent 6 2 2" xfId="15464"/>
    <cellStyle name="Percent 6 2 2 10" xfId="39929"/>
    <cellStyle name="Percent 6 2 2 11" xfId="39930"/>
    <cellStyle name="Percent 6 2 2 2" xfId="15465"/>
    <cellStyle name="Percent 6 2 2 2 2" xfId="15466"/>
    <cellStyle name="Percent 6 2 2 2 2 2" xfId="15467"/>
    <cellStyle name="Percent 6 2 2 2 2 2 2" xfId="15468"/>
    <cellStyle name="Percent 6 2 2 2 2 3" xfId="15469"/>
    <cellStyle name="Percent 6 2 2 2 2 3 2" xfId="15470"/>
    <cellStyle name="Percent 6 2 2 2 2 4" xfId="15471"/>
    <cellStyle name="Percent 6 2 2 2 2 5" xfId="15472"/>
    <cellStyle name="Percent 6 2 2 2 3" xfId="15473"/>
    <cellStyle name="Percent 6 2 2 2 3 2" xfId="15474"/>
    <cellStyle name="Percent 6 2 2 2 4" xfId="15475"/>
    <cellStyle name="Percent 6 2 2 2 4 2" xfId="15476"/>
    <cellStyle name="Percent 6 2 2 2 5" xfId="15477"/>
    <cellStyle name="Percent 6 2 2 2 5 2" xfId="15478"/>
    <cellStyle name="Percent 6 2 2 2 6" xfId="15479"/>
    <cellStyle name="Percent 6 2 2 2 6 2" xfId="15480"/>
    <cellStyle name="Percent 6 2 2 2 7" xfId="15481"/>
    <cellStyle name="Percent 6 2 2 2 8" xfId="15482"/>
    <cellStyle name="Percent 6 2 2 3" xfId="15483"/>
    <cellStyle name="Percent 6 2 2 3 2" xfId="15484"/>
    <cellStyle name="Percent 6 2 2 3 2 2" xfId="15485"/>
    <cellStyle name="Percent 6 2 2 3 3" xfId="15486"/>
    <cellStyle name="Percent 6 2 2 3 3 2" xfId="15487"/>
    <cellStyle name="Percent 6 2 2 3 4" xfId="15488"/>
    <cellStyle name="Percent 6 2 2 3 5" xfId="15489"/>
    <cellStyle name="Percent 6 2 2 4" xfId="15490"/>
    <cellStyle name="Percent 6 2 2 4 2" xfId="15491"/>
    <cellStyle name="Percent 6 2 2 4 2 2" xfId="15492"/>
    <cellStyle name="Percent 6 2 2 4 3" xfId="15493"/>
    <cellStyle name="Percent 6 2 2 4 3 2" xfId="15494"/>
    <cellStyle name="Percent 6 2 2 4 4" xfId="15495"/>
    <cellStyle name="Percent 6 2 2 4 5" xfId="15496"/>
    <cellStyle name="Percent 6 2 2 5" xfId="15497"/>
    <cellStyle name="Percent 6 2 2 5 2" xfId="15498"/>
    <cellStyle name="Percent 6 2 2 6" xfId="15499"/>
    <cellStyle name="Percent 6 2 2 6 2" xfId="15500"/>
    <cellStyle name="Percent 6 2 2 7" xfId="15501"/>
    <cellStyle name="Percent 6 2 2 8" xfId="15502"/>
    <cellStyle name="Percent 6 2 2 9" xfId="15503"/>
    <cellStyle name="Percent 6 2 3" xfId="15504"/>
    <cellStyle name="Percent 6 2 3 2" xfId="15505"/>
    <cellStyle name="Percent 6 2 3 2 2" xfId="15506"/>
    <cellStyle name="Percent 6 2 3 2 2 2" xfId="15507"/>
    <cellStyle name="Percent 6 2 3 2 2 2 2" xfId="15508"/>
    <cellStyle name="Percent 6 2 3 2 2 3" xfId="15509"/>
    <cellStyle name="Percent 6 2 3 2 2 3 2" xfId="15510"/>
    <cellStyle name="Percent 6 2 3 2 2 4" xfId="15511"/>
    <cellStyle name="Percent 6 2 3 2 2 5" xfId="15512"/>
    <cellStyle name="Percent 6 2 3 2 3" xfId="15513"/>
    <cellStyle name="Percent 6 2 3 2 3 2" xfId="15514"/>
    <cellStyle name="Percent 6 2 3 2 4" xfId="15515"/>
    <cellStyle name="Percent 6 2 3 2 4 2" xfId="15516"/>
    <cellStyle name="Percent 6 2 3 2 5" xfId="15517"/>
    <cellStyle name="Percent 6 2 3 2 5 2" xfId="15518"/>
    <cellStyle name="Percent 6 2 3 2 6" xfId="15519"/>
    <cellStyle name="Percent 6 2 3 2 6 2" xfId="15520"/>
    <cellStyle name="Percent 6 2 3 2 7" xfId="15521"/>
    <cellStyle name="Percent 6 2 3 2 8" xfId="15522"/>
    <cellStyle name="Percent 6 2 3 3" xfId="15523"/>
    <cellStyle name="Percent 6 2 3 3 2" xfId="15524"/>
    <cellStyle name="Percent 6 2 3 3 2 2" xfId="15525"/>
    <cellStyle name="Percent 6 2 3 3 3" xfId="15526"/>
    <cellStyle name="Percent 6 2 3 3 3 2" xfId="15527"/>
    <cellStyle name="Percent 6 2 3 3 4" xfId="15528"/>
    <cellStyle name="Percent 6 2 3 3 5" xfId="15529"/>
    <cellStyle name="Percent 6 2 3 4" xfId="15530"/>
    <cellStyle name="Percent 6 2 3 4 2" xfId="15531"/>
    <cellStyle name="Percent 6 2 3 4 2 2" xfId="15532"/>
    <cellStyle name="Percent 6 2 3 4 3" xfId="15533"/>
    <cellStyle name="Percent 6 2 3 4 3 2" xfId="15534"/>
    <cellStyle name="Percent 6 2 3 4 4" xfId="15535"/>
    <cellStyle name="Percent 6 2 3 4 5" xfId="15536"/>
    <cellStyle name="Percent 6 2 3 5" xfId="15537"/>
    <cellStyle name="Percent 6 2 3 5 2" xfId="15538"/>
    <cellStyle name="Percent 6 2 3 6" xfId="15539"/>
    <cellStyle name="Percent 6 2 3 6 2" xfId="15540"/>
    <cellStyle name="Percent 6 2 3 7" xfId="15541"/>
    <cellStyle name="Percent 6 2 3 8" xfId="15542"/>
    <cellStyle name="Percent 6 2 3 9" xfId="15543"/>
    <cellStyle name="Percent 6 2 4" xfId="15544"/>
    <cellStyle name="Percent 6 2 4 2" xfId="15545"/>
    <cellStyle name="Percent 6 2 4 2 2" xfId="15546"/>
    <cellStyle name="Percent 6 2 4 2 2 2" xfId="15547"/>
    <cellStyle name="Percent 6 2 4 2 3" xfId="15548"/>
    <cellStyle name="Percent 6 2 4 2 3 2" xfId="15549"/>
    <cellStyle name="Percent 6 2 4 2 4" xfId="15550"/>
    <cellStyle name="Percent 6 2 4 2 5" xfId="15551"/>
    <cellStyle name="Percent 6 2 4 3" xfId="15552"/>
    <cellStyle name="Percent 6 2 4 3 2" xfId="15553"/>
    <cellStyle name="Percent 6 2 4 4" xfId="15554"/>
    <cellStyle name="Percent 6 2 4 4 2" xfId="15555"/>
    <cellStyle name="Percent 6 2 4 5" xfId="15556"/>
    <cellStyle name="Percent 6 2 4 5 2" xfId="15557"/>
    <cellStyle name="Percent 6 2 4 6" xfId="15558"/>
    <cellStyle name="Percent 6 2 4 6 2" xfId="15559"/>
    <cellStyle name="Percent 6 2 4 7" xfId="15560"/>
    <cellStyle name="Percent 6 2 4 8" xfId="15561"/>
    <cellStyle name="Percent 6 2 5" xfId="15562"/>
    <cellStyle name="Percent 6 2 5 2" xfId="15563"/>
    <cellStyle name="Percent 6 2 5 2 2" xfId="15564"/>
    <cellStyle name="Percent 6 2 5 3" xfId="15565"/>
    <cellStyle name="Percent 6 2 5 3 2" xfId="15566"/>
    <cellStyle name="Percent 6 2 5 4" xfId="15567"/>
    <cellStyle name="Percent 6 2 5 5" xfId="15568"/>
    <cellStyle name="Percent 6 2 6" xfId="15569"/>
    <cellStyle name="Percent 6 2 6 2" xfId="15570"/>
    <cellStyle name="Percent 6 2 6 2 2" xfId="15571"/>
    <cellStyle name="Percent 6 2 6 3" xfId="15572"/>
    <cellStyle name="Percent 6 2 6 3 2" xfId="15573"/>
    <cellStyle name="Percent 6 2 6 4" xfId="15574"/>
    <cellStyle name="Percent 6 2 6 5" xfId="15575"/>
    <cellStyle name="Percent 6 2 7" xfId="15576"/>
    <cellStyle name="Percent 6 2 7 2" xfId="15577"/>
    <cellStyle name="Percent 6 2 8" xfId="15578"/>
    <cellStyle name="Percent 6 2 8 2" xfId="15579"/>
    <cellStyle name="Percent 6 2 9" xfId="15580"/>
    <cellStyle name="Percent 6 3" xfId="15581"/>
    <cellStyle name="Percent 6 3 10" xfId="19307"/>
    <cellStyle name="Percent 6 3 11" xfId="39931"/>
    <cellStyle name="Percent 6 3 2" xfId="15582"/>
    <cellStyle name="Percent 6 3 2 2" xfId="15583"/>
    <cellStyle name="Percent 6 3 2 2 2" xfId="15584"/>
    <cellStyle name="Percent 6 3 2 2 2 2" xfId="15585"/>
    <cellStyle name="Percent 6 3 2 2 3" xfId="15586"/>
    <cellStyle name="Percent 6 3 2 2 3 2" xfId="15587"/>
    <cellStyle name="Percent 6 3 2 2 4" xfId="15588"/>
    <cellStyle name="Percent 6 3 2 2 5" xfId="15589"/>
    <cellStyle name="Percent 6 3 2 3" xfId="15590"/>
    <cellStyle name="Percent 6 3 2 3 2" xfId="15591"/>
    <cellStyle name="Percent 6 3 2 4" xfId="15592"/>
    <cellStyle name="Percent 6 3 2 4 2" xfId="15593"/>
    <cellStyle name="Percent 6 3 2 5" xfId="15594"/>
    <cellStyle name="Percent 6 3 2 5 2" xfId="15595"/>
    <cellStyle name="Percent 6 3 2 6" xfId="15596"/>
    <cellStyle name="Percent 6 3 2 6 2" xfId="15597"/>
    <cellStyle name="Percent 6 3 2 7" xfId="15598"/>
    <cellStyle name="Percent 6 3 2 8" xfId="15599"/>
    <cellStyle name="Percent 6 3 3" xfId="15600"/>
    <cellStyle name="Percent 6 3 3 2" xfId="15601"/>
    <cellStyle name="Percent 6 3 3 2 2" xfId="15602"/>
    <cellStyle name="Percent 6 3 3 3" xfId="15603"/>
    <cellStyle name="Percent 6 3 3 3 2" xfId="15604"/>
    <cellStyle name="Percent 6 3 3 4" xfId="15605"/>
    <cellStyle name="Percent 6 3 3 5" xfId="15606"/>
    <cellStyle name="Percent 6 3 4" xfId="15607"/>
    <cellStyle name="Percent 6 3 4 2" xfId="15608"/>
    <cellStyle name="Percent 6 3 4 2 2" xfId="15609"/>
    <cellStyle name="Percent 6 3 4 3" xfId="15610"/>
    <cellStyle name="Percent 6 3 4 3 2" xfId="15611"/>
    <cellStyle name="Percent 6 3 4 4" xfId="15612"/>
    <cellStyle name="Percent 6 3 4 5" xfId="15613"/>
    <cellStyle name="Percent 6 3 5" xfId="15614"/>
    <cellStyle name="Percent 6 3 5 2" xfId="15615"/>
    <cellStyle name="Percent 6 3 6" xfId="15616"/>
    <cellStyle name="Percent 6 3 6 2" xfId="15617"/>
    <cellStyle name="Percent 6 3 7" xfId="15618"/>
    <cellStyle name="Percent 6 3 8" xfId="15619"/>
    <cellStyle name="Percent 6 3 9" xfId="15620"/>
    <cellStyle name="Percent 6 4" xfId="15621"/>
    <cellStyle name="Percent 6 4 2" xfId="15622"/>
    <cellStyle name="Percent 6 4 2 2" xfId="15623"/>
    <cellStyle name="Percent 6 4 2 2 2" xfId="15624"/>
    <cellStyle name="Percent 6 4 2 2 2 2" xfId="15625"/>
    <cellStyle name="Percent 6 4 2 2 3" xfId="15626"/>
    <cellStyle name="Percent 6 4 2 2 3 2" xfId="15627"/>
    <cellStyle name="Percent 6 4 2 2 4" xfId="15628"/>
    <cellStyle name="Percent 6 4 2 2 5" xfId="15629"/>
    <cellStyle name="Percent 6 4 2 3" xfId="15630"/>
    <cellStyle name="Percent 6 4 2 3 2" xfId="15631"/>
    <cellStyle name="Percent 6 4 2 4" xfId="15632"/>
    <cellStyle name="Percent 6 4 2 4 2" xfId="15633"/>
    <cellStyle name="Percent 6 4 2 5" xfId="15634"/>
    <cellStyle name="Percent 6 4 2 5 2" xfId="15635"/>
    <cellStyle name="Percent 6 4 2 6" xfId="15636"/>
    <cellStyle name="Percent 6 4 2 6 2" xfId="15637"/>
    <cellStyle name="Percent 6 4 2 7" xfId="15638"/>
    <cellStyle name="Percent 6 4 2 8" xfId="15639"/>
    <cellStyle name="Percent 6 4 3" xfId="15640"/>
    <cellStyle name="Percent 6 4 3 2" xfId="15641"/>
    <cellStyle name="Percent 6 4 3 2 2" xfId="15642"/>
    <cellStyle name="Percent 6 4 3 3" xfId="15643"/>
    <cellStyle name="Percent 6 4 3 3 2" xfId="15644"/>
    <cellStyle name="Percent 6 4 3 4" xfId="15645"/>
    <cellStyle name="Percent 6 4 3 5" xfId="15646"/>
    <cellStyle name="Percent 6 4 4" xfId="15647"/>
    <cellStyle name="Percent 6 4 4 2" xfId="15648"/>
    <cellStyle name="Percent 6 4 4 2 2" xfId="15649"/>
    <cellStyle name="Percent 6 4 4 3" xfId="15650"/>
    <cellStyle name="Percent 6 4 4 3 2" xfId="15651"/>
    <cellStyle name="Percent 6 4 4 4" xfId="15652"/>
    <cellStyle name="Percent 6 4 4 5" xfId="15653"/>
    <cellStyle name="Percent 6 4 5" xfId="15654"/>
    <cellStyle name="Percent 6 4 5 2" xfId="15655"/>
    <cellStyle name="Percent 6 4 6" xfId="15656"/>
    <cellStyle name="Percent 6 4 6 2" xfId="15657"/>
    <cellStyle name="Percent 6 4 7" xfId="15658"/>
    <cellStyle name="Percent 6 4 8" xfId="15659"/>
    <cellStyle name="Percent 6 4 9" xfId="15660"/>
    <cellStyle name="Percent 6 5" xfId="15661"/>
    <cellStyle name="Percent 6 5 2" xfId="15662"/>
    <cellStyle name="Percent 6 5 2 2" xfId="15663"/>
    <cellStyle name="Percent 6 5 2 2 2" xfId="15664"/>
    <cellStyle name="Percent 6 5 2 3" xfId="15665"/>
    <cellStyle name="Percent 6 5 2 3 2" xfId="15666"/>
    <cellStyle name="Percent 6 5 2 4" xfId="15667"/>
    <cellStyle name="Percent 6 5 2 5" xfId="15668"/>
    <cellStyle name="Percent 6 5 3" xfId="15669"/>
    <cellStyle name="Percent 6 5 3 2" xfId="15670"/>
    <cellStyle name="Percent 6 5 4" xfId="15671"/>
    <cellStyle name="Percent 6 5 4 2" xfId="15672"/>
    <cellStyle name="Percent 6 5 5" xfId="15673"/>
    <cellStyle name="Percent 6 5 5 2" xfId="15674"/>
    <cellStyle name="Percent 6 5 6" xfId="15675"/>
    <cellStyle name="Percent 6 5 6 2" xfId="15676"/>
    <cellStyle name="Percent 6 5 7" xfId="15677"/>
    <cellStyle name="Percent 6 5 8" xfId="15678"/>
    <cellStyle name="Percent 6 6" xfId="15679"/>
    <cellStyle name="Percent 6 6 2" xfId="15680"/>
    <cellStyle name="Percent 6 6 2 2" xfId="15681"/>
    <cellStyle name="Percent 6 6 3" xfId="15682"/>
    <cellStyle name="Percent 6 6 3 2" xfId="15683"/>
    <cellStyle name="Percent 6 6 4" xfId="15684"/>
    <cellStyle name="Percent 6 6 5" xfId="15685"/>
    <cellStyle name="Percent 6 7" xfId="15686"/>
    <cellStyle name="Percent 6 7 2" xfId="15687"/>
    <cellStyle name="Percent 6 7 2 2" xfId="15688"/>
    <cellStyle name="Percent 6 7 3" xfId="15689"/>
    <cellStyle name="Percent 6 7 3 2" xfId="15690"/>
    <cellStyle name="Percent 6 7 4" xfId="15691"/>
    <cellStyle name="Percent 6 7 5" xfId="15692"/>
    <cellStyle name="Percent 6 8" xfId="15693"/>
    <cellStyle name="Percent 6 8 2" xfId="15694"/>
    <cellStyle name="Percent 6 9" xfId="15695"/>
    <cellStyle name="Percent 6 9 2" xfId="15696"/>
    <cellStyle name="Percent 63" xfId="39932"/>
    <cellStyle name="Percent 7" xfId="15697"/>
    <cellStyle name="Percent 7 10" xfId="15698"/>
    <cellStyle name="Percent 7 11" xfId="15699"/>
    <cellStyle name="Percent 7 12" xfId="15700"/>
    <cellStyle name="Percent 7 13" xfId="19308"/>
    <cellStyle name="Percent 7 14" xfId="39933"/>
    <cellStyle name="Percent 7 2" xfId="15701"/>
    <cellStyle name="Percent 7 2 10" xfId="15702"/>
    <cellStyle name="Percent 7 2 11" xfId="15703"/>
    <cellStyle name="Percent 7 2 12" xfId="19309"/>
    <cellStyle name="Percent 7 2 13" xfId="39934"/>
    <cellStyle name="Percent 7 2 2" xfId="15704"/>
    <cellStyle name="Percent 7 2 2 2" xfId="15705"/>
    <cellStyle name="Percent 7 2 2 2 2" xfId="15706"/>
    <cellStyle name="Percent 7 2 2 2 2 2" xfId="15707"/>
    <cellStyle name="Percent 7 2 2 2 2 2 2" xfId="15708"/>
    <cellStyle name="Percent 7 2 2 2 2 3" xfId="15709"/>
    <cellStyle name="Percent 7 2 2 2 2 3 2" xfId="15710"/>
    <cellStyle name="Percent 7 2 2 2 2 4" xfId="15711"/>
    <cellStyle name="Percent 7 2 2 2 2 5" xfId="15712"/>
    <cellStyle name="Percent 7 2 2 2 3" xfId="15713"/>
    <cellStyle name="Percent 7 2 2 2 3 2" xfId="15714"/>
    <cellStyle name="Percent 7 2 2 2 4" xfId="15715"/>
    <cellStyle name="Percent 7 2 2 2 4 2" xfId="15716"/>
    <cellStyle name="Percent 7 2 2 2 5" xfId="15717"/>
    <cellStyle name="Percent 7 2 2 2 5 2" xfId="15718"/>
    <cellStyle name="Percent 7 2 2 2 6" xfId="15719"/>
    <cellStyle name="Percent 7 2 2 2 6 2" xfId="15720"/>
    <cellStyle name="Percent 7 2 2 2 7" xfId="15721"/>
    <cellStyle name="Percent 7 2 2 2 8" xfId="15722"/>
    <cellStyle name="Percent 7 2 2 3" xfId="15723"/>
    <cellStyle name="Percent 7 2 2 3 2" xfId="15724"/>
    <cellStyle name="Percent 7 2 2 3 2 2" xfId="15725"/>
    <cellStyle name="Percent 7 2 2 3 3" xfId="15726"/>
    <cellStyle name="Percent 7 2 2 3 3 2" xfId="15727"/>
    <cellStyle name="Percent 7 2 2 3 4" xfId="15728"/>
    <cellStyle name="Percent 7 2 2 3 5" xfId="15729"/>
    <cellStyle name="Percent 7 2 2 4" xfId="15730"/>
    <cellStyle name="Percent 7 2 2 4 2" xfId="15731"/>
    <cellStyle name="Percent 7 2 2 4 2 2" xfId="15732"/>
    <cellStyle name="Percent 7 2 2 4 3" xfId="15733"/>
    <cellStyle name="Percent 7 2 2 4 3 2" xfId="15734"/>
    <cellStyle name="Percent 7 2 2 4 4" xfId="15735"/>
    <cellStyle name="Percent 7 2 2 4 5" xfId="15736"/>
    <cellStyle name="Percent 7 2 2 5" xfId="15737"/>
    <cellStyle name="Percent 7 2 2 5 2" xfId="15738"/>
    <cellStyle name="Percent 7 2 2 6" xfId="15739"/>
    <cellStyle name="Percent 7 2 2 6 2" xfId="15740"/>
    <cellStyle name="Percent 7 2 2 7" xfId="15741"/>
    <cellStyle name="Percent 7 2 2 8" xfId="15742"/>
    <cellStyle name="Percent 7 2 2 9" xfId="15743"/>
    <cellStyle name="Percent 7 2 3" xfId="15744"/>
    <cellStyle name="Percent 7 2 3 2" xfId="15745"/>
    <cellStyle name="Percent 7 2 3 2 2" xfId="15746"/>
    <cellStyle name="Percent 7 2 3 2 2 2" xfId="15747"/>
    <cellStyle name="Percent 7 2 3 2 2 2 2" xfId="15748"/>
    <cellStyle name="Percent 7 2 3 2 2 3" xfId="15749"/>
    <cellStyle name="Percent 7 2 3 2 2 3 2" xfId="15750"/>
    <cellStyle name="Percent 7 2 3 2 2 4" xfId="15751"/>
    <cellStyle name="Percent 7 2 3 2 2 5" xfId="15752"/>
    <cellStyle name="Percent 7 2 3 2 3" xfId="15753"/>
    <cellStyle name="Percent 7 2 3 2 3 2" xfId="15754"/>
    <cellStyle name="Percent 7 2 3 2 4" xfId="15755"/>
    <cellStyle name="Percent 7 2 3 2 4 2" xfId="15756"/>
    <cellStyle name="Percent 7 2 3 2 5" xfId="15757"/>
    <cellStyle name="Percent 7 2 3 2 5 2" xfId="15758"/>
    <cellStyle name="Percent 7 2 3 2 6" xfId="15759"/>
    <cellStyle name="Percent 7 2 3 2 6 2" xfId="15760"/>
    <cellStyle name="Percent 7 2 3 2 7" xfId="15761"/>
    <cellStyle name="Percent 7 2 3 2 8" xfId="15762"/>
    <cellStyle name="Percent 7 2 3 3" xfId="15763"/>
    <cellStyle name="Percent 7 2 3 3 2" xfId="15764"/>
    <cellStyle name="Percent 7 2 3 3 2 2" xfId="15765"/>
    <cellStyle name="Percent 7 2 3 3 3" xfId="15766"/>
    <cellStyle name="Percent 7 2 3 3 3 2" xfId="15767"/>
    <cellStyle name="Percent 7 2 3 3 4" xfId="15768"/>
    <cellStyle name="Percent 7 2 3 3 5" xfId="15769"/>
    <cellStyle name="Percent 7 2 3 4" xfId="15770"/>
    <cellStyle name="Percent 7 2 3 4 2" xfId="15771"/>
    <cellStyle name="Percent 7 2 3 4 2 2" xfId="15772"/>
    <cellStyle name="Percent 7 2 3 4 3" xfId="15773"/>
    <cellStyle name="Percent 7 2 3 4 3 2" xfId="15774"/>
    <cellStyle name="Percent 7 2 3 4 4" xfId="15775"/>
    <cellStyle name="Percent 7 2 3 4 5" xfId="15776"/>
    <cellStyle name="Percent 7 2 3 5" xfId="15777"/>
    <cellStyle name="Percent 7 2 3 5 2" xfId="15778"/>
    <cellStyle name="Percent 7 2 3 6" xfId="15779"/>
    <cellStyle name="Percent 7 2 3 6 2" xfId="15780"/>
    <cellStyle name="Percent 7 2 3 7" xfId="15781"/>
    <cellStyle name="Percent 7 2 3 8" xfId="15782"/>
    <cellStyle name="Percent 7 2 3 9" xfId="15783"/>
    <cellStyle name="Percent 7 2 4" xfId="15784"/>
    <cellStyle name="Percent 7 2 4 2" xfId="15785"/>
    <cellStyle name="Percent 7 2 4 2 2" xfId="15786"/>
    <cellStyle name="Percent 7 2 4 2 2 2" xfId="15787"/>
    <cellStyle name="Percent 7 2 4 2 3" xfId="15788"/>
    <cellStyle name="Percent 7 2 4 2 3 2" xfId="15789"/>
    <cellStyle name="Percent 7 2 4 2 4" xfId="15790"/>
    <cellStyle name="Percent 7 2 4 2 5" xfId="15791"/>
    <cellStyle name="Percent 7 2 4 3" xfId="15792"/>
    <cellStyle name="Percent 7 2 4 3 2" xfId="15793"/>
    <cellStyle name="Percent 7 2 4 4" xfId="15794"/>
    <cellStyle name="Percent 7 2 4 4 2" xfId="15795"/>
    <cellStyle name="Percent 7 2 4 5" xfId="15796"/>
    <cellStyle name="Percent 7 2 4 5 2" xfId="15797"/>
    <cellStyle name="Percent 7 2 4 6" xfId="15798"/>
    <cellStyle name="Percent 7 2 4 6 2" xfId="15799"/>
    <cellStyle name="Percent 7 2 4 7" xfId="15800"/>
    <cellStyle name="Percent 7 2 4 8" xfId="15801"/>
    <cellStyle name="Percent 7 2 5" xfId="15802"/>
    <cellStyle name="Percent 7 2 5 2" xfId="15803"/>
    <cellStyle name="Percent 7 2 5 2 2" xfId="15804"/>
    <cellStyle name="Percent 7 2 5 3" xfId="15805"/>
    <cellStyle name="Percent 7 2 5 3 2" xfId="15806"/>
    <cellStyle name="Percent 7 2 5 4" xfId="15807"/>
    <cellStyle name="Percent 7 2 5 5" xfId="15808"/>
    <cellStyle name="Percent 7 2 6" xfId="15809"/>
    <cellStyle name="Percent 7 2 6 2" xfId="15810"/>
    <cellStyle name="Percent 7 2 6 2 2" xfId="15811"/>
    <cellStyle name="Percent 7 2 6 3" xfId="15812"/>
    <cellStyle name="Percent 7 2 6 3 2" xfId="15813"/>
    <cellStyle name="Percent 7 2 6 4" xfId="15814"/>
    <cellStyle name="Percent 7 2 6 5" xfId="15815"/>
    <cellStyle name="Percent 7 2 7" xfId="15816"/>
    <cellStyle name="Percent 7 2 7 2" xfId="15817"/>
    <cellStyle name="Percent 7 2 8" xfId="15818"/>
    <cellStyle name="Percent 7 2 8 2" xfId="15819"/>
    <cellStyle name="Percent 7 2 9" xfId="15820"/>
    <cellStyle name="Percent 7 3" xfId="15821"/>
    <cellStyle name="Percent 7 3 10" xfId="19310"/>
    <cellStyle name="Percent 7 3 2" xfId="15822"/>
    <cellStyle name="Percent 7 3 2 2" xfId="15823"/>
    <cellStyle name="Percent 7 3 2 2 2" xfId="15824"/>
    <cellStyle name="Percent 7 3 2 2 2 2" xfId="15825"/>
    <cellStyle name="Percent 7 3 2 2 3" xfId="15826"/>
    <cellStyle name="Percent 7 3 2 2 3 2" xfId="15827"/>
    <cellStyle name="Percent 7 3 2 2 4" xfId="15828"/>
    <cellStyle name="Percent 7 3 2 2 5" xfId="15829"/>
    <cellStyle name="Percent 7 3 2 3" xfId="15830"/>
    <cellStyle name="Percent 7 3 2 3 2" xfId="15831"/>
    <cellStyle name="Percent 7 3 2 4" xfId="15832"/>
    <cellStyle name="Percent 7 3 2 4 2" xfId="15833"/>
    <cellStyle name="Percent 7 3 2 5" xfId="15834"/>
    <cellStyle name="Percent 7 3 2 5 2" xfId="15835"/>
    <cellStyle name="Percent 7 3 2 6" xfId="15836"/>
    <cellStyle name="Percent 7 3 2 6 2" xfId="15837"/>
    <cellStyle name="Percent 7 3 2 7" xfId="15838"/>
    <cellStyle name="Percent 7 3 2 8" xfId="15839"/>
    <cellStyle name="Percent 7 3 3" xfId="15840"/>
    <cellStyle name="Percent 7 3 3 2" xfId="15841"/>
    <cellStyle name="Percent 7 3 3 2 2" xfId="15842"/>
    <cellStyle name="Percent 7 3 3 3" xfId="15843"/>
    <cellStyle name="Percent 7 3 3 3 2" xfId="15844"/>
    <cellStyle name="Percent 7 3 3 4" xfId="15845"/>
    <cellStyle name="Percent 7 3 3 5" xfId="15846"/>
    <cellStyle name="Percent 7 3 4" xfId="15847"/>
    <cellStyle name="Percent 7 3 4 2" xfId="15848"/>
    <cellStyle name="Percent 7 3 4 2 2" xfId="15849"/>
    <cellStyle name="Percent 7 3 4 3" xfId="15850"/>
    <cellStyle name="Percent 7 3 4 3 2" xfId="15851"/>
    <cellStyle name="Percent 7 3 4 4" xfId="15852"/>
    <cellStyle name="Percent 7 3 4 5" xfId="15853"/>
    <cellStyle name="Percent 7 3 5" xfId="15854"/>
    <cellStyle name="Percent 7 3 5 2" xfId="15855"/>
    <cellStyle name="Percent 7 3 6" xfId="15856"/>
    <cellStyle name="Percent 7 3 6 2" xfId="15857"/>
    <cellStyle name="Percent 7 3 7" xfId="15858"/>
    <cellStyle name="Percent 7 3 8" xfId="15859"/>
    <cellStyle name="Percent 7 3 9" xfId="15860"/>
    <cellStyle name="Percent 7 4" xfId="15861"/>
    <cellStyle name="Percent 7 4 2" xfId="15862"/>
    <cellStyle name="Percent 7 4 2 2" xfId="15863"/>
    <cellStyle name="Percent 7 4 2 2 2" xfId="15864"/>
    <cellStyle name="Percent 7 4 2 2 2 2" xfId="15865"/>
    <cellStyle name="Percent 7 4 2 2 3" xfId="15866"/>
    <cellStyle name="Percent 7 4 2 2 3 2" xfId="15867"/>
    <cellStyle name="Percent 7 4 2 2 4" xfId="15868"/>
    <cellStyle name="Percent 7 4 2 2 5" xfId="15869"/>
    <cellStyle name="Percent 7 4 2 3" xfId="15870"/>
    <cellStyle name="Percent 7 4 2 3 2" xfId="15871"/>
    <cellStyle name="Percent 7 4 2 4" xfId="15872"/>
    <cellStyle name="Percent 7 4 2 4 2" xfId="15873"/>
    <cellStyle name="Percent 7 4 2 5" xfId="15874"/>
    <cellStyle name="Percent 7 4 2 5 2" xfId="15875"/>
    <cellStyle name="Percent 7 4 2 6" xfId="15876"/>
    <cellStyle name="Percent 7 4 2 6 2" xfId="15877"/>
    <cellStyle name="Percent 7 4 2 7" xfId="15878"/>
    <cellStyle name="Percent 7 4 2 8" xfId="15879"/>
    <cellStyle name="Percent 7 4 3" xfId="15880"/>
    <cellStyle name="Percent 7 4 3 2" xfId="15881"/>
    <cellStyle name="Percent 7 4 3 2 2" xfId="15882"/>
    <cellStyle name="Percent 7 4 3 3" xfId="15883"/>
    <cellStyle name="Percent 7 4 3 3 2" xfId="15884"/>
    <cellStyle name="Percent 7 4 3 4" xfId="15885"/>
    <cellStyle name="Percent 7 4 3 5" xfId="15886"/>
    <cellStyle name="Percent 7 4 4" xfId="15887"/>
    <cellStyle name="Percent 7 4 4 2" xfId="15888"/>
    <cellStyle name="Percent 7 4 4 2 2" xfId="15889"/>
    <cellStyle name="Percent 7 4 4 3" xfId="15890"/>
    <cellStyle name="Percent 7 4 4 3 2" xfId="15891"/>
    <cellStyle name="Percent 7 4 4 4" xfId="15892"/>
    <cellStyle name="Percent 7 4 4 5" xfId="15893"/>
    <cellStyle name="Percent 7 4 5" xfId="15894"/>
    <cellStyle name="Percent 7 4 5 2" xfId="15895"/>
    <cellStyle name="Percent 7 4 6" xfId="15896"/>
    <cellStyle name="Percent 7 4 6 2" xfId="15897"/>
    <cellStyle name="Percent 7 4 7" xfId="15898"/>
    <cellStyle name="Percent 7 4 8" xfId="15899"/>
    <cellStyle name="Percent 7 4 9" xfId="15900"/>
    <cellStyle name="Percent 7 5" xfId="15901"/>
    <cellStyle name="Percent 7 5 2" xfId="15902"/>
    <cellStyle name="Percent 7 5 2 2" xfId="15903"/>
    <cellStyle name="Percent 7 5 2 2 2" xfId="15904"/>
    <cellStyle name="Percent 7 5 2 3" xfId="15905"/>
    <cellStyle name="Percent 7 5 2 3 2" xfId="15906"/>
    <cellStyle name="Percent 7 5 2 4" xfId="15907"/>
    <cellStyle name="Percent 7 5 2 5" xfId="15908"/>
    <cellStyle name="Percent 7 5 3" xfId="15909"/>
    <cellStyle name="Percent 7 5 3 2" xfId="15910"/>
    <cellStyle name="Percent 7 5 4" xfId="15911"/>
    <cellStyle name="Percent 7 5 4 2" xfId="15912"/>
    <cellStyle name="Percent 7 5 5" xfId="15913"/>
    <cellStyle name="Percent 7 5 5 2" xfId="15914"/>
    <cellStyle name="Percent 7 5 6" xfId="15915"/>
    <cellStyle name="Percent 7 5 6 2" xfId="15916"/>
    <cellStyle name="Percent 7 5 7" xfId="15917"/>
    <cellStyle name="Percent 7 5 8" xfId="15918"/>
    <cellStyle name="Percent 7 6" xfId="15919"/>
    <cellStyle name="Percent 7 6 2" xfId="15920"/>
    <cellStyle name="Percent 7 6 2 2" xfId="15921"/>
    <cellStyle name="Percent 7 6 3" xfId="15922"/>
    <cellStyle name="Percent 7 6 3 2" xfId="15923"/>
    <cellStyle name="Percent 7 6 4" xfId="15924"/>
    <cellStyle name="Percent 7 6 5" xfId="15925"/>
    <cellStyle name="Percent 7 7" xfId="15926"/>
    <cellStyle name="Percent 7 7 2" xfId="15927"/>
    <cellStyle name="Percent 7 7 2 2" xfId="15928"/>
    <cellStyle name="Percent 7 7 3" xfId="15929"/>
    <cellStyle name="Percent 7 7 3 2" xfId="15930"/>
    <cellStyle name="Percent 7 7 4" xfId="15931"/>
    <cellStyle name="Percent 7 7 5" xfId="15932"/>
    <cellStyle name="Percent 7 8" xfId="15933"/>
    <cellStyle name="Percent 7 8 2" xfId="15934"/>
    <cellStyle name="Percent 7 9" xfId="15935"/>
    <cellStyle name="Percent 7 9 2" xfId="15936"/>
    <cellStyle name="Percent 8" xfId="15937"/>
    <cellStyle name="Percent 8 10" xfId="15938"/>
    <cellStyle name="Percent 8 11" xfId="15939"/>
    <cellStyle name="Percent 8 12" xfId="15940"/>
    <cellStyle name="Percent 8 13" xfId="19311"/>
    <cellStyle name="Percent 8 14" xfId="39935"/>
    <cellStyle name="Percent 8 15" xfId="39936"/>
    <cellStyle name="Percent 8 2" xfId="15941"/>
    <cellStyle name="Percent 8 2 10" xfId="15942"/>
    <cellStyle name="Percent 8 2 11" xfId="15943"/>
    <cellStyle name="Percent 8 2 2" xfId="15944"/>
    <cellStyle name="Percent 8 2 2 2" xfId="15945"/>
    <cellStyle name="Percent 8 2 2 2 2" xfId="15946"/>
    <cellStyle name="Percent 8 2 2 2 2 2" xfId="15947"/>
    <cellStyle name="Percent 8 2 2 2 2 2 2" xfId="15948"/>
    <cellStyle name="Percent 8 2 2 2 2 3" xfId="15949"/>
    <cellStyle name="Percent 8 2 2 2 2 3 2" xfId="15950"/>
    <cellStyle name="Percent 8 2 2 2 2 4" xfId="15951"/>
    <cellStyle name="Percent 8 2 2 2 2 5" xfId="15952"/>
    <cellStyle name="Percent 8 2 2 2 3" xfId="15953"/>
    <cellStyle name="Percent 8 2 2 2 3 2" xfId="15954"/>
    <cellStyle name="Percent 8 2 2 2 4" xfId="15955"/>
    <cellStyle name="Percent 8 2 2 2 4 2" xfId="15956"/>
    <cellStyle name="Percent 8 2 2 2 5" xfId="15957"/>
    <cellStyle name="Percent 8 2 2 2 5 2" xfId="15958"/>
    <cellStyle name="Percent 8 2 2 2 6" xfId="15959"/>
    <cellStyle name="Percent 8 2 2 2 6 2" xfId="15960"/>
    <cellStyle name="Percent 8 2 2 2 7" xfId="15961"/>
    <cellStyle name="Percent 8 2 2 2 8" xfId="15962"/>
    <cellStyle name="Percent 8 2 2 3" xfId="15963"/>
    <cellStyle name="Percent 8 2 2 3 2" xfId="15964"/>
    <cellStyle name="Percent 8 2 2 3 2 2" xfId="15965"/>
    <cellStyle name="Percent 8 2 2 3 3" xfId="15966"/>
    <cellStyle name="Percent 8 2 2 3 3 2" xfId="15967"/>
    <cellStyle name="Percent 8 2 2 3 4" xfId="15968"/>
    <cellStyle name="Percent 8 2 2 3 5" xfId="15969"/>
    <cellStyle name="Percent 8 2 2 4" xfId="15970"/>
    <cellStyle name="Percent 8 2 2 4 2" xfId="15971"/>
    <cellStyle name="Percent 8 2 2 4 2 2" xfId="15972"/>
    <cellStyle name="Percent 8 2 2 4 3" xfId="15973"/>
    <cellStyle name="Percent 8 2 2 4 3 2" xfId="15974"/>
    <cellStyle name="Percent 8 2 2 4 4" xfId="15975"/>
    <cellStyle name="Percent 8 2 2 4 5" xfId="15976"/>
    <cellStyle name="Percent 8 2 2 5" xfId="15977"/>
    <cellStyle name="Percent 8 2 2 5 2" xfId="15978"/>
    <cellStyle name="Percent 8 2 2 6" xfId="15979"/>
    <cellStyle name="Percent 8 2 2 6 2" xfId="15980"/>
    <cellStyle name="Percent 8 2 2 7" xfId="15981"/>
    <cellStyle name="Percent 8 2 2 8" xfId="15982"/>
    <cellStyle name="Percent 8 2 2 9" xfId="15983"/>
    <cellStyle name="Percent 8 2 3" xfId="15984"/>
    <cellStyle name="Percent 8 2 3 2" xfId="15985"/>
    <cellStyle name="Percent 8 2 3 2 2" xfId="15986"/>
    <cellStyle name="Percent 8 2 3 2 2 2" xfId="15987"/>
    <cellStyle name="Percent 8 2 3 2 2 2 2" xfId="15988"/>
    <cellStyle name="Percent 8 2 3 2 2 3" xfId="15989"/>
    <cellStyle name="Percent 8 2 3 2 2 3 2" xfId="15990"/>
    <cellStyle name="Percent 8 2 3 2 2 4" xfId="15991"/>
    <cellStyle name="Percent 8 2 3 2 2 5" xfId="15992"/>
    <cellStyle name="Percent 8 2 3 2 3" xfId="15993"/>
    <cellStyle name="Percent 8 2 3 2 3 2" xfId="15994"/>
    <cellStyle name="Percent 8 2 3 2 4" xfId="15995"/>
    <cellStyle name="Percent 8 2 3 2 4 2" xfId="15996"/>
    <cellStyle name="Percent 8 2 3 2 5" xfId="15997"/>
    <cellStyle name="Percent 8 2 3 2 5 2" xfId="15998"/>
    <cellStyle name="Percent 8 2 3 2 6" xfId="15999"/>
    <cellStyle name="Percent 8 2 3 2 6 2" xfId="16000"/>
    <cellStyle name="Percent 8 2 3 2 7" xfId="16001"/>
    <cellStyle name="Percent 8 2 3 2 8" xfId="16002"/>
    <cellStyle name="Percent 8 2 3 3" xfId="16003"/>
    <cellStyle name="Percent 8 2 3 3 2" xfId="16004"/>
    <cellStyle name="Percent 8 2 3 3 2 2" xfId="16005"/>
    <cellStyle name="Percent 8 2 3 3 3" xfId="16006"/>
    <cellStyle name="Percent 8 2 3 3 3 2" xfId="16007"/>
    <cellStyle name="Percent 8 2 3 3 4" xfId="16008"/>
    <cellStyle name="Percent 8 2 3 3 5" xfId="16009"/>
    <cellStyle name="Percent 8 2 3 4" xfId="16010"/>
    <cellStyle name="Percent 8 2 3 4 2" xfId="16011"/>
    <cellStyle name="Percent 8 2 3 4 2 2" xfId="16012"/>
    <cellStyle name="Percent 8 2 3 4 3" xfId="16013"/>
    <cellStyle name="Percent 8 2 3 4 3 2" xfId="16014"/>
    <cellStyle name="Percent 8 2 3 4 4" xfId="16015"/>
    <cellStyle name="Percent 8 2 3 4 5" xfId="16016"/>
    <cellStyle name="Percent 8 2 3 5" xfId="16017"/>
    <cellStyle name="Percent 8 2 3 5 2" xfId="16018"/>
    <cellStyle name="Percent 8 2 3 6" xfId="16019"/>
    <cellStyle name="Percent 8 2 3 6 2" xfId="16020"/>
    <cellStyle name="Percent 8 2 3 7" xfId="16021"/>
    <cellStyle name="Percent 8 2 3 8" xfId="16022"/>
    <cellStyle name="Percent 8 2 3 9" xfId="16023"/>
    <cellStyle name="Percent 8 2 4" xfId="16024"/>
    <cellStyle name="Percent 8 2 4 2" xfId="16025"/>
    <cellStyle name="Percent 8 2 4 2 2" xfId="16026"/>
    <cellStyle name="Percent 8 2 4 2 2 2" xfId="16027"/>
    <cellStyle name="Percent 8 2 4 2 3" xfId="16028"/>
    <cellStyle name="Percent 8 2 4 2 3 2" xfId="16029"/>
    <cellStyle name="Percent 8 2 4 2 4" xfId="16030"/>
    <cellStyle name="Percent 8 2 4 2 5" xfId="16031"/>
    <cellStyle name="Percent 8 2 4 3" xfId="16032"/>
    <cellStyle name="Percent 8 2 4 3 2" xfId="16033"/>
    <cellStyle name="Percent 8 2 4 4" xfId="16034"/>
    <cellStyle name="Percent 8 2 4 4 2" xfId="16035"/>
    <cellStyle name="Percent 8 2 4 5" xfId="16036"/>
    <cellStyle name="Percent 8 2 4 5 2" xfId="16037"/>
    <cellStyle name="Percent 8 2 4 6" xfId="16038"/>
    <cellStyle name="Percent 8 2 4 6 2" xfId="16039"/>
    <cellStyle name="Percent 8 2 4 7" xfId="16040"/>
    <cellStyle name="Percent 8 2 4 8" xfId="16041"/>
    <cellStyle name="Percent 8 2 5" xfId="16042"/>
    <cellStyle name="Percent 8 2 5 2" xfId="16043"/>
    <cellStyle name="Percent 8 2 5 2 2" xfId="16044"/>
    <cellStyle name="Percent 8 2 5 3" xfId="16045"/>
    <cellStyle name="Percent 8 2 5 3 2" xfId="16046"/>
    <cellStyle name="Percent 8 2 5 4" xfId="16047"/>
    <cellStyle name="Percent 8 2 5 5" xfId="16048"/>
    <cellStyle name="Percent 8 2 6" xfId="16049"/>
    <cellStyle name="Percent 8 2 6 2" xfId="16050"/>
    <cellStyle name="Percent 8 2 6 2 2" xfId="16051"/>
    <cellStyle name="Percent 8 2 6 3" xfId="16052"/>
    <cellStyle name="Percent 8 2 6 3 2" xfId="16053"/>
    <cellStyle name="Percent 8 2 6 4" xfId="16054"/>
    <cellStyle name="Percent 8 2 6 5" xfId="16055"/>
    <cellStyle name="Percent 8 2 7" xfId="16056"/>
    <cellStyle name="Percent 8 2 7 2" xfId="16057"/>
    <cellStyle name="Percent 8 2 8" xfId="16058"/>
    <cellStyle name="Percent 8 2 8 2" xfId="16059"/>
    <cellStyle name="Percent 8 2 9" xfId="16060"/>
    <cellStyle name="Percent 8 3" xfId="16061"/>
    <cellStyle name="Percent 8 3 2" xfId="16062"/>
    <cellStyle name="Percent 8 3 2 2" xfId="16063"/>
    <cellStyle name="Percent 8 3 2 2 2" xfId="16064"/>
    <cellStyle name="Percent 8 3 2 2 2 2" xfId="16065"/>
    <cellStyle name="Percent 8 3 2 2 3" xfId="16066"/>
    <cellStyle name="Percent 8 3 2 2 3 2" xfId="16067"/>
    <cellStyle name="Percent 8 3 2 2 4" xfId="16068"/>
    <cellStyle name="Percent 8 3 2 2 5" xfId="16069"/>
    <cellStyle name="Percent 8 3 2 3" xfId="16070"/>
    <cellStyle name="Percent 8 3 2 3 2" xfId="16071"/>
    <cellStyle name="Percent 8 3 2 4" xfId="16072"/>
    <cellStyle name="Percent 8 3 2 4 2" xfId="16073"/>
    <cellStyle name="Percent 8 3 2 5" xfId="16074"/>
    <cellStyle name="Percent 8 3 2 5 2" xfId="16075"/>
    <cellStyle name="Percent 8 3 2 6" xfId="16076"/>
    <cellStyle name="Percent 8 3 2 6 2" xfId="16077"/>
    <cellStyle name="Percent 8 3 2 7" xfId="16078"/>
    <cellStyle name="Percent 8 3 2 8" xfId="16079"/>
    <cellStyle name="Percent 8 3 3" xfId="16080"/>
    <cellStyle name="Percent 8 3 3 2" xfId="16081"/>
    <cellStyle name="Percent 8 3 3 2 2" xfId="16082"/>
    <cellStyle name="Percent 8 3 3 3" xfId="16083"/>
    <cellStyle name="Percent 8 3 3 3 2" xfId="16084"/>
    <cellStyle name="Percent 8 3 3 4" xfId="16085"/>
    <cellStyle name="Percent 8 3 3 5" xfId="16086"/>
    <cellStyle name="Percent 8 3 4" xfId="16087"/>
    <cellStyle name="Percent 8 3 4 2" xfId="16088"/>
    <cellStyle name="Percent 8 3 4 2 2" xfId="16089"/>
    <cellStyle name="Percent 8 3 4 3" xfId="16090"/>
    <cellStyle name="Percent 8 3 4 3 2" xfId="16091"/>
    <cellStyle name="Percent 8 3 4 4" xfId="16092"/>
    <cellStyle name="Percent 8 3 4 5" xfId="16093"/>
    <cellStyle name="Percent 8 3 5" xfId="16094"/>
    <cellStyle name="Percent 8 3 5 2" xfId="16095"/>
    <cellStyle name="Percent 8 3 6" xfId="16096"/>
    <cellStyle name="Percent 8 3 6 2" xfId="16097"/>
    <cellStyle name="Percent 8 3 7" xfId="16098"/>
    <cellStyle name="Percent 8 3 8" xfId="16099"/>
    <cellStyle name="Percent 8 3 9" xfId="16100"/>
    <cellStyle name="Percent 8 4" xfId="16101"/>
    <cellStyle name="Percent 8 4 2" xfId="16102"/>
    <cellStyle name="Percent 8 4 2 2" xfId="16103"/>
    <cellStyle name="Percent 8 4 2 2 2" xfId="16104"/>
    <cellStyle name="Percent 8 4 2 2 2 2" xfId="16105"/>
    <cellStyle name="Percent 8 4 2 2 3" xfId="16106"/>
    <cellStyle name="Percent 8 4 2 2 3 2" xfId="16107"/>
    <cellStyle name="Percent 8 4 2 2 4" xfId="16108"/>
    <cellStyle name="Percent 8 4 2 2 5" xfId="16109"/>
    <cellStyle name="Percent 8 4 2 3" xfId="16110"/>
    <cellStyle name="Percent 8 4 2 3 2" xfId="16111"/>
    <cellStyle name="Percent 8 4 2 4" xfId="16112"/>
    <cellStyle name="Percent 8 4 2 4 2" xfId="16113"/>
    <cellStyle name="Percent 8 4 2 5" xfId="16114"/>
    <cellStyle name="Percent 8 4 2 5 2" xfId="16115"/>
    <cellStyle name="Percent 8 4 2 6" xfId="16116"/>
    <cellStyle name="Percent 8 4 2 6 2" xfId="16117"/>
    <cellStyle name="Percent 8 4 2 7" xfId="16118"/>
    <cellStyle name="Percent 8 4 2 8" xfId="16119"/>
    <cellStyle name="Percent 8 4 3" xfId="16120"/>
    <cellStyle name="Percent 8 4 3 2" xfId="16121"/>
    <cellStyle name="Percent 8 4 3 2 2" xfId="16122"/>
    <cellStyle name="Percent 8 4 3 3" xfId="16123"/>
    <cellStyle name="Percent 8 4 3 3 2" xfId="16124"/>
    <cellStyle name="Percent 8 4 3 4" xfId="16125"/>
    <cellStyle name="Percent 8 4 3 5" xfId="16126"/>
    <cellStyle name="Percent 8 4 4" xfId="16127"/>
    <cellStyle name="Percent 8 4 4 2" xfId="16128"/>
    <cellStyle name="Percent 8 4 4 2 2" xfId="16129"/>
    <cellStyle name="Percent 8 4 4 3" xfId="16130"/>
    <cellStyle name="Percent 8 4 4 3 2" xfId="16131"/>
    <cellStyle name="Percent 8 4 4 4" xfId="16132"/>
    <cellStyle name="Percent 8 4 4 5" xfId="16133"/>
    <cellStyle name="Percent 8 4 5" xfId="16134"/>
    <cellStyle name="Percent 8 4 5 2" xfId="16135"/>
    <cellStyle name="Percent 8 4 6" xfId="16136"/>
    <cellStyle name="Percent 8 4 6 2" xfId="16137"/>
    <cellStyle name="Percent 8 4 7" xfId="16138"/>
    <cellStyle name="Percent 8 4 8" xfId="16139"/>
    <cellStyle name="Percent 8 4 9" xfId="16140"/>
    <cellStyle name="Percent 8 5" xfId="16141"/>
    <cellStyle name="Percent 8 5 2" xfId="16142"/>
    <cellStyle name="Percent 8 5 2 2" xfId="16143"/>
    <cellStyle name="Percent 8 5 2 2 2" xfId="16144"/>
    <cellStyle name="Percent 8 5 2 3" xfId="16145"/>
    <cellStyle name="Percent 8 5 2 3 2" xfId="16146"/>
    <cellStyle name="Percent 8 5 2 4" xfId="16147"/>
    <cellStyle name="Percent 8 5 2 5" xfId="16148"/>
    <cellStyle name="Percent 8 5 3" xfId="16149"/>
    <cellStyle name="Percent 8 5 3 2" xfId="16150"/>
    <cellStyle name="Percent 8 5 4" xfId="16151"/>
    <cellStyle name="Percent 8 5 4 2" xfId="16152"/>
    <cellStyle name="Percent 8 5 5" xfId="16153"/>
    <cellStyle name="Percent 8 5 5 2" xfId="16154"/>
    <cellStyle name="Percent 8 5 6" xfId="16155"/>
    <cellStyle name="Percent 8 5 6 2" xfId="16156"/>
    <cellStyle name="Percent 8 5 7" xfId="16157"/>
    <cellStyle name="Percent 8 5 8" xfId="16158"/>
    <cellStyle name="Percent 8 6" xfId="16159"/>
    <cellStyle name="Percent 8 6 2" xfId="16160"/>
    <cellStyle name="Percent 8 6 2 2" xfId="16161"/>
    <cellStyle name="Percent 8 6 3" xfId="16162"/>
    <cellStyle name="Percent 8 6 3 2" xfId="16163"/>
    <cellStyle name="Percent 8 6 4" xfId="16164"/>
    <cellStyle name="Percent 8 6 5" xfId="16165"/>
    <cellStyle name="Percent 8 7" xfId="16166"/>
    <cellStyle name="Percent 8 7 2" xfId="16167"/>
    <cellStyle name="Percent 8 7 2 2" xfId="16168"/>
    <cellStyle name="Percent 8 7 3" xfId="16169"/>
    <cellStyle name="Percent 8 7 3 2" xfId="16170"/>
    <cellStyle name="Percent 8 7 4" xfId="16171"/>
    <cellStyle name="Percent 8 7 5" xfId="16172"/>
    <cellStyle name="Percent 8 8" xfId="16173"/>
    <cellStyle name="Percent 8 8 2" xfId="16174"/>
    <cellStyle name="Percent 8 9" xfId="16175"/>
    <cellStyle name="Percent 8 9 2" xfId="16176"/>
    <cellStyle name="Percent 9" xfId="16177"/>
    <cellStyle name="Percent 9 10" xfId="16178"/>
    <cellStyle name="Percent 9 11" xfId="16179"/>
    <cellStyle name="Percent 9 12" xfId="16180"/>
    <cellStyle name="Percent 9 13" xfId="19312"/>
    <cellStyle name="Percent 9 14" xfId="39937"/>
    <cellStyle name="Percent 9 2" xfId="16181"/>
    <cellStyle name="Percent 9 2 10" xfId="16182"/>
    <cellStyle name="Percent 9 2 11" xfId="16183"/>
    <cellStyle name="Percent 9 2 12" xfId="39938"/>
    <cellStyle name="Percent 9 2 13" xfId="39939"/>
    <cellStyle name="Percent 9 2 2" xfId="16184"/>
    <cellStyle name="Percent 9 2 2 2" xfId="16185"/>
    <cellStyle name="Percent 9 2 2 2 2" xfId="16186"/>
    <cellStyle name="Percent 9 2 2 2 2 2" xfId="16187"/>
    <cellStyle name="Percent 9 2 2 2 2 2 2" xfId="16188"/>
    <cellStyle name="Percent 9 2 2 2 2 3" xfId="16189"/>
    <cellStyle name="Percent 9 2 2 2 2 3 2" xfId="16190"/>
    <cellStyle name="Percent 9 2 2 2 2 4" xfId="16191"/>
    <cellStyle name="Percent 9 2 2 2 2 5" xfId="16192"/>
    <cellStyle name="Percent 9 2 2 2 3" xfId="16193"/>
    <cellStyle name="Percent 9 2 2 2 3 2" xfId="16194"/>
    <cellStyle name="Percent 9 2 2 2 4" xfId="16195"/>
    <cellStyle name="Percent 9 2 2 2 4 2" xfId="16196"/>
    <cellStyle name="Percent 9 2 2 2 5" xfId="16197"/>
    <cellStyle name="Percent 9 2 2 2 5 2" xfId="16198"/>
    <cellStyle name="Percent 9 2 2 2 6" xfId="16199"/>
    <cellStyle name="Percent 9 2 2 2 6 2" xfId="16200"/>
    <cellStyle name="Percent 9 2 2 2 7" xfId="16201"/>
    <cellStyle name="Percent 9 2 2 2 8" xfId="16202"/>
    <cellStyle name="Percent 9 2 2 3" xfId="16203"/>
    <cellStyle name="Percent 9 2 2 3 2" xfId="16204"/>
    <cellStyle name="Percent 9 2 2 3 2 2" xfId="16205"/>
    <cellStyle name="Percent 9 2 2 3 3" xfId="16206"/>
    <cellStyle name="Percent 9 2 2 3 3 2" xfId="16207"/>
    <cellStyle name="Percent 9 2 2 3 4" xfId="16208"/>
    <cellStyle name="Percent 9 2 2 3 5" xfId="16209"/>
    <cellStyle name="Percent 9 2 2 4" xfId="16210"/>
    <cellStyle name="Percent 9 2 2 4 2" xfId="16211"/>
    <cellStyle name="Percent 9 2 2 4 2 2" xfId="16212"/>
    <cellStyle name="Percent 9 2 2 4 3" xfId="16213"/>
    <cellStyle name="Percent 9 2 2 4 3 2" xfId="16214"/>
    <cellStyle name="Percent 9 2 2 4 4" xfId="16215"/>
    <cellStyle name="Percent 9 2 2 4 5" xfId="16216"/>
    <cellStyle name="Percent 9 2 2 5" xfId="16217"/>
    <cellStyle name="Percent 9 2 2 5 2" xfId="16218"/>
    <cellStyle name="Percent 9 2 2 6" xfId="16219"/>
    <cellStyle name="Percent 9 2 2 6 2" xfId="16220"/>
    <cellStyle name="Percent 9 2 2 7" xfId="16221"/>
    <cellStyle name="Percent 9 2 2 8" xfId="16222"/>
    <cellStyle name="Percent 9 2 2 9" xfId="16223"/>
    <cellStyle name="Percent 9 2 3" xfId="16224"/>
    <cellStyle name="Percent 9 2 3 2" xfId="16225"/>
    <cellStyle name="Percent 9 2 3 2 2" xfId="16226"/>
    <cellStyle name="Percent 9 2 3 2 2 2" xfId="16227"/>
    <cellStyle name="Percent 9 2 3 2 2 2 2" xfId="16228"/>
    <cellStyle name="Percent 9 2 3 2 2 3" xfId="16229"/>
    <cellStyle name="Percent 9 2 3 2 2 3 2" xfId="16230"/>
    <cellStyle name="Percent 9 2 3 2 2 4" xfId="16231"/>
    <cellStyle name="Percent 9 2 3 2 2 5" xfId="16232"/>
    <cellStyle name="Percent 9 2 3 2 3" xfId="16233"/>
    <cellStyle name="Percent 9 2 3 2 3 2" xfId="16234"/>
    <cellStyle name="Percent 9 2 3 2 4" xfId="16235"/>
    <cellStyle name="Percent 9 2 3 2 4 2" xfId="16236"/>
    <cellStyle name="Percent 9 2 3 2 5" xfId="16237"/>
    <cellStyle name="Percent 9 2 3 2 5 2" xfId="16238"/>
    <cellStyle name="Percent 9 2 3 2 6" xfId="16239"/>
    <cellStyle name="Percent 9 2 3 2 6 2" xfId="16240"/>
    <cellStyle name="Percent 9 2 3 2 7" xfId="16241"/>
    <cellStyle name="Percent 9 2 3 2 8" xfId="16242"/>
    <cellStyle name="Percent 9 2 3 3" xfId="16243"/>
    <cellStyle name="Percent 9 2 3 3 2" xfId="16244"/>
    <cellStyle name="Percent 9 2 3 3 2 2" xfId="16245"/>
    <cellStyle name="Percent 9 2 3 3 3" xfId="16246"/>
    <cellStyle name="Percent 9 2 3 3 3 2" xfId="16247"/>
    <cellStyle name="Percent 9 2 3 3 4" xfId="16248"/>
    <cellStyle name="Percent 9 2 3 3 5" xfId="16249"/>
    <cellStyle name="Percent 9 2 3 4" xfId="16250"/>
    <cellStyle name="Percent 9 2 3 4 2" xfId="16251"/>
    <cellStyle name="Percent 9 2 3 4 2 2" xfId="16252"/>
    <cellStyle name="Percent 9 2 3 4 3" xfId="16253"/>
    <cellStyle name="Percent 9 2 3 4 3 2" xfId="16254"/>
    <cellStyle name="Percent 9 2 3 4 4" xfId="16255"/>
    <cellStyle name="Percent 9 2 3 4 5" xfId="16256"/>
    <cellStyle name="Percent 9 2 3 5" xfId="16257"/>
    <cellStyle name="Percent 9 2 3 5 2" xfId="16258"/>
    <cellStyle name="Percent 9 2 3 6" xfId="16259"/>
    <cellStyle name="Percent 9 2 3 6 2" xfId="16260"/>
    <cellStyle name="Percent 9 2 3 7" xfId="16261"/>
    <cellStyle name="Percent 9 2 3 8" xfId="16262"/>
    <cellStyle name="Percent 9 2 3 9" xfId="16263"/>
    <cellStyle name="Percent 9 2 4" xfId="16264"/>
    <cellStyle name="Percent 9 2 4 2" xfId="16265"/>
    <cellStyle name="Percent 9 2 4 2 2" xfId="16266"/>
    <cellStyle name="Percent 9 2 4 2 2 2" xfId="16267"/>
    <cellStyle name="Percent 9 2 4 2 3" xfId="16268"/>
    <cellStyle name="Percent 9 2 4 2 3 2" xfId="16269"/>
    <cellStyle name="Percent 9 2 4 2 4" xfId="16270"/>
    <cellStyle name="Percent 9 2 4 2 5" xfId="16271"/>
    <cellStyle name="Percent 9 2 4 3" xfId="16272"/>
    <cellStyle name="Percent 9 2 4 3 2" xfId="16273"/>
    <cellStyle name="Percent 9 2 4 4" xfId="16274"/>
    <cellStyle name="Percent 9 2 4 4 2" xfId="16275"/>
    <cellStyle name="Percent 9 2 4 5" xfId="16276"/>
    <cellStyle name="Percent 9 2 4 5 2" xfId="16277"/>
    <cellStyle name="Percent 9 2 4 6" xfId="16278"/>
    <cellStyle name="Percent 9 2 4 6 2" xfId="16279"/>
    <cellStyle name="Percent 9 2 4 7" xfId="16280"/>
    <cellStyle name="Percent 9 2 4 8" xfId="16281"/>
    <cellStyle name="Percent 9 2 5" xfId="16282"/>
    <cellStyle name="Percent 9 2 5 2" xfId="16283"/>
    <cellStyle name="Percent 9 2 5 2 2" xfId="16284"/>
    <cellStyle name="Percent 9 2 5 3" xfId="16285"/>
    <cellStyle name="Percent 9 2 5 3 2" xfId="16286"/>
    <cellStyle name="Percent 9 2 5 4" xfId="16287"/>
    <cellStyle name="Percent 9 2 5 5" xfId="16288"/>
    <cellStyle name="Percent 9 2 6" xfId="16289"/>
    <cellStyle name="Percent 9 2 6 2" xfId="16290"/>
    <cellStyle name="Percent 9 2 6 2 2" xfId="16291"/>
    <cellStyle name="Percent 9 2 6 3" xfId="16292"/>
    <cellStyle name="Percent 9 2 6 3 2" xfId="16293"/>
    <cellStyle name="Percent 9 2 6 4" xfId="16294"/>
    <cellStyle name="Percent 9 2 6 5" xfId="16295"/>
    <cellStyle name="Percent 9 2 7" xfId="16296"/>
    <cellStyle name="Percent 9 2 7 2" xfId="16297"/>
    <cellStyle name="Percent 9 2 8" xfId="16298"/>
    <cellStyle name="Percent 9 2 8 2" xfId="16299"/>
    <cellStyle name="Percent 9 2 9" xfId="16300"/>
    <cellStyle name="Percent 9 3" xfId="16301"/>
    <cellStyle name="Percent 9 3 2" xfId="16302"/>
    <cellStyle name="Percent 9 3 2 2" xfId="16303"/>
    <cellStyle name="Percent 9 3 2 2 2" xfId="16304"/>
    <cellStyle name="Percent 9 3 2 2 2 2" xfId="16305"/>
    <cellStyle name="Percent 9 3 2 2 3" xfId="16306"/>
    <cellStyle name="Percent 9 3 2 2 3 2" xfId="16307"/>
    <cellStyle name="Percent 9 3 2 2 4" xfId="16308"/>
    <cellStyle name="Percent 9 3 2 2 5" xfId="16309"/>
    <cellStyle name="Percent 9 3 2 3" xfId="16310"/>
    <cellStyle name="Percent 9 3 2 3 2" xfId="16311"/>
    <cellStyle name="Percent 9 3 2 4" xfId="16312"/>
    <cellStyle name="Percent 9 3 2 4 2" xfId="16313"/>
    <cellStyle name="Percent 9 3 2 5" xfId="16314"/>
    <cellStyle name="Percent 9 3 2 5 2" xfId="16315"/>
    <cellStyle name="Percent 9 3 2 6" xfId="16316"/>
    <cellStyle name="Percent 9 3 2 6 2" xfId="16317"/>
    <cellStyle name="Percent 9 3 2 7" xfId="16318"/>
    <cellStyle name="Percent 9 3 2 8" xfId="16319"/>
    <cellStyle name="Percent 9 3 3" xfId="16320"/>
    <cellStyle name="Percent 9 3 3 2" xfId="16321"/>
    <cellStyle name="Percent 9 3 3 2 2" xfId="16322"/>
    <cellStyle name="Percent 9 3 3 3" xfId="16323"/>
    <cellStyle name="Percent 9 3 3 3 2" xfId="16324"/>
    <cellStyle name="Percent 9 3 3 4" xfId="16325"/>
    <cellStyle name="Percent 9 3 3 5" xfId="16326"/>
    <cellStyle name="Percent 9 3 4" xfId="16327"/>
    <cellStyle name="Percent 9 3 4 2" xfId="16328"/>
    <cellStyle name="Percent 9 3 4 2 2" xfId="16329"/>
    <cellStyle name="Percent 9 3 4 3" xfId="16330"/>
    <cellStyle name="Percent 9 3 4 3 2" xfId="16331"/>
    <cellStyle name="Percent 9 3 4 4" xfId="16332"/>
    <cellStyle name="Percent 9 3 4 5" xfId="16333"/>
    <cellStyle name="Percent 9 3 5" xfId="16334"/>
    <cellStyle name="Percent 9 3 5 2" xfId="16335"/>
    <cellStyle name="Percent 9 3 6" xfId="16336"/>
    <cellStyle name="Percent 9 3 6 2" xfId="16337"/>
    <cellStyle name="Percent 9 3 7" xfId="16338"/>
    <cellStyle name="Percent 9 3 8" xfId="16339"/>
    <cellStyle name="Percent 9 3 9" xfId="16340"/>
    <cellStyle name="Percent 9 4" xfId="16341"/>
    <cellStyle name="Percent 9 4 2" xfId="16342"/>
    <cellStyle name="Percent 9 4 2 2" xfId="16343"/>
    <cellStyle name="Percent 9 4 2 2 2" xfId="16344"/>
    <cellStyle name="Percent 9 4 2 2 2 2" xfId="16345"/>
    <cellStyle name="Percent 9 4 2 2 3" xfId="16346"/>
    <cellStyle name="Percent 9 4 2 2 3 2" xfId="16347"/>
    <cellStyle name="Percent 9 4 2 2 4" xfId="16348"/>
    <cellStyle name="Percent 9 4 2 2 5" xfId="16349"/>
    <cellStyle name="Percent 9 4 2 3" xfId="16350"/>
    <cellStyle name="Percent 9 4 2 3 2" xfId="16351"/>
    <cellStyle name="Percent 9 4 2 4" xfId="16352"/>
    <cellStyle name="Percent 9 4 2 4 2" xfId="16353"/>
    <cellStyle name="Percent 9 4 2 5" xfId="16354"/>
    <cellStyle name="Percent 9 4 2 5 2" xfId="16355"/>
    <cellStyle name="Percent 9 4 2 6" xfId="16356"/>
    <cellStyle name="Percent 9 4 2 6 2" xfId="16357"/>
    <cellStyle name="Percent 9 4 2 7" xfId="16358"/>
    <cellStyle name="Percent 9 4 2 8" xfId="16359"/>
    <cellStyle name="Percent 9 4 3" xfId="16360"/>
    <cellStyle name="Percent 9 4 3 2" xfId="16361"/>
    <cellStyle name="Percent 9 4 3 2 2" xfId="16362"/>
    <cellStyle name="Percent 9 4 3 3" xfId="16363"/>
    <cellStyle name="Percent 9 4 3 3 2" xfId="16364"/>
    <cellStyle name="Percent 9 4 3 4" xfId="16365"/>
    <cellStyle name="Percent 9 4 3 5" xfId="16366"/>
    <cellStyle name="Percent 9 4 4" xfId="16367"/>
    <cellStyle name="Percent 9 4 4 2" xfId="16368"/>
    <cellStyle name="Percent 9 4 4 2 2" xfId="16369"/>
    <cellStyle name="Percent 9 4 4 3" xfId="16370"/>
    <cellStyle name="Percent 9 4 4 3 2" xfId="16371"/>
    <cellStyle name="Percent 9 4 4 4" xfId="16372"/>
    <cellStyle name="Percent 9 4 4 5" xfId="16373"/>
    <cellStyle name="Percent 9 4 5" xfId="16374"/>
    <cellStyle name="Percent 9 4 5 2" xfId="16375"/>
    <cellStyle name="Percent 9 4 6" xfId="16376"/>
    <cellStyle name="Percent 9 4 6 2" xfId="16377"/>
    <cellStyle name="Percent 9 4 7" xfId="16378"/>
    <cellStyle name="Percent 9 4 8" xfId="16379"/>
    <cellStyle name="Percent 9 4 9" xfId="16380"/>
    <cellStyle name="Percent 9 5" xfId="16381"/>
    <cellStyle name="Percent 9 5 2" xfId="16382"/>
    <cellStyle name="Percent 9 5 2 2" xfId="16383"/>
    <cellStyle name="Percent 9 5 2 2 2" xfId="16384"/>
    <cellStyle name="Percent 9 5 2 3" xfId="16385"/>
    <cellStyle name="Percent 9 5 2 3 2" xfId="16386"/>
    <cellStyle name="Percent 9 5 2 4" xfId="16387"/>
    <cellStyle name="Percent 9 5 2 5" xfId="16388"/>
    <cellStyle name="Percent 9 5 3" xfId="16389"/>
    <cellStyle name="Percent 9 5 3 2" xfId="16390"/>
    <cellStyle name="Percent 9 5 4" xfId="16391"/>
    <cellStyle name="Percent 9 5 4 2" xfId="16392"/>
    <cellStyle name="Percent 9 5 5" xfId="16393"/>
    <cellStyle name="Percent 9 5 5 2" xfId="16394"/>
    <cellStyle name="Percent 9 5 6" xfId="16395"/>
    <cellStyle name="Percent 9 5 6 2" xfId="16396"/>
    <cellStyle name="Percent 9 5 7" xfId="16397"/>
    <cellStyle name="Percent 9 5 8" xfId="16398"/>
    <cellStyle name="Percent 9 6" xfId="16399"/>
    <cellStyle name="Percent 9 6 2" xfId="16400"/>
    <cellStyle name="Percent 9 6 2 2" xfId="16401"/>
    <cellStyle name="Percent 9 6 3" xfId="16402"/>
    <cellStyle name="Percent 9 6 3 2" xfId="16403"/>
    <cellStyle name="Percent 9 6 4" xfId="16404"/>
    <cellStyle name="Percent 9 6 5" xfId="16405"/>
    <cellStyle name="Percent 9 7" xfId="16406"/>
    <cellStyle name="Percent 9 7 2" xfId="16407"/>
    <cellStyle name="Percent 9 7 2 2" xfId="16408"/>
    <cellStyle name="Percent 9 7 3" xfId="16409"/>
    <cellStyle name="Percent 9 7 3 2" xfId="16410"/>
    <cellStyle name="Percent 9 7 4" xfId="16411"/>
    <cellStyle name="Percent 9 7 5" xfId="16412"/>
    <cellStyle name="Percent 9 8" xfId="16413"/>
    <cellStyle name="Percent 9 8 2" xfId="16414"/>
    <cellStyle name="Percent 9 9" xfId="16415"/>
    <cellStyle name="Percent 9 9 2" xfId="16416"/>
    <cellStyle name="Percentual" xfId="39940"/>
    <cellStyle name="Ponto" xfId="39941"/>
    <cellStyle name="Porcentaje" xfId="39942"/>
    <cellStyle name="Porcentaje 2" xfId="16417"/>
    <cellStyle name="Porcentaje 2 2" xfId="16418"/>
    <cellStyle name="Porcentaje 2 2 2" xfId="39943"/>
    <cellStyle name="Porcentaje 3" xfId="16419"/>
    <cellStyle name="PrePop Currency (0)" xfId="39944"/>
    <cellStyle name="PrePop Currency (0) 2" xfId="39945"/>
    <cellStyle name="PrePop Currency (0) 2 2" xfId="39946"/>
    <cellStyle name="PrePop Currency (0) 3" xfId="39947"/>
    <cellStyle name="PrePop Currency (2)" xfId="39948"/>
    <cellStyle name="PrePop Currency (2) 2" xfId="39949"/>
    <cellStyle name="PrePop Currency (2) 2 2" xfId="39950"/>
    <cellStyle name="PrePop Currency (2) 3" xfId="39951"/>
    <cellStyle name="PrePop Units (0)" xfId="39952"/>
    <cellStyle name="PrePop Units (0) 2" xfId="39953"/>
    <cellStyle name="PrePop Units (0) 2 2" xfId="39954"/>
    <cellStyle name="PrePop Units (0) 3" xfId="39955"/>
    <cellStyle name="PrePop Units (1)" xfId="39956"/>
    <cellStyle name="PrePop Units (1) 2" xfId="39957"/>
    <cellStyle name="PrePop Units (1) 2 2" xfId="39958"/>
    <cellStyle name="PrePop Units (1) 3" xfId="39959"/>
    <cellStyle name="PrePop Units (2)" xfId="39960"/>
    <cellStyle name="PrePop Units (2) 2" xfId="39961"/>
    <cellStyle name="PrePop Units (2) 2 2" xfId="39962"/>
    <cellStyle name="PrePop Units (2) 3" xfId="39963"/>
    <cellStyle name="regstoresfromspecstores" xfId="39964"/>
    <cellStyle name="RevList" xfId="39965"/>
    <cellStyle name="RM" xfId="39966"/>
    <cellStyle name="RM 2" xfId="39967"/>
    <cellStyle name="RM 2 2" xfId="39968"/>
    <cellStyle name="RM 3" xfId="39969"/>
    <cellStyle name="Salida" xfId="16420"/>
    <cellStyle name="Salida 2" xfId="16421"/>
    <cellStyle name="Salida 2 2" xfId="16422"/>
    <cellStyle name="Salida 2 2 2" xfId="16423"/>
    <cellStyle name="Salida 2 2 2 2" xfId="16424"/>
    <cellStyle name="Salida 2 2 3" xfId="16425"/>
    <cellStyle name="Salida 2 2 3 2" xfId="16426"/>
    <cellStyle name="Salida 2 2 4" xfId="16427"/>
    <cellStyle name="Salida 2 2 5" xfId="16428"/>
    <cellStyle name="Salida 2 3" xfId="16429"/>
    <cellStyle name="Salida 2 3 2" xfId="16430"/>
    <cellStyle name="Salida 2 4" xfId="16431"/>
    <cellStyle name="Salida 2 4 2" xfId="16432"/>
    <cellStyle name="Salida 2 5" xfId="16433"/>
    <cellStyle name="Salida 2 6" xfId="16434"/>
    <cellStyle name="Salida 3" xfId="16435"/>
    <cellStyle name="Salida 3 2" xfId="16436"/>
    <cellStyle name="Salida 3 2 2" xfId="16437"/>
    <cellStyle name="Salida 3 3" xfId="16438"/>
    <cellStyle name="Salida 3 3 2" xfId="16439"/>
    <cellStyle name="Salida 3 4" xfId="16440"/>
    <cellStyle name="Salida 3 5" xfId="16441"/>
    <cellStyle name="Salida 4" xfId="16442"/>
    <cellStyle name="Salida 4 2" xfId="16443"/>
    <cellStyle name="Salida 5" xfId="16444"/>
    <cellStyle name="Salida 5 2" xfId="16445"/>
    <cellStyle name="Salida 6" xfId="16446"/>
    <cellStyle name="Salida 7" xfId="16447"/>
    <cellStyle name="Salida 8" xfId="16448"/>
    <cellStyle name="SHADEDSTORES" xfId="39970"/>
    <cellStyle name="specstores" xfId="39971"/>
    <cellStyle name="Styl 1" xfId="16449"/>
    <cellStyle name="Style 1" xfId="16450"/>
    <cellStyle name="Style 1 2" xfId="16451"/>
    <cellStyle name="Style 1 2 2" xfId="16452"/>
    <cellStyle name="Style 1 2 2 2" xfId="39972"/>
    <cellStyle name="Style 1 2 2 3" xfId="39973"/>
    <cellStyle name="Style 1 2 3" xfId="39974"/>
    <cellStyle name="Style 1 2 4" xfId="39975"/>
    <cellStyle name="Style 1 3" xfId="16453"/>
    <cellStyle name="Style 1 3 2" xfId="16454"/>
    <cellStyle name="Style 1 3 3" xfId="39976"/>
    <cellStyle name="Style 1 3 4" xfId="39977"/>
    <cellStyle name="Style 1 4" xfId="16455"/>
    <cellStyle name="Style 1 5" xfId="16456"/>
    <cellStyle name="Style 1 6" xfId="16457"/>
    <cellStyle name="Style 1 7" xfId="39978"/>
    <cellStyle name="Style 1 8" xfId="39979"/>
    <cellStyle name="Style 21" xfId="39980"/>
    <cellStyle name="Style 22" xfId="39981"/>
    <cellStyle name="Style 23" xfId="39982"/>
    <cellStyle name="Style 24" xfId="39983"/>
    <cellStyle name="Style 25" xfId="39984"/>
    <cellStyle name="Style 26" xfId="39985"/>
    <cellStyle name="Style 26 2" xfId="39986"/>
    <cellStyle name="Style 26 2 2" xfId="39987"/>
    <cellStyle name="Style 26 3" xfId="39988"/>
    <cellStyle name="Style 27" xfId="39989"/>
    <cellStyle name="Style 28" xfId="39990"/>
    <cellStyle name="Style 29" xfId="39991"/>
    <cellStyle name="Style 29 2" xfId="39992"/>
    <cellStyle name="Style 29 2 2" xfId="39993"/>
    <cellStyle name="Style 29 3" xfId="39994"/>
    <cellStyle name="Style 30" xfId="39995"/>
    <cellStyle name="Style 30 2" xfId="39996"/>
    <cellStyle name="Style 30 2 2" xfId="39997"/>
    <cellStyle name="Style 30 3" xfId="39998"/>
    <cellStyle name="Style 31" xfId="39999"/>
    <cellStyle name="Style 32" xfId="40000"/>
    <cellStyle name="Style 33" xfId="40001"/>
    <cellStyle name="Style 33 2" xfId="40002"/>
    <cellStyle name="Style 33 2 2" xfId="40003"/>
    <cellStyle name="Style 33 3" xfId="40004"/>
    <cellStyle name="Style 34" xfId="40005"/>
    <cellStyle name="Style 35" xfId="40006"/>
    <cellStyle name="Style 36" xfId="40007"/>
    <cellStyle name="Style 36 2" xfId="40008"/>
    <cellStyle name="Style 36 2 2" xfId="40009"/>
    <cellStyle name="Style 36 3" xfId="40010"/>
    <cellStyle name="Style 39" xfId="40011"/>
    <cellStyle name="Style 39 2" xfId="40012"/>
    <cellStyle name="Style 39 2 2" xfId="40013"/>
    <cellStyle name="Style 39 3" xfId="40014"/>
    <cellStyle name="Subtotal" xfId="40015"/>
    <cellStyle name="Suma" xfId="16458"/>
    <cellStyle name="Tekst objaśnienia" xfId="16459"/>
    <cellStyle name="Tekst ostrzeżenia" xfId="16460"/>
    <cellStyle name="Text Indent A" xfId="40016"/>
    <cellStyle name="Text Indent B" xfId="40017"/>
    <cellStyle name="Text Indent B 2" xfId="40018"/>
    <cellStyle name="Text Indent B 2 2" xfId="40019"/>
    <cellStyle name="Text Indent B 3" xfId="40020"/>
    <cellStyle name="Text Indent C" xfId="40021"/>
    <cellStyle name="Text Indent C 2" xfId="40022"/>
    <cellStyle name="Text Indent C 2 2" xfId="40023"/>
    <cellStyle name="Text Indent C 3" xfId="40024"/>
    <cellStyle name="Texto de advertencia" xfId="16461"/>
    <cellStyle name="Texto de advertencia 2" xfId="16462"/>
    <cellStyle name="Texto de advertencia 2 2" xfId="16463"/>
    <cellStyle name="Texto de advertencia 3" xfId="16464"/>
    <cellStyle name="Texto de advertencia 3 2" xfId="16465"/>
    <cellStyle name="Texto de advertencia 4" xfId="16466"/>
    <cellStyle name="Texto de advertencia 5" xfId="16467"/>
    <cellStyle name="Texto de advertencia 6" xfId="16468"/>
    <cellStyle name="Texto explicativo" xfId="16469"/>
    <cellStyle name="Texto explicativo 2" xfId="16470"/>
    <cellStyle name="Texto explicativo 2 2" xfId="16471"/>
    <cellStyle name="Texto explicativo 2 2 2" xfId="16472"/>
    <cellStyle name="Texto explicativo 2 2 2 2" xfId="16473"/>
    <cellStyle name="Texto explicativo 2 2 3" xfId="16474"/>
    <cellStyle name="Texto explicativo 2 2 3 2" xfId="16475"/>
    <cellStyle name="Texto explicativo 2 2 4" xfId="16476"/>
    <cellStyle name="Texto explicativo 2 2 5" xfId="16477"/>
    <cellStyle name="Texto explicativo 2 3" xfId="16478"/>
    <cellStyle name="Texto explicativo 2 3 2" xfId="16479"/>
    <cellStyle name="Texto explicativo 2 4" xfId="16480"/>
    <cellStyle name="Texto explicativo 2 4 2" xfId="16481"/>
    <cellStyle name="Texto explicativo 2 5" xfId="16482"/>
    <cellStyle name="Texto explicativo 2 6" xfId="16483"/>
    <cellStyle name="Texto explicativo 3" xfId="16484"/>
    <cellStyle name="Texto explicativo 3 2" xfId="16485"/>
    <cellStyle name="Texto explicativo 3 2 2" xfId="16486"/>
    <cellStyle name="Texto explicativo 3 3" xfId="16487"/>
    <cellStyle name="Texto explicativo 3 3 2" xfId="16488"/>
    <cellStyle name="Texto explicativo 3 4" xfId="16489"/>
    <cellStyle name="Texto explicativo 3 5" xfId="16490"/>
    <cellStyle name="Texto explicativo 4" xfId="16491"/>
    <cellStyle name="Texto explicativo 4 2" xfId="16492"/>
    <cellStyle name="Texto explicativo 5" xfId="16493"/>
    <cellStyle name="Texto explicativo 5 2" xfId="16494"/>
    <cellStyle name="Texto explicativo 6" xfId="16495"/>
    <cellStyle name="Texto explicativo 7" xfId="16496"/>
    <cellStyle name="Tickmark" xfId="16497"/>
    <cellStyle name="Tickmark 2" xfId="16498"/>
    <cellStyle name="Tickmark 2 2" xfId="16499"/>
    <cellStyle name="Tickmark 3" xfId="16500"/>
    <cellStyle name="Tickmark 3 2" xfId="16501"/>
    <cellStyle name="Tickmark 4" xfId="16502"/>
    <cellStyle name="Tickmark 5" xfId="16503"/>
    <cellStyle name="Title 2" xfId="16504"/>
    <cellStyle name="Title 2 10" xfId="40025"/>
    <cellStyle name="Title 2 11" xfId="40026"/>
    <cellStyle name="Title 2 2" xfId="16505"/>
    <cellStyle name="Title 2 2 2" xfId="16506"/>
    <cellStyle name="Title 2 2 2 2" xfId="16507"/>
    <cellStyle name="Title 2 2 2 2 2" xfId="16508"/>
    <cellStyle name="Title 2 2 2 3" xfId="16509"/>
    <cellStyle name="Title 2 2 2 3 2" xfId="16510"/>
    <cellStyle name="Title 2 2 2 4" xfId="16511"/>
    <cellStyle name="Title 2 2 2 5" xfId="16512"/>
    <cellStyle name="Title 2 2 3" xfId="16513"/>
    <cellStyle name="Title 2 2 3 2" xfId="16514"/>
    <cellStyle name="Title 2 2 4" xfId="16515"/>
    <cellStyle name="Title 2 2 4 2" xfId="16516"/>
    <cellStyle name="Title 2 2 5" xfId="16517"/>
    <cellStyle name="Title 2 2 6" xfId="16518"/>
    <cellStyle name="Title 2 3" xfId="16519"/>
    <cellStyle name="Title 2 3 2" xfId="16520"/>
    <cellStyle name="Title 2 3 2 2" xfId="16521"/>
    <cellStyle name="Title 2 3 3" xfId="16522"/>
    <cellStyle name="Title 2 3 3 2" xfId="16523"/>
    <cellStyle name="Title 2 3 4" xfId="16524"/>
    <cellStyle name="Title 2 3 5" xfId="16525"/>
    <cellStyle name="Title 2 4" xfId="16526"/>
    <cellStyle name="Title 2 4 2" xfId="16527"/>
    <cellStyle name="Title 2 5" xfId="16528"/>
    <cellStyle name="Title 2 5 2" xfId="16529"/>
    <cellStyle name="Title 2 6" xfId="16530"/>
    <cellStyle name="Title 2 7" xfId="16531"/>
    <cellStyle name="Title 2 8" xfId="16532"/>
    <cellStyle name="Title 2 9" xfId="40027"/>
    <cellStyle name="Title 3" xfId="16533"/>
    <cellStyle name="Title 3 2" xfId="16534"/>
    <cellStyle name="Title 3 2 2" xfId="16535"/>
    <cellStyle name="Title 3 3" xfId="16536"/>
    <cellStyle name="Title 3 3 2" xfId="16537"/>
    <cellStyle name="Title 3 4" xfId="16538"/>
    <cellStyle name="Title 3 5" xfId="16539"/>
    <cellStyle name="Title 3 6" xfId="40028"/>
    <cellStyle name="Title 4" xfId="16540"/>
    <cellStyle name="Title 4 2" xfId="16541"/>
    <cellStyle name="Title 5" xfId="16542"/>
    <cellStyle name="Title 5 2" xfId="16543"/>
    <cellStyle name="Title 6" xfId="16544"/>
    <cellStyle name="Title 7" xfId="16545"/>
    <cellStyle name="Título" xfId="16546"/>
    <cellStyle name="Título 1" xfId="16547"/>
    <cellStyle name="Título 1 2" xfId="16548"/>
    <cellStyle name="Título 1 2 2" xfId="16549"/>
    <cellStyle name="Título 1 3" xfId="16550"/>
    <cellStyle name="Título 1 3 2" xfId="16551"/>
    <cellStyle name="Título 1 4" xfId="16552"/>
    <cellStyle name="Título 1 5" xfId="16553"/>
    <cellStyle name="Título 1 6" xfId="16554"/>
    <cellStyle name="Título 2" xfId="16555"/>
    <cellStyle name="Título 2 2" xfId="16556"/>
    <cellStyle name="Título 2 2 2" xfId="16557"/>
    <cellStyle name="Título 2 3" xfId="16558"/>
    <cellStyle name="Título 2 3 2" xfId="16559"/>
    <cellStyle name="Título 2 4" xfId="16560"/>
    <cellStyle name="Título 2 5" xfId="16561"/>
    <cellStyle name="Título 2 6" xfId="16562"/>
    <cellStyle name="Título 3" xfId="16563"/>
    <cellStyle name="Título 3 2" xfId="16564"/>
    <cellStyle name="Título 3 2 2" xfId="16565"/>
    <cellStyle name="Título 3 3" xfId="16566"/>
    <cellStyle name="Título 3 3 2" xfId="16567"/>
    <cellStyle name="Título 3 4" xfId="16568"/>
    <cellStyle name="Título 3 5" xfId="16569"/>
    <cellStyle name="Título 3 6" xfId="16570"/>
    <cellStyle name="Título 4" xfId="16571"/>
    <cellStyle name="Título 4 2" xfId="16572"/>
    <cellStyle name="Título 5" xfId="16573"/>
    <cellStyle name="Título 5 2" xfId="16574"/>
    <cellStyle name="Título 6" xfId="16575"/>
    <cellStyle name="Título 7" xfId="16576"/>
    <cellStyle name="Título 8" xfId="16577"/>
    <cellStyle name="Titulo1" xfId="40029"/>
    <cellStyle name="Titulo2" xfId="40030"/>
    <cellStyle name="Total 2" xfId="16578"/>
    <cellStyle name="Total 2 10" xfId="40031"/>
    <cellStyle name="Total 2 11" xfId="40032"/>
    <cellStyle name="Total 2 2" xfId="16579"/>
    <cellStyle name="Total 2 2 2" xfId="16580"/>
    <cellStyle name="Total 2 2 2 2" xfId="16581"/>
    <cellStyle name="Total 2 2 2 2 2" xfId="16582"/>
    <cellStyle name="Total 2 2 2 3" xfId="16583"/>
    <cellStyle name="Total 2 2 2 3 2" xfId="16584"/>
    <cellStyle name="Total 2 2 2 4" xfId="16585"/>
    <cellStyle name="Total 2 2 2 5" xfId="16586"/>
    <cellStyle name="Total 2 2 3" xfId="16587"/>
    <cellStyle name="Total 2 2 3 2" xfId="16588"/>
    <cellStyle name="Total 2 2 4" xfId="16589"/>
    <cellStyle name="Total 2 2 4 2" xfId="16590"/>
    <cellStyle name="Total 2 2 5" xfId="16591"/>
    <cellStyle name="Total 2 2 6" xfId="16592"/>
    <cellStyle name="Total 2 3" xfId="16593"/>
    <cellStyle name="Total 2 3 2" xfId="16594"/>
    <cellStyle name="Total 2 3 2 2" xfId="16595"/>
    <cellStyle name="Total 2 3 3" xfId="16596"/>
    <cellStyle name="Total 2 3 3 2" xfId="16597"/>
    <cellStyle name="Total 2 3 4" xfId="16598"/>
    <cellStyle name="Total 2 3 5" xfId="16599"/>
    <cellStyle name="Total 2 4" xfId="16600"/>
    <cellStyle name="Total 2 4 2" xfId="16601"/>
    <cellStyle name="Total 2 5" xfId="16602"/>
    <cellStyle name="Total 2 5 2" xfId="16603"/>
    <cellStyle name="Total 2 6" xfId="16604"/>
    <cellStyle name="Total 2 7" xfId="16605"/>
    <cellStyle name="Total 2 8" xfId="16606"/>
    <cellStyle name="Total 2 9" xfId="40033"/>
    <cellStyle name="Total 3" xfId="16607"/>
    <cellStyle name="Total 3 2" xfId="16608"/>
    <cellStyle name="Total 3 2 2" xfId="16609"/>
    <cellStyle name="Total 3 3" xfId="16610"/>
    <cellStyle name="Total 3 3 2" xfId="16611"/>
    <cellStyle name="Total 3 4" xfId="16612"/>
    <cellStyle name="Total 3 5" xfId="16613"/>
    <cellStyle name="Total 3 6" xfId="16614"/>
    <cellStyle name="Total 3 7" xfId="40034"/>
    <cellStyle name="Total 3 8" xfId="40035"/>
    <cellStyle name="Total 3 9" xfId="40036"/>
    <cellStyle name="Total 4" xfId="16615"/>
    <cellStyle name="Total 4 2" xfId="16616"/>
    <cellStyle name="Total 4 3" xfId="40037"/>
    <cellStyle name="Total 4 4" xfId="40038"/>
    <cellStyle name="Total 5" xfId="16617"/>
    <cellStyle name="Total 5 2" xfId="16618"/>
    <cellStyle name="Total 6" xfId="16619"/>
    <cellStyle name="Total 7" xfId="16620"/>
    <cellStyle name="Tytuł" xfId="16621"/>
    <cellStyle name="Uwaga" xfId="16622"/>
    <cellStyle name="Warning Text 2" xfId="16623"/>
    <cellStyle name="Warning Text 2 10" xfId="40039"/>
    <cellStyle name="Warning Text 2 2" xfId="16624"/>
    <cellStyle name="Warning Text 2 2 2" xfId="16625"/>
    <cellStyle name="Warning Text 2 2 2 2" xfId="16626"/>
    <cellStyle name="Warning Text 2 2 2 2 2" xfId="16627"/>
    <cellStyle name="Warning Text 2 2 2 3" xfId="16628"/>
    <cellStyle name="Warning Text 2 2 2 3 2" xfId="16629"/>
    <cellStyle name="Warning Text 2 2 2 4" xfId="16630"/>
    <cellStyle name="Warning Text 2 2 2 5" xfId="16631"/>
    <cellStyle name="Warning Text 2 2 3" xfId="16632"/>
    <cellStyle name="Warning Text 2 2 3 2" xfId="16633"/>
    <cellStyle name="Warning Text 2 2 4" xfId="16634"/>
    <cellStyle name="Warning Text 2 2 4 2" xfId="16635"/>
    <cellStyle name="Warning Text 2 2 5" xfId="16636"/>
    <cellStyle name="Warning Text 2 2 6" xfId="16637"/>
    <cellStyle name="Warning Text 2 3" xfId="16638"/>
    <cellStyle name="Warning Text 2 3 2" xfId="16639"/>
    <cellStyle name="Warning Text 2 3 2 2" xfId="16640"/>
    <cellStyle name="Warning Text 2 3 3" xfId="16641"/>
    <cellStyle name="Warning Text 2 3 3 2" xfId="16642"/>
    <cellStyle name="Warning Text 2 3 4" xfId="16643"/>
    <cellStyle name="Warning Text 2 3 5" xfId="16644"/>
    <cellStyle name="Warning Text 2 4" xfId="16645"/>
    <cellStyle name="Warning Text 2 4 2" xfId="16646"/>
    <cellStyle name="Warning Text 2 5" xfId="16647"/>
    <cellStyle name="Warning Text 2 5 2" xfId="16648"/>
    <cellStyle name="Warning Text 2 6" xfId="16649"/>
    <cellStyle name="Warning Text 2 7" xfId="16650"/>
    <cellStyle name="Warning Text 2 8" xfId="16651"/>
    <cellStyle name="Warning Text 2 9" xfId="40040"/>
    <cellStyle name="Warning Text 3" xfId="16652"/>
    <cellStyle name="Warning Text 3 2" xfId="16653"/>
    <cellStyle name="Warning Text 3 2 2" xfId="16654"/>
    <cellStyle name="Warning Text 3 3" xfId="16655"/>
    <cellStyle name="Warning Text 3 3 2" xfId="16656"/>
    <cellStyle name="Warning Text 3 4" xfId="16657"/>
    <cellStyle name="Warning Text 3 5" xfId="16658"/>
    <cellStyle name="Warning Text 4" xfId="16659"/>
    <cellStyle name="Warning Text 4 2" xfId="16660"/>
    <cellStyle name="Warning Text 5" xfId="16661"/>
    <cellStyle name="Warning Text 5 2" xfId="16662"/>
    <cellStyle name="Warning Text 6" xfId="16663"/>
    <cellStyle name="Warning Text 7" xfId="16664"/>
    <cellStyle name="YELLOW HIGHLIHT" xfId="19091"/>
    <cellStyle name="Złe" xfId="16665"/>
  </cellStyles>
  <dxfs count="358">
    <dxf>
      <fill>
        <patternFill>
          <bgColor rgb="FF00B050"/>
        </patternFill>
      </fill>
    </dxf>
    <dxf>
      <fill>
        <patternFill>
          <bgColor rgb="FFFFFF00"/>
        </patternFill>
      </fill>
    </dxf>
    <dxf>
      <fill>
        <patternFill>
          <bgColor rgb="FFFF0000"/>
        </patternFill>
      </fill>
    </dxf>
    <dxf>
      <font>
        <b val="0"/>
        <i val="0"/>
        <color rgb="FFFFFFFF"/>
      </font>
      <fill>
        <patternFill>
          <bgColor rgb="FF000000"/>
        </patternFill>
      </fill>
    </dxf>
    <dxf>
      <fill>
        <patternFill>
          <bgColor rgb="FF00B050"/>
        </patternFill>
      </fill>
    </dxf>
    <dxf>
      <fill>
        <patternFill>
          <bgColor rgb="FFFFFF00"/>
        </patternFill>
      </fill>
    </dxf>
    <dxf>
      <fill>
        <patternFill>
          <bgColor rgb="FFFF0000"/>
        </patternFill>
      </fill>
    </dxf>
    <dxf>
      <font>
        <b val="0"/>
        <i val="0"/>
        <color rgb="FFFFFFFF"/>
      </font>
      <fill>
        <patternFill>
          <bgColor rgb="FF000000"/>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theme="0"/>
      </font>
      <fill>
        <patternFill>
          <bgColor theme="1"/>
        </patternFill>
      </fill>
    </dxf>
    <dxf>
      <fill>
        <patternFill patternType="none">
          <bgColor auto="1"/>
        </patternFill>
      </fill>
    </dxf>
    <dxf>
      <fill>
        <patternFill>
          <bgColor theme="0" tint="-4.9989318521683403E-2"/>
        </patternFill>
      </fill>
    </dxf>
    <dxf>
      <fill>
        <patternFill>
          <bgColor rgb="FF00B050"/>
        </patternFill>
      </fill>
    </dxf>
    <dxf>
      <fill>
        <patternFill>
          <bgColor rgb="FFFFFF00"/>
        </patternFill>
      </fill>
    </dxf>
    <dxf>
      <fill>
        <patternFill>
          <bgColor rgb="FFFF0000"/>
        </patternFill>
      </fill>
    </dxf>
    <dxf>
      <font>
        <color theme="0"/>
      </font>
      <fill>
        <patternFill>
          <bgColor theme="1"/>
        </patternFill>
      </fill>
    </dxf>
    <dxf>
      <fill>
        <patternFill patternType="none">
          <bgColor auto="1"/>
        </patternFill>
      </fill>
    </dxf>
    <dxf>
      <fill>
        <patternFill>
          <bgColor theme="0" tint="-4.9989318521683403E-2"/>
        </patternFill>
      </fill>
    </dxf>
    <dxf>
      <fill>
        <patternFill>
          <bgColor rgb="FF00B050"/>
        </patternFill>
      </fill>
    </dxf>
    <dxf>
      <fill>
        <patternFill>
          <bgColor rgb="FFFFFF00"/>
        </patternFill>
      </fill>
    </dxf>
    <dxf>
      <fill>
        <patternFill>
          <bgColor rgb="FFFF0000"/>
        </patternFill>
      </fill>
    </dxf>
    <dxf>
      <font>
        <color theme="0"/>
      </font>
      <fill>
        <patternFill>
          <bgColor theme="1"/>
        </patternFill>
      </fill>
    </dxf>
    <dxf>
      <fill>
        <patternFill patternType="none">
          <bgColor auto="1"/>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ont>
        <color rgb="FFFFFFFF"/>
      </font>
      <fill>
        <patternFill>
          <bgColor rgb="FF000000"/>
        </patternFill>
      </fill>
    </dxf>
    <dxf>
      <fill>
        <patternFill patternType="none">
          <bgColor auto="1"/>
        </patternFill>
      </fill>
    </dxf>
    <dxf>
      <fill>
        <patternFill>
          <bgColor rgb="FF00B05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ont>
        <color rgb="FFFFFFFF"/>
      </font>
      <fill>
        <patternFill>
          <bgColor rgb="FF000000"/>
        </patternFill>
      </fill>
    </dxf>
    <dxf>
      <fill>
        <patternFill patternType="none">
          <bgColor auto="1"/>
        </patternFill>
      </fill>
    </dxf>
    <dxf>
      <fill>
        <patternFill>
          <bgColor rgb="FF00B05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ont>
        <color rgb="FFFFFFFF"/>
      </font>
      <fill>
        <patternFill>
          <bgColor rgb="FF000000"/>
        </patternFill>
      </fill>
    </dxf>
    <dxf>
      <fill>
        <patternFill patternType="none">
          <bgColor auto="1"/>
        </patternFill>
      </fill>
    </dxf>
    <dxf>
      <fill>
        <patternFill>
          <bgColor rgb="FF00B050"/>
        </patternFill>
      </fill>
    </dxf>
    <dxf>
      <font>
        <color rgb="FFFFFFFF"/>
      </font>
      <fill>
        <patternFill>
          <bgColor rgb="FF000000"/>
        </patternFill>
      </fill>
    </dxf>
    <dxf>
      <fill>
        <patternFill patternType="none">
          <bgColor auto="1"/>
        </patternFill>
      </fill>
    </dxf>
    <dxf>
      <fill>
        <patternFill>
          <bgColor rgb="FF00B05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ont>
        <color rgb="FFFFFFFF"/>
      </font>
      <fill>
        <patternFill>
          <bgColor rgb="FF000000"/>
        </patternFill>
      </fill>
    </dxf>
    <dxf>
      <fill>
        <patternFill patternType="none">
          <bgColor auto="1"/>
        </patternFill>
      </fill>
    </dxf>
    <dxf>
      <fill>
        <patternFill>
          <bgColor rgb="FF00B05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
      <fill>
        <patternFill>
          <bgColor rgb="FF00B050"/>
        </patternFill>
      </fill>
    </dxf>
    <dxf>
      <fill>
        <patternFill>
          <bgColor rgb="FFFFFF00"/>
        </patternFill>
      </fill>
    </dxf>
    <dxf>
      <fill>
        <patternFill>
          <bgColor rgb="FFFF0000"/>
        </patternFill>
      </fill>
    </dxf>
    <dxf>
      <font>
        <color rgb="FFFFFFFF"/>
      </font>
      <fill>
        <patternFill>
          <bgColor rgb="FF000000"/>
        </patternFill>
      </fill>
    </dxf>
    <dxf>
      <fill>
        <patternFill patternType="none">
          <bgColor auto="1"/>
        </patternFill>
      </fill>
    </dxf>
  </dxfs>
  <tableStyles count="0" defaultTableStyle="TableStyleMedium2" defaultPivotStyle="PivotStyleLight16"/>
  <colors>
    <mruColors>
      <color rgb="FFFFFF99"/>
      <color rgb="FFFFCCCC"/>
      <color rgb="FFFF505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N41"/>
  <sheetViews>
    <sheetView showGridLines="0" zoomScale="70" zoomScaleNormal="70" workbookViewId="0">
      <pane xSplit="24" ySplit="2" topLeftCell="Z30" activePane="bottomRight" state="frozen"/>
      <selection pane="topRight" activeCell="Y1" sqref="Y1"/>
      <selection pane="bottomLeft" activeCell="A3" sqref="A3"/>
      <selection pane="bottomRight" activeCell="Z41" sqref="Z41"/>
    </sheetView>
  </sheetViews>
  <sheetFormatPr defaultRowHeight="15" outlineLevelCol="2"/>
  <cols>
    <col min="1" max="1" width="5" style="352" customWidth="1"/>
    <col min="2" max="2" width="13.5703125" style="352" customWidth="1"/>
    <col min="3" max="3" width="31.140625" style="351" customWidth="1"/>
    <col min="4" max="4" width="15" style="352" hidden="1" customWidth="1" outlineLevel="2"/>
    <col min="5" max="5" width="13.7109375" style="352" hidden="1" customWidth="1" outlineLevel="2"/>
    <col min="6" max="6" width="13.7109375" style="353" hidden="1" customWidth="1" outlineLevel="2" collapsed="1"/>
    <col min="7" max="7" width="2.28515625" style="354" hidden="1" customWidth="1" outlineLevel="1"/>
    <col min="8" max="8" width="13.7109375" style="31" hidden="1" customWidth="1" outlineLevel="1"/>
    <col min="9" max="9" width="15" style="352" hidden="1" customWidth="1" outlineLevel="2"/>
    <col min="10" max="10" width="13.7109375" style="352" hidden="1" customWidth="1" outlineLevel="2"/>
    <col min="11" max="11" width="2.28515625" style="354" hidden="1" customWidth="1" outlineLevel="2"/>
    <col min="12" max="12" width="13.7109375" style="31" hidden="1" customWidth="1" outlineLevel="1"/>
    <col min="13" max="13" width="15" style="352" hidden="1" customWidth="1" outlineLevel="2"/>
    <col min="14" max="14" width="13.7109375" style="352" hidden="1" customWidth="1" outlineLevel="2"/>
    <col min="15" max="15" width="2.28515625" style="354" hidden="1" customWidth="1" outlineLevel="1"/>
    <col min="16" max="16" width="13.28515625" style="31" hidden="1" customWidth="1" outlineLevel="1"/>
    <col min="17" max="17" width="15" style="352" hidden="1" customWidth="1" outlineLevel="2"/>
    <col min="18" max="18" width="13.7109375" style="352" hidden="1" customWidth="1" outlineLevel="2"/>
    <col min="19" max="19" width="2.28515625" style="354" hidden="1" customWidth="1" outlineLevel="1"/>
    <col min="20" max="20" width="17" style="355" hidden="1" customWidth="1" collapsed="1"/>
    <col min="21" max="21" width="27" style="355" hidden="1" customWidth="1"/>
    <col min="22" max="22" width="22.7109375" style="355" hidden="1" customWidth="1"/>
    <col min="23" max="24" width="9.85546875" style="355" hidden="1" customWidth="1"/>
    <col min="25" max="25" width="35.85546875" style="355" hidden="1" customWidth="1"/>
    <col min="26" max="26" width="14.42578125" style="356" customWidth="1"/>
    <col min="27" max="27" width="42.42578125" style="357" customWidth="1"/>
    <col min="28" max="28" width="11.85546875" style="83" hidden="1" customWidth="1"/>
    <col min="29" max="29" width="13.140625" style="353" hidden="1" customWidth="1"/>
    <col min="30" max="30" width="9.140625" style="353" hidden="1" customWidth="1"/>
    <col min="31" max="31" width="41.7109375" style="353" hidden="1" customWidth="1"/>
    <col min="32" max="32" width="17.42578125" style="353" hidden="1" customWidth="1"/>
    <col min="33" max="33" width="18" style="353" hidden="1" customWidth="1"/>
    <col min="34" max="34" width="18.7109375" style="353" hidden="1" customWidth="1"/>
    <col min="35" max="35" width="15" style="353" hidden="1" customWidth="1"/>
    <col min="36" max="36" width="34.7109375" style="353" customWidth="1"/>
    <col min="37" max="37" width="14" style="353" hidden="1" customWidth="1"/>
    <col min="38" max="38" width="41.7109375" style="353" hidden="1" customWidth="1"/>
    <col min="39" max="39" width="63" style="353" hidden="1" customWidth="1"/>
    <col min="40" max="40" width="44.42578125" style="353" hidden="1" customWidth="1"/>
    <col min="41" max="41" width="25.42578125" style="353" hidden="1" customWidth="1"/>
    <col min="42" max="42" width="19.5703125" style="353" hidden="1" customWidth="1"/>
    <col min="43" max="43" width="16.28515625" style="353" hidden="1" customWidth="1"/>
    <col min="44" max="44" width="13.7109375" style="353" customWidth="1"/>
    <col min="45" max="45" width="14.28515625" style="353" customWidth="1"/>
    <col min="46" max="47" width="11.7109375" style="353" customWidth="1" outlineLevel="1"/>
    <col min="48" max="48" width="11.7109375" style="353" customWidth="1"/>
    <col min="49" max="50" width="11.7109375" style="353" customWidth="1" outlineLevel="1"/>
    <col min="51" max="51" width="11.7109375" style="353" customWidth="1"/>
    <col min="52" max="53" width="11.7109375" style="353" customWidth="1" outlineLevel="1"/>
    <col min="54" max="54" width="11.7109375" style="353" customWidth="1"/>
    <col min="55" max="56" width="11.7109375" style="353" customWidth="1" outlineLevel="1"/>
    <col min="57" max="60" width="11.7109375" style="353" customWidth="1"/>
    <col min="61" max="69" width="9.140625" style="353" hidden="1" customWidth="1"/>
    <col min="70" max="70" width="16.85546875" style="353" hidden="1" customWidth="1"/>
    <col min="71" max="71" width="17.28515625" style="353" hidden="1" customWidth="1"/>
    <col min="72" max="72" width="18.28515625" style="353" hidden="1" customWidth="1"/>
    <col min="73" max="73" width="12.85546875" style="353" hidden="1" customWidth="1"/>
    <col min="74" max="74" width="47.5703125" style="353" hidden="1" customWidth="1"/>
    <col min="75" max="75" width="23.5703125" style="363" hidden="1" customWidth="1"/>
    <col min="76" max="76" width="0" style="352" hidden="1" customWidth="1"/>
    <col min="77" max="77" width="30.7109375" style="353" hidden="1" customWidth="1"/>
    <col min="78" max="92" width="9.140625" style="353"/>
    <col min="93" max="16384" width="9.140625" style="352"/>
  </cols>
  <sheetData>
    <row r="1" spans="2:77" ht="15.75" thickBot="1">
      <c r="B1" s="350">
        <v>42401</v>
      </c>
      <c r="W1" s="452" t="s">
        <v>76</v>
      </c>
      <c r="X1" s="453"/>
      <c r="AC1" s="450" t="s">
        <v>129</v>
      </c>
      <c r="AD1" s="451"/>
      <c r="AE1" s="451"/>
      <c r="AF1" s="451"/>
      <c r="AG1" s="451"/>
      <c r="AH1" s="451"/>
      <c r="AI1" s="451"/>
      <c r="AJ1" s="451"/>
      <c r="AK1" s="451"/>
      <c r="AL1" s="451"/>
      <c r="AM1" s="451"/>
      <c r="AN1" s="451"/>
      <c r="AO1" s="451"/>
      <c r="AP1" s="451"/>
      <c r="AQ1" s="451"/>
      <c r="AR1" s="451"/>
      <c r="AS1" s="451"/>
      <c r="AT1" s="451"/>
      <c r="AU1" s="451"/>
      <c r="AV1" s="451"/>
      <c r="AW1" s="451"/>
      <c r="AX1" s="451"/>
      <c r="AY1" s="451"/>
      <c r="AZ1" s="451"/>
      <c r="BA1" s="451"/>
      <c r="BB1" s="451"/>
      <c r="BC1" s="451"/>
      <c r="BD1" s="451"/>
      <c r="BE1" s="451"/>
      <c r="BF1" s="451"/>
      <c r="BG1" s="451"/>
      <c r="BH1" s="358"/>
      <c r="BI1" s="358"/>
      <c r="BJ1" s="358"/>
      <c r="BK1" s="358"/>
      <c r="BL1" s="358"/>
      <c r="BM1" s="358"/>
      <c r="BN1" s="358"/>
      <c r="BO1" s="358"/>
      <c r="BP1" s="358"/>
      <c r="BQ1" s="358"/>
      <c r="BR1" s="359" t="s">
        <v>270</v>
      </c>
      <c r="BS1" s="360">
        <v>0.5</v>
      </c>
      <c r="BT1" s="361"/>
      <c r="BU1" s="362"/>
    </row>
    <row r="2" spans="2:77" s="45" customFormat="1" ht="60.75" customHeight="1" thickBot="1">
      <c r="B2" s="239"/>
      <c r="C2" s="284" t="s">
        <v>1</v>
      </c>
      <c r="D2" s="240" t="s">
        <v>77</v>
      </c>
      <c r="E2" s="43" t="s">
        <v>78</v>
      </c>
      <c r="F2" s="44" t="s">
        <v>64</v>
      </c>
      <c r="G2" s="47"/>
      <c r="H2" s="44" t="s">
        <v>58</v>
      </c>
      <c r="I2" s="42" t="s">
        <v>79</v>
      </c>
      <c r="J2" s="43" t="s">
        <v>80</v>
      </c>
      <c r="K2" s="47"/>
      <c r="L2" s="44" t="s">
        <v>96</v>
      </c>
      <c r="M2" s="42" t="s">
        <v>79</v>
      </c>
      <c r="N2" s="43" t="s">
        <v>80</v>
      </c>
      <c r="O2" s="47"/>
      <c r="P2" s="44" t="s">
        <v>97</v>
      </c>
      <c r="Q2" s="42" t="s">
        <v>79</v>
      </c>
      <c r="R2" s="43" t="s">
        <v>80</v>
      </c>
      <c r="S2" s="47"/>
      <c r="T2" s="44" t="s">
        <v>27</v>
      </c>
      <c r="U2" s="44" t="s">
        <v>90</v>
      </c>
      <c r="V2" s="44" t="s">
        <v>70</v>
      </c>
      <c r="W2" s="44" t="s">
        <v>38</v>
      </c>
      <c r="X2" s="44" t="s">
        <v>39</v>
      </c>
      <c r="Y2" s="285" t="s">
        <v>115</v>
      </c>
      <c r="Z2" s="364" t="s">
        <v>142</v>
      </c>
      <c r="AA2" s="180" t="s">
        <v>258</v>
      </c>
      <c r="AB2" s="60"/>
      <c r="AC2" s="365" t="s">
        <v>130</v>
      </c>
      <c r="AD2" s="365" t="s">
        <v>131</v>
      </c>
      <c r="AE2" s="366" t="s">
        <v>132</v>
      </c>
      <c r="AF2" s="365" t="s">
        <v>64</v>
      </c>
      <c r="AG2" s="365" t="s">
        <v>133</v>
      </c>
      <c r="AH2" s="365" t="s">
        <v>134</v>
      </c>
      <c r="AI2" s="365" t="s">
        <v>135</v>
      </c>
      <c r="AJ2" s="367" t="s">
        <v>136</v>
      </c>
      <c r="AK2" s="367" t="s">
        <v>137</v>
      </c>
      <c r="AL2" s="366" t="s">
        <v>138</v>
      </c>
      <c r="AM2" s="366" t="s">
        <v>139</v>
      </c>
      <c r="AN2" s="366" t="s">
        <v>140</v>
      </c>
      <c r="AO2" s="77" t="s">
        <v>77</v>
      </c>
      <c r="AP2" s="78" t="s">
        <v>78</v>
      </c>
      <c r="AQ2" s="368" t="s">
        <v>141</v>
      </c>
      <c r="AR2" s="77" t="s">
        <v>79</v>
      </c>
      <c r="AS2" s="80" t="s">
        <v>80</v>
      </c>
      <c r="AT2" s="369">
        <v>42035</v>
      </c>
      <c r="AU2" s="365">
        <v>42063</v>
      </c>
      <c r="AV2" s="365">
        <v>42094</v>
      </c>
      <c r="AW2" s="365">
        <v>42124</v>
      </c>
      <c r="AX2" s="365">
        <v>42155</v>
      </c>
      <c r="AY2" s="365">
        <v>42185</v>
      </c>
      <c r="AZ2" s="365">
        <v>42216</v>
      </c>
      <c r="BA2" s="365">
        <v>42247</v>
      </c>
      <c r="BB2" s="365">
        <v>42277</v>
      </c>
      <c r="BC2" s="365">
        <v>42308</v>
      </c>
      <c r="BD2" s="365">
        <v>42338</v>
      </c>
      <c r="BE2" s="365">
        <v>42369</v>
      </c>
      <c r="BF2" s="365">
        <v>42400</v>
      </c>
      <c r="BG2" s="370">
        <v>42401</v>
      </c>
      <c r="BH2" s="370">
        <v>42430</v>
      </c>
      <c r="BI2" s="370">
        <v>42461</v>
      </c>
      <c r="BJ2" s="370">
        <v>42491</v>
      </c>
      <c r="BK2" s="370">
        <v>42522</v>
      </c>
      <c r="BL2" s="370">
        <v>42552</v>
      </c>
      <c r="BM2" s="370">
        <v>42583</v>
      </c>
      <c r="BN2" s="370">
        <v>42614</v>
      </c>
      <c r="BO2" s="370">
        <v>42644</v>
      </c>
      <c r="BP2" s="370">
        <v>42675</v>
      </c>
      <c r="BQ2" s="370">
        <v>42705</v>
      </c>
      <c r="BR2" s="371" t="s">
        <v>271</v>
      </c>
      <c r="BS2" s="371" t="s">
        <v>272</v>
      </c>
      <c r="BT2" s="371" t="s">
        <v>273</v>
      </c>
      <c r="BU2" s="372" t="s">
        <v>274</v>
      </c>
      <c r="BV2" s="83" t="s">
        <v>259</v>
      </c>
      <c r="BW2" s="210" t="s">
        <v>276</v>
      </c>
    </row>
    <row r="3" spans="2:77" s="353" customFormat="1" ht="57.75" customHeight="1">
      <c r="B3" s="447" t="s">
        <v>0</v>
      </c>
      <c r="C3" s="337" t="s">
        <v>10</v>
      </c>
      <c r="D3" s="325">
        <v>0.11</v>
      </c>
      <c r="E3" s="287">
        <v>0.105</v>
      </c>
      <c r="F3" s="288" t="s">
        <v>95</v>
      </c>
      <c r="G3" s="289"/>
      <c r="H3" s="290" t="s">
        <v>54</v>
      </c>
      <c r="I3" s="286"/>
      <c r="J3" s="287"/>
      <c r="K3" s="289"/>
      <c r="L3" s="290" t="s">
        <v>54</v>
      </c>
      <c r="M3" s="286"/>
      <c r="N3" s="287"/>
      <c r="O3" s="289"/>
      <c r="P3" s="290" t="s">
        <v>54</v>
      </c>
      <c r="Q3" s="286"/>
      <c r="R3" s="287"/>
      <c r="S3" s="289"/>
      <c r="T3" s="291" t="s">
        <v>71</v>
      </c>
      <c r="U3" s="291"/>
      <c r="V3" s="291"/>
      <c r="W3" s="291"/>
      <c r="X3" s="291"/>
      <c r="Y3" s="373"/>
      <c r="Z3" s="84" t="s">
        <v>151</v>
      </c>
      <c r="AA3" s="88"/>
      <c r="AB3" s="374"/>
      <c r="AC3" s="84" t="s">
        <v>143</v>
      </c>
      <c r="AD3" s="85" t="s">
        <v>144</v>
      </c>
      <c r="AE3" s="84" t="s">
        <v>145</v>
      </c>
      <c r="AF3" s="86" t="s">
        <v>446</v>
      </c>
      <c r="AG3" s="86" t="s">
        <v>146</v>
      </c>
      <c r="AH3" s="86" t="s">
        <v>147</v>
      </c>
      <c r="AI3" s="86" t="s">
        <v>148</v>
      </c>
      <c r="AJ3" s="86" t="s">
        <v>448</v>
      </c>
      <c r="AK3" s="87"/>
      <c r="AL3" s="88" t="s">
        <v>149</v>
      </c>
      <c r="AM3" s="89" t="s">
        <v>150</v>
      </c>
      <c r="AN3" s="88"/>
      <c r="AO3" s="90">
        <v>0.1208</v>
      </c>
      <c r="AP3" s="190">
        <v>0.106</v>
      </c>
      <c r="AQ3" s="91"/>
      <c r="AR3" s="90">
        <v>0.13009999999999999</v>
      </c>
      <c r="AS3" s="190">
        <v>0.1101</v>
      </c>
      <c r="AT3" s="92">
        <f xml:space="preserve"> (881.62-75)/3824.4</f>
        <v>0.21091413032109613</v>
      </c>
      <c r="AU3" s="92">
        <f xml:space="preserve"> (882.69-75)/3827.05</f>
        <v>0.21104767379574346</v>
      </c>
      <c r="AV3" s="92">
        <f xml:space="preserve"> (886.92-75)/3744.03</f>
        <v>0.21685723672085958</v>
      </c>
      <c r="AW3" s="92">
        <f>(890.75234096-75)/3767.184</f>
        <v>0.21654167700860907</v>
      </c>
      <c r="AX3" s="92">
        <f>(893.64630978-75)/3827.715</f>
        <v>0.21387337087008829</v>
      </c>
      <c r="AY3" s="93">
        <f>(896.87773133-75)/3854.980185</f>
        <v>0.2131989509383172</v>
      </c>
      <c r="AZ3" s="93">
        <f>(899.32698133-75)/3832.377</f>
        <v>0.21509548286350741</v>
      </c>
      <c r="BA3" s="93">
        <f>(902.33900133-75)/3790.394</f>
        <v>0.21827255987899941</v>
      </c>
      <c r="BB3" s="93">
        <f>(905.02-75)/3617.54</f>
        <v>0.22944321279101268</v>
      </c>
      <c r="BC3" s="93">
        <f>(906.32-75)/3601.15</f>
        <v>0.23084847895811061</v>
      </c>
      <c r="BD3" s="93">
        <f>(908.344820238001-75)/3544.49459731878</f>
        <v>0.23510963195384235</v>
      </c>
      <c r="BE3" s="93">
        <f>(917.054273058005-75)/3567.9148400942</f>
        <v>0.23600739109450639</v>
      </c>
      <c r="BF3" s="93">
        <f>(845.303335227995-0)/3515.04</f>
        <v>0.24048185375642811</v>
      </c>
      <c r="BG3" s="93">
        <f>(847.509449948007-0)/3475.17933685976</f>
        <v>0.24387502565949104</v>
      </c>
      <c r="BH3" s="93">
        <f>(848.871233227997-0)/3473.86808485756</f>
        <v>0.24435908690033159</v>
      </c>
      <c r="BI3" s="93"/>
      <c r="BJ3" s="93"/>
      <c r="BK3" s="93"/>
      <c r="BL3" s="93"/>
      <c r="BM3" s="93"/>
      <c r="BN3" s="93"/>
      <c r="BO3" s="93"/>
      <c r="BP3" s="93"/>
      <c r="BQ3" s="93"/>
      <c r="BR3" s="199">
        <f>+IFERROR(AVERAGE(AT3:BQ3),"")</f>
        <v>0.22506171756739621</v>
      </c>
      <c r="BS3" s="375">
        <f>+IFERROR(VAR(AT3:BQ3),"")</f>
        <v>1.5609551142223274E-4</v>
      </c>
      <c r="BT3" s="376">
        <f>+IFERROR(STDEV(AT3:BQ3)*(1-$BS$1),"")</f>
        <v>6.246909464331798E-3</v>
      </c>
      <c r="BU3" s="377" t="str">
        <f ca="1">+IF(OR(BT3="",OFFSET(AT3,0,MATCH($B$1,AT$2:BQ$2,0)-1)=""),"",IFERROR(IF(ABS(OFFSET(AT3,0,MATCH($B$1,AT$2:BQ$2,0)-1)-OFFSET(AT3,0,MATCH($B$1,AT$2:BQ$2,0)-2))&gt;BT3,"N","µ"),""))</f>
        <v>µ</v>
      </c>
      <c r="BV3" s="94"/>
      <c r="BW3" s="378"/>
      <c r="BY3" s="95"/>
    </row>
    <row r="4" spans="2:77" s="353" customFormat="1" ht="57.75" customHeight="1">
      <c r="B4" s="448"/>
      <c r="C4" s="337" t="s">
        <v>2</v>
      </c>
      <c r="D4" s="325">
        <v>0.125</v>
      </c>
      <c r="E4" s="287">
        <v>0.12</v>
      </c>
      <c r="F4" s="288" t="s">
        <v>95</v>
      </c>
      <c r="G4" s="289"/>
      <c r="H4" s="290" t="s">
        <v>54</v>
      </c>
      <c r="I4" s="286"/>
      <c r="J4" s="287"/>
      <c r="K4" s="289"/>
      <c r="L4" s="290" t="s">
        <v>54</v>
      </c>
      <c r="M4" s="286"/>
      <c r="N4" s="287"/>
      <c r="O4" s="289"/>
      <c r="P4" s="290" t="s">
        <v>54</v>
      </c>
      <c r="Q4" s="286"/>
      <c r="R4" s="287"/>
      <c r="S4" s="289"/>
      <c r="T4" s="291"/>
      <c r="U4" s="291"/>
      <c r="V4" s="291"/>
      <c r="W4" s="291"/>
      <c r="X4" s="291"/>
      <c r="Y4" s="373"/>
      <c r="Z4" s="84" t="s">
        <v>151</v>
      </c>
      <c r="AA4" s="88"/>
      <c r="AB4" s="374"/>
      <c r="AC4" s="84" t="s">
        <v>143</v>
      </c>
      <c r="AD4" s="85" t="s">
        <v>152</v>
      </c>
      <c r="AE4" s="84" t="s">
        <v>153</v>
      </c>
      <c r="AF4" s="86" t="s">
        <v>446</v>
      </c>
      <c r="AG4" s="86" t="s">
        <v>146</v>
      </c>
      <c r="AH4" s="86" t="s">
        <v>147</v>
      </c>
      <c r="AI4" s="86" t="s">
        <v>148</v>
      </c>
      <c r="AJ4" s="86" t="s">
        <v>448</v>
      </c>
      <c r="AK4" s="93"/>
      <c r="AL4" s="88" t="s">
        <v>149</v>
      </c>
      <c r="AM4" s="89" t="s">
        <v>150</v>
      </c>
      <c r="AN4" s="88"/>
      <c r="AO4" s="90">
        <v>0.152</v>
      </c>
      <c r="AP4" s="190">
        <v>0.14080000000000001</v>
      </c>
      <c r="AQ4" s="91"/>
      <c r="AR4" s="90">
        <v>0.15820000000000001</v>
      </c>
      <c r="AS4" s="190">
        <v>0.13819999999999999</v>
      </c>
      <c r="AT4" s="92">
        <f xml:space="preserve"> 881.62/3824.4</f>
        <v>0.23052504968099571</v>
      </c>
      <c r="AU4" s="92">
        <f>882.69/3827.05</f>
        <v>0.23064501378346247</v>
      </c>
      <c r="AV4" s="92">
        <f>886.92/3744.04</f>
        <v>0.23688849478103866</v>
      </c>
      <c r="AW4" s="92">
        <f>890.75234096/3767.184</f>
        <v>0.23645044706072227</v>
      </c>
      <c r="AX4" s="92">
        <f>893.64630978/3827.715</f>
        <v>0.23346730615523884</v>
      </c>
      <c r="AY4" s="93">
        <f>896.87773133/3854.980185</f>
        <v>0.2326543038586332</v>
      </c>
      <c r="AZ4" s="93">
        <f>899.32698133/3832.377</f>
        <v>0.23466558256925141</v>
      </c>
      <c r="BA4" s="93">
        <f>902.33900133/3790.394</f>
        <v>0.2380594210865678</v>
      </c>
      <c r="BB4" s="93">
        <f>905.017492977999/3617.53992443135</f>
        <v>0.25017484585750938</v>
      </c>
      <c r="BC4" s="93">
        <f>906.32/3601.15</f>
        <v>0.25167515932410478</v>
      </c>
      <c r="BD4" s="93">
        <f>908.344820238001/3544.49459731878</f>
        <v>0.2562692071600603</v>
      </c>
      <c r="BE4" s="93">
        <f>917.054273058005/3567.9148400942</f>
        <v>0.25702807218173207</v>
      </c>
      <c r="BF4" s="93">
        <f>845.303335227995/3515.04</f>
        <v>0.24048185375642811</v>
      </c>
      <c r="BG4" s="93">
        <f>847.509449948007/3475.17933685976</f>
        <v>0.24387502565949104</v>
      </c>
      <c r="BH4" s="93">
        <f>848.871233227997/3473.86808485756</f>
        <v>0.24435908690033159</v>
      </c>
      <c r="BI4" s="93"/>
      <c r="BJ4" s="93"/>
      <c r="BK4" s="93"/>
      <c r="BL4" s="93"/>
      <c r="BM4" s="93"/>
      <c r="BN4" s="93"/>
      <c r="BO4" s="93"/>
      <c r="BP4" s="93"/>
      <c r="BQ4" s="93"/>
      <c r="BR4" s="199">
        <f t="shared" ref="BR4:BR12" si="0">+IFERROR(AVERAGE(AT4:BQ4),"")</f>
        <v>0.24114792465437118</v>
      </c>
      <c r="BS4" s="375">
        <f t="shared" ref="BS4:BS12" si="1">+IFERROR(VAR(AT4:BQ4),"")</f>
        <v>8.1242235400625227E-5</v>
      </c>
      <c r="BT4" s="376">
        <f t="shared" ref="BT4:BT12" si="2">+IFERROR(STDEV(AT4:BQ4)*(1-$BS$1),"")</f>
        <v>4.5067237379449281E-3</v>
      </c>
      <c r="BU4" s="377" t="str">
        <f t="shared" ref="BU4:BU6" ca="1" si="3">+IF(OR(BT4="",OFFSET(AT4,0,MATCH($B$1,AT$2:BQ$2,0)-1)=""),"",IFERROR(IF(ABS(OFFSET(AT4,0,MATCH($B$1,AT$2:BQ$2,0)-1)-OFFSET(AT4,0,MATCH($B$1,AT$2:BQ$2,0)-2))&gt;BT4,"N","µ"),""))</f>
        <v>µ</v>
      </c>
      <c r="BV4" s="94"/>
      <c r="BW4" s="378"/>
      <c r="BY4" s="95"/>
    </row>
    <row r="5" spans="2:77" s="353" customFormat="1" ht="57.75" customHeight="1">
      <c r="B5" s="448"/>
      <c r="C5" s="346" t="s">
        <v>3</v>
      </c>
      <c r="D5" s="325">
        <v>0.14499999999999999</v>
      </c>
      <c r="E5" s="287">
        <v>0.14000000000000001</v>
      </c>
      <c r="F5" s="288" t="s">
        <v>95</v>
      </c>
      <c r="G5" s="289"/>
      <c r="H5" s="290" t="s">
        <v>54</v>
      </c>
      <c r="I5" s="286"/>
      <c r="J5" s="287"/>
      <c r="K5" s="289"/>
      <c r="L5" s="290" t="s">
        <v>54</v>
      </c>
      <c r="M5" s="286"/>
      <c r="N5" s="287"/>
      <c r="O5" s="289"/>
      <c r="P5" s="290" t="s">
        <v>54</v>
      </c>
      <c r="Q5" s="286"/>
      <c r="R5" s="287"/>
      <c r="S5" s="289"/>
      <c r="T5" s="292" t="s">
        <v>49</v>
      </c>
      <c r="U5" s="292" t="s">
        <v>59</v>
      </c>
      <c r="V5" s="292" t="s">
        <v>31</v>
      </c>
      <c r="W5" s="292" t="s">
        <v>37</v>
      </c>
      <c r="X5" s="292" t="s">
        <v>40</v>
      </c>
      <c r="Y5" s="373"/>
      <c r="Z5" s="84" t="s">
        <v>151</v>
      </c>
      <c r="AA5" s="88"/>
      <c r="AB5" s="374"/>
      <c r="AC5" s="84" t="s">
        <v>143</v>
      </c>
      <c r="AD5" s="85" t="s">
        <v>154</v>
      </c>
      <c r="AE5" s="84" t="s">
        <v>155</v>
      </c>
      <c r="AF5" s="86" t="s">
        <v>446</v>
      </c>
      <c r="AG5" s="86" t="s">
        <v>146</v>
      </c>
      <c r="AH5" s="86" t="s">
        <v>147</v>
      </c>
      <c r="AI5" s="86" t="s">
        <v>148</v>
      </c>
      <c r="AJ5" s="86" t="s">
        <v>448</v>
      </c>
      <c r="AK5" s="87"/>
      <c r="AL5" s="88" t="s">
        <v>156</v>
      </c>
      <c r="AM5" s="89" t="s">
        <v>157</v>
      </c>
      <c r="AN5" s="88"/>
      <c r="AO5" s="90">
        <v>0.17100000000000001</v>
      </c>
      <c r="AP5" s="190">
        <v>0.1608</v>
      </c>
      <c r="AQ5" s="91"/>
      <c r="AR5" s="90">
        <v>0.17829999999999999</v>
      </c>
      <c r="AS5" s="190">
        <v>0.1583</v>
      </c>
      <c r="AT5" s="92">
        <f>929.78/3824.4</f>
        <v>0.24311787469929921</v>
      </c>
      <c r="AU5" s="92">
        <f>930.9/3827.05</f>
        <v>0.24324218392756822</v>
      </c>
      <c r="AV5" s="92">
        <f>934.97339448426/3744.03530307472</f>
        <v>0.24972344510652192</v>
      </c>
      <c r="AW5" s="92">
        <f>938.21927945/3767.184</f>
        <v>0.2490505585737251</v>
      </c>
      <c r="AX5" s="92">
        <f>941.88692978/3827.715</f>
        <v>0.24607028730717934</v>
      </c>
      <c r="AY5" s="93">
        <f>945.44388633/3854.980185</f>
        <v>0.24525259299873681</v>
      </c>
      <c r="AZ5" s="93">
        <f>947.63671533/3832.377</f>
        <v>0.24727126671775768</v>
      </c>
      <c r="BA5" s="93">
        <f>950.13400133/3790.394</f>
        <v>0.25066892817211089</v>
      </c>
      <c r="BB5" s="93">
        <f>950.69/3617.54</f>
        <v>0.26280013489830106</v>
      </c>
      <c r="BC5" s="93">
        <f>951.83/3601.15</f>
        <v>0.26431278897019006</v>
      </c>
      <c r="BD5" s="93">
        <f>953.157389234159/3544.49459731878</f>
        <v>0.26891207281150081</v>
      </c>
      <c r="BE5" s="93">
        <f>962.149080349415/3567.9148400942</f>
        <v>0.26966705301856714</v>
      </c>
      <c r="BF5" s="93">
        <f>889.729997481374/3515.04</f>
        <v>0.25312087415260537</v>
      </c>
      <c r="BG5" s="93">
        <f>891.448349268745/3475.17933685976</f>
        <v>0.25651866072450669</v>
      </c>
      <c r="BH5" s="93">
        <f>892.826478519448/3473.86808485756</f>
        <v>0.25701219986194634</v>
      </c>
      <c r="BI5" s="93"/>
      <c r="BJ5" s="93"/>
      <c r="BK5" s="93"/>
      <c r="BL5" s="93"/>
      <c r="BM5" s="93"/>
      <c r="BN5" s="93"/>
      <c r="BO5" s="93"/>
      <c r="BP5" s="93"/>
      <c r="BQ5" s="93"/>
      <c r="BR5" s="199">
        <f t="shared" si="0"/>
        <v>0.25378272812936775</v>
      </c>
      <c r="BS5" s="375">
        <f t="shared" si="1"/>
        <v>8.1415051868329095E-5</v>
      </c>
      <c r="BT5" s="376">
        <f t="shared" si="2"/>
        <v>4.5115144870744098E-3</v>
      </c>
      <c r="BU5" s="377" t="str">
        <f t="shared" ca="1" si="3"/>
        <v>µ</v>
      </c>
      <c r="BV5" s="94"/>
      <c r="BW5" s="378"/>
      <c r="BY5" s="95"/>
    </row>
    <row r="6" spans="2:77" s="353" customFormat="1" ht="57.75" customHeight="1">
      <c r="B6" s="448"/>
      <c r="C6" s="337" t="s">
        <v>18</v>
      </c>
      <c r="D6" s="325">
        <v>0.10249999999999999</v>
      </c>
      <c r="E6" s="287">
        <v>9.7500000000000003E-2</v>
      </c>
      <c r="F6" s="288" t="s">
        <v>95</v>
      </c>
      <c r="G6" s="289"/>
      <c r="H6" s="290" t="s">
        <v>54</v>
      </c>
      <c r="I6" s="286"/>
      <c r="J6" s="287"/>
      <c r="K6" s="289"/>
      <c r="L6" s="290" t="s">
        <v>54</v>
      </c>
      <c r="M6" s="286"/>
      <c r="N6" s="287"/>
      <c r="O6" s="289"/>
      <c r="P6" s="290" t="s">
        <v>54</v>
      </c>
      <c r="Q6" s="286"/>
      <c r="R6" s="287"/>
      <c r="S6" s="289"/>
      <c r="T6" s="291"/>
      <c r="U6" s="291"/>
      <c r="V6" s="291"/>
      <c r="W6" s="291"/>
      <c r="X6" s="291"/>
      <c r="Y6" s="373"/>
      <c r="Z6" s="84" t="s">
        <v>151</v>
      </c>
      <c r="AA6" s="88"/>
      <c r="AB6" s="374"/>
      <c r="AC6" s="84" t="s">
        <v>143</v>
      </c>
      <c r="AD6" s="85" t="s">
        <v>158</v>
      </c>
      <c r="AE6" s="84" t="s">
        <v>159</v>
      </c>
      <c r="AF6" s="86" t="s">
        <v>446</v>
      </c>
      <c r="AG6" s="86" t="s">
        <v>146</v>
      </c>
      <c r="AH6" s="86" t="s">
        <v>147</v>
      </c>
      <c r="AI6" s="86" t="s">
        <v>148</v>
      </c>
      <c r="AJ6" s="86" t="s">
        <v>448</v>
      </c>
      <c r="AK6" s="87"/>
      <c r="AL6" s="88" t="s">
        <v>149</v>
      </c>
      <c r="AM6" s="89" t="s">
        <v>150</v>
      </c>
      <c r="AN6" s="88"/>
      <c r="AO6" s="90">
        <v>8.8999999999999996E-2</v>
      </c>
      <c r="AP6" s="190">
        <v>8.1199999999999994E-2</v>
      </c>
      <c r="AQ6" s="91"/>
      <c r="AR6" s="90">
        <v>0.108</v>
      </c>
      <c r="AS6" s="190">
        <v>8.7999999999999995E-2</v>
      </c>
      <c r="AT6" s="92">
        <f>881.62/5437.15</f>
        <v>0.16214744857140231</v>
      </c>
      <c r="AU6" s="92">
        <f>882.69/5405.44</f>
        <v>0.16329660490172865</v>
      </c>
      <c r="AV6" s="92">
        <f>886.92/5454.68</f>
        <v>0.16259798924959851</v>
      </c>
      <c r="AW6" s="92">
        <f>890.75234096/5520.29404333</f>
        <v>0.16135958229186512</v>
      </c>
      <c r="AX6" s="92">
        <f>893.64630978/5491.573</f>
        <v>0.16273047991531753</v>
      </c>
      <c r="AY6" s="93">
        <f>896.87773133/5473.887961</f>
        <v>0.16384656348833149</v>
      </c>
      <c r="AZ6" s="93">
        <f>899.32698133/5432.645</f>
        <v>0.16554127525910489</v>
      </c>
      <c r="BA6" s="93">
        <f>902.33900133/5448.467</f>
        <v>0.16561337369392162</v>
      </c>
      <c r="BB6" s="93">
        <f>905.017492977999/5443.264726678</f>
        <v>0.16626372929143335</v>
      </c>
      <c r="BC6" s="93">
        <f>906.32/5398.96</f>
        <v>0.16786936743372799</v>
      </c>
      <c r="BD6" s="93">
        <f>908.344820238001/5391.366186328</f>
        <v>0.16848138094226997</v>
      </c>
      <c r="BE6" s="93">
        <f>917.054273058005/5379.26621439801</f>
        <v>0.17047943650816919</v>
      </c>
      <c r="BF6" s="93">
        <f>845.303335227995/5317.39</f>
        <v>0.15896959508856695</v>
      </c>
      <c r="BG6" s="93">
        <f>847.509449948007/5298.735556328</f>
        <v>0.15994560229296051</v>
      </c>
      <c r="BH6" s="93">
        <f>848.871233227997/5303.055439328</f>
        <v>0.16007210238321881</v>
      </c>
      <c r="BI6" s="93"/>
      <c r="BJ6" s="93"/>
      <c r="BK6" s="93"/>
      <c r="BL6" s="93"/>
      <c r="BM6" s="93"/>
      <c r="BN6" s="93"/>
      <c r="BO6" s="93"/>
      <c r="BP6" s="93"/>
      <c r="BQ6" s="93"/>
      <c r="BR6" s="199">
        <f t="shared" si="0"/>
        <v>0.16394763542077445</v>
      </c>
      <c r="BS6" s="375">
        <f t="shared" si="1"/>
        <v>1.1340756423730845E-5</v>
      </c>
      <c r="BT6" s="376">
        <f t="shared" si="2"/>
        <v>1.6838019794300967E-3</v>
      </c>
      <c r="BU6" s="377" t="str">
        <f t="shared" ca="1" si="3"/>
        <v>µ</v>
      </c>
      <c r="BV6" s="94"/>
      <c r="BW6" s="378"/>
      <c r="BY6" s="95"/>
    </row>
    <row r="7" spans="2:77" s="353" customFormat="1" ht="57.75" customHeight="1">
      <c r="B7" s="448"/>
      <c r="C7" s="338" t="s">
        <v>510</v>
      </c>
      <c r="D7" s="326" t="s">
        <v>26</v>
      </c>
      <c r="E7" s="293" t="s">
        <v>16</v>
      </c>
      <c r="F7" s="294" t="s">
        <v>29</v>
      </c>
      <c r="G7" s="293"/>
      <c r="H7" s="295" t="s">
        <v>54</v>
      </c>
      <c r="I7" s="293"/>
      <c r="J7" s="204"/>
      <c r="K7" s="204"/>
      <c r="L7" s="295" t="s">
        <v>54</v>
      </c>
      <c r="M7" s="293"/>
      <c r="N7" s="293"/>
      <c r="O7" s="293"/>
      <c r="P7" s="295" t="s">
        <v>54</v>
      </c>
      <c r="Q7" s="286"/>
      <c r="R7" s="287"/>
      <c r="S7" s="289"/>
      <c r="T7" s="291" t="s">
        <v>72</v>
      </c>
      <c r="U7" s="291"/>
      <c r="V7" s="291"/>
      <c r="W7" s="291"/>
      <c r="X7" s="291"/>
      <c r="Y7" s="373"/>
      <c r="Z7" s="84" t="s">
        <v>151</v>
      </c>
      <c r="AA7" s="88"/>
      <c r="AB7" s="374"/>
      <c r="AC7" s="84" t="s">
        <v>166</v>
      </c>
      <c r="AD7" s="85"/>
      <c r="AE7" s="84" t="s">
        <v>491</v>
      </c>
      <c r="AF7" s="86" t="s">
        <v>29</v>
      </c>
      <c r="AG7" s="86" t="s">
        <v>29</v>
      </c>
      <c r="AH7" s="86" t="s">
        <v>29</v>
      </c>
      <c r="AI7" s="86"/>
      <c r="AJ7" s="88" t="s">
        <v>450</v>
      </c>
      <c r="AK7" s="96"/>
      <c r="AL7" s="88"/>
      <c r="AM7" s="89"/>
      <c r="AN7" s="88"/>
      <c r="AO7" s="90" t="s">
        <v>29</v>
      </c>
      <c r="AP7" s="190" t="s">
        <v>29</v>
      </c>
      <c r="AQ7" s="91" t="s">
        <v>357</v>
      </c>
      <c r="AR7" s="90" t="s">
        <v>504</v>
      </c>
      <c r="AS7" s="190" t="s">
        <v>505</v>
      </c>
      <c r="AT7" s="97" t="s">
        <v>357</v>
      </c>
      <c r="AU7" s="97" t="s">
        <v>357</v>
      </c>
      <c r="AV7" s="97" t="s">
        <v>357</v>
      </c>
      <c r="AW7" s="97" t="s">
        <v>357</v>
      </c>
      <c r="AX7" s="97" t="s">
        <v>357</v>
      </c>
      <c r="AY7" s="97" t="s">
        <v>357</v>
      </c>
      <c r="AZ7" s="97" t="s">
        <v>357</v>
      </c>
      <c r="BA7" s="97" t="s">
        <v>357</v>
      </c>
      <c r="BB7" s="97" t="s">
        <v>357</v>
      </c>
      <c r="BC7" s="97" t="s">
        <v>357</v>
      </c>
      <c r="BD7" s="97" t="s">
        <v>357</v>
      </c>
      <c r="BE7" s="97" t="s">
        <v>357</v>
      </c>
      <c r="BF7" s="97" t="s">
        <v>357</v>
      </c>
      <c r="BG7" s="97" t="s">
        <v>357</v>
      </c>
      <c r="BH7" s="441">
        <v>255</v>
      </c>
      <c r="BI7" s="93"/>
      <c r="BJ7" s="93"/>
      <c r="BK7" s="93"/>
      <c r="BL7" s="93"/>
      <c r="BM7" s="93"/>
      <c r="BN7" s="93"/>
      <c r="BO7" s="93"/>
      <c r="BP7" s="93"/>
      <c r="BQ7" s="93"/>
      <c r="BR7" s="199">
        <f t="shared" ref="BR7" si="4">+IFERROR(AVERAGE(AT7:BQ7),"")</f>
        <v>255</v>
      </c>
      <c r="BS7" s="375" t="str">
        <f t="shared" ref="BS7" si="5">+IFERROR(VAR(AT7:BQ7),"")</f>
        <v/>
      </c>
      <c r="BT7" s="376" t="str">
        <f t="shared" ref="BT7" si="6">+IFERROR(STDEV(AT7:BQ7)*(1-$BS$1),"")</f>
        <v/>
      </c>
      <c r="BU7" s="377" t="str">
        <f t="shared" ref="BU7" ca="1" si="7">+IF(OR(BT7="",OFFSET(AT7,0,MATCH($B$1,AT$2:BQ$2,0)-1)=""),"",IFERROR(IF(ABS(OFFSET(AT7,0,MATCH($B$1,AT$2:BQ$2,0)-1)-OFFSET(AT7,0,MATCH($B$1,AT$2:BQ$2,0)-2))&gt;BT7,"N","µ"),""))</f>
        <v/>
      </c>
      <c r="BV7" s="94"/>
      <c r="BW7" s="378"/>
      <c r="BY7" s="95"/>
    </row>
    <row r="8" spans="2:77" s="353" customFormat="1" ht="57.75" customHeight="1">
      <c r="B8" s="448"/>
      <c r="C8" s="339" t="s">
        <v>125</v>
      </c>
      <c r="D8" s="326"/>
      <c r="E8" s="293"/>
      <c r="F8" s="294"/>
      <c r="G8" s="293"/>
      <c r="H8" s="295"/>
      <c r="I8" s="293"/>
      <c r="J8" s="204"/>
      <c r="K8" s="204"/>
      <c r="L8" s="295"/>
      <c r="M8" s="293"/>
      <c r="N8" s="293"/>
      <c r="O8" s="293"/>
      <c r="P8" s="295" t="s">
        <v>54</v>
      </c>
      <c r="Q8" s="286"/>
      <c r="R8" s="287"/>
      <c r="S8" s="289"/>
      <c r="T8" s="291"/>
      <c r="U8" s="291"/>
      <c r="V8" s="291"/>
      <c r="W8" s="291"/>
      <c r="X8" s="291"/>
      <c r="Y8" s="373"/>
      <c r="Z8" s="85" t="s">
        <v>151</v>
      </c>
      <c r="AA8" s="88"/>
      <c r="AB8" s="374"/>
      <c r="AC8" s="84" t="s">
        <v>166</v>
      </c>
      <c r="AD8" s="85"/>
      <c r="AE8" s="85"/>
      <c r="AF8" s="88" t="s">
        <v>29</v>
      </c>
      <c r="AG8" s="86" t="s">
        <v>29</v>
      </c>
      <c r="AH8" s="86" t="s">
        <v>29</v>
      </c>
      <c r="AI8" s="88" t="s">
        <v>148</v>
      </c>
      <c r="AJ8" s="88" t="s">
        <v>496</v>
      </c>
      <c r="AK8" s="99"/>
      <c r="AL8" s="88"/>
      <c r="AM8" s="89"/>
      <c r="AN8" s="88"/>
      <c r="AO8" s="90"/>
      <c r="AP8" s="190"/>
      <c r="AQ8" s="91"/>
      <c r="AR8" s="90">
        <f>AS8+1.71%</f>
        <v>0.1101</v>
      </c>
      <c r="AS8" s="190">
        <v>9.2999999999999999E-2</v>
      </c>
      <c r="AT8" s="105" t="s">
        <v>357</v>
      </c>
      <c r="AU8" s="105" t="s">
        <v>357</v>
      </c>
      <c r="AV8" s="105" t="s">
        <v>357</v>
      </c>
      <c r="AW8" s="105" t="s">
        <v>357</v>
      </c>
      <c r="AX8" s="105" t="s">
        <v>357</v>
      </c>
      <c r="AY8" s="105" t="s">
        <v>357</v>
      </c>
      <c r="AZ8" s="105" t="s">
        <v>357</v>
      </c>
      <c r="BA8" s="105" t="s">
        <v>357</v>
      </c>
      <c r="BB8" s="105" t="s">
        <v>357</v>
      </c>
      <c r="BC8" s="105" t="s">
        <v>357</v>
      </c>
      <c r="BD8" s="105" t="s">
        <v>357</v>
      </c>
      <c r="BE8" s="105" t="s">
        <v>357</v>
      </c>
      <c r="BF8" s="105" t="s">
        <v>357</v>
      </c>
      <c r="BG8" s="105" t="s">
        <v>357</v>
      </c>
      <c r="BH8" s="105" t="s">
        <v>357</v>
      </c>
      <c r="BI8" s="165"/>
      <c r="BJ8" s="165"/>
      <c r="BK8" s="165"/>
      <c r="BL8" s="165"/>
      <c r="BM8" s="165"/>
      <c r="BN8" s="165"/>
      <c r="BO8" s="165"/>
      <c r="BP8" s="165"/>
      <c r="BQ8" s="165"/>
      <c r="BR8" s="199" t="str">
        <f t="shared" si="0"/>
        <v/>
      </c>
      <c r="BS8" s="375" t="str">
        <f t="shared" si="1"/>
        <v/>
      </c>
      <c r="BT8" s="376" t="str">
        <f t="shared" si="2"/>
        <v/>
      </c>
      <c r="BU8" s="377" t="str">
        <f t="shared" ref="BU8:BU21" ca="1" si="8">+IF(OR(BT8="",OFFSET(AT8,0,MATCH($B$1,AT$2:BQ$2,0)-1)=""),"",IFERROR(IF(ABS(OFFSET(AT8,0,MATCH($B$1,AT$2:BQ$2,0)-1)-OFFSET(AT8,0,MATCH($B$1,AT$2:BQ$2,0)-2))&gt;BT8,"N","µ"),""))</f>
        <v/>
      </c>
      <c r="BV8" s="102"/>
      <c r="BW8" s="378"/>
      <c r="BY8" s="95"/>
    </row>
    <row r="9" spans="2:77" s="353" customFormat="1" ht="57.75" customHeight="1">
      <c r="B9" s="448"/>
      <c r="C9" s="339" t="s">
        <v>126</v>
      </c>
      <c r="D9" s="326"/>
      <c r="E9" s="293"/>
      <c r="F9" s="294"/>
      <c r="G9" s="293"/>
      <c r="H9" s="295"/>
      <c r="I9" s="293"/>
      <c r="J9" s="204"/>
      <c r="K9" s="204"/>
      <c r="L9" s="295"/>
      <c r="M9" s="293"/>
      <c r="N9" s="293"/>
      <c r="O9" s="293"/>
      <c r="P9" s="295" t="s">
        <v>54</v>
      </c>
      <c r="Q9" s="286"/>
      <c r="R9" s="287"/>
      <c r="S9" s="289"/>
      <c r="T9" s="291"/>
      <c r="U9" s="291"/>
      <c r="V9" s="291"/>
      <c r="W9" s="291"/>
      <c r="X9" s="291"/>
      <c r="Y9" s="373"/>
      <c r="Z9" s="85" t="s">
        <v>151</v>
      </c>
      <c r="AA9" s="88"/>
      <c r="AB9" s="374"/>
      <c r="AC9" s="84" t="s">
        <v>166</v>
      </c>
      <c r="AD9" s="85"/>
      <c r="AE9" s="85"/>
      <c r="AF9" s="88" t="s">
        <v>29</v>
      </c>
      <c r="AG9" s="86" t="s">
        <v>29</v>
      </c>
      <c r="AH9" s="86" t="s">
        <v>29</v>
      </c>
      <c r="AI9" s="88" t="s">
        <v>148</v>
      </c>
      <c r="AJ9" s="88" t="s">
        <v>495</v>
      </c>
      <c r="AK9" s="99"/>
      <c r="AL9" s="88"/>
      <c r="AM9" s="89"/>
      <c r="AN9" s="88"/>
      <c r="AO9" s="90"/>
      <c r="AP9" s="190"/>
      <c r="AQ9" s="91"/>
      <c r="AR9" s="90">
        <f>AS9+2%</f>
        <v>0.1275</v>
      </c>
      <c r="AS9" s="190">
        <v>0.1075</v>
      </c>
      <c r="AT9" s="105" t="s">
        <v>357</v>
      </c>
      <c r="AU9" s="105" t="s">
        <v>357</v>
      </c>
      <c r="AV9" s="105" t="s">
        <v>357</v>
      </c>
      <c r="AW9" s="105" t="s">
        <v>357</v>
      </c>
      <c r="AX9" s="105" t="s">
        <v>357</v>
      </c>
      <c r="AY9" s="105" t="s">
        <v>357</v>
      </c>
      <c r="AZ9" s="105" t="s">
        <v>357</v>
      </c>
      <c r="BA9" s="105" t="s">
        <v>357</v>
      </c>
      <c r="BB9" s="105" t="s">
        <v>357</v>
      </c>
      <c r="BC9" s="105" t="s">
        <v>357</v>
      </c>
      <c r="BD9" s="105" t="s">
        <v>357</v>
      </c>
      <c r="BE9" s="105" t="s">
        <v>357</v>
      </c>
      <c r="BF9" s="105" t="s">
        <v>357</v>
      </c>
      <c r="BG9" s="105" t="s">
        <v>357</v>
      </c>
      <c r="BH9" s="105" t="s">
        <v>357</v>
      </c>
      <c r="BI9" s="165"/>
      <c r="BJ9" s="165"/>
      <c r="BK9" s="165"/>
      <c r="BL9" s="165"/>
      <c r="BM9" s="165"/>
      <c r="BN9" s="165"/>
      <c r="BO9" s="165"/>
      <c r="BP9" s="165"/>
      <c r="BQ9" s="165"/>
      <c r="BR9" s="199" t="str">
        <f t="shared" si="0"/>
        <v/>
      </c>
      <c r="BS9" s="375" t="str">
        <f t="shared" si="1"/>
        <v/>
      </c>
      <c r="BT9" s="376" t="str">
        <f t="shared" si="2"/>
        <v/>
      </c>
      <c r="BU9" s="377" t="str">
        <f t="shared" ca="1" si="8"/>
        <v/>
      </c>
      <c r="BV9" s="102"/>
      <c r="BW9" s="378"/>
      <c r="BY9" s="95"/>
    </row>
    <row r="10" spans="2:77" s="353" customFormat="1" ht="57.75" customHeight="1">
      <c r="B10" s="448"/>
      <c r="C10" s="339" t="s">
        <v>127</v>
      </c>
      <c r="D10" s="326"/>
      <c r="E10" s="293"/>
      <c r="F10" s="294"/>
      <c r="G10" s="293"/>
      <c r="H10" s="295"/>
      <c r="I10" s="293"/>
      <c r="J10" s="204"/>
      <c r="K10" s="204"/>
      <c r="L10" s="295"/>
      <c r="M10" s="293"/>
      <c r="N10" s="293"/>
      <c r="O10" s="293"/>
      <c r="P10" s="295" t="s">
        <v>54</v>
      </c>
      <c r="Q10" s="286"/>
      <c r="R10" s="287"/>
      <c r="S10" s="289"/>
      <c r="T10" s="291"/>
      <c r="U10" s="291"/>
      <c r="V10" s="291"/>
      <c r="W10" s="291"/>
      <c r="X10" s="291"/>
      <c r="Y10" s="373"/>
      <c r="Z10" s="85" t="s">
        <v>151</v>
      </c>
      <c r="AA10" s="88"/>
      <c r="AB10" s="374"/>
      <c r="AC10" s="84" t="s">
        <v>166</v>
      </c>
      <c r="AD10" s="85"/>
      <c r="AE10" s="85"/>
      <c r="AF10" s="88" t="s">
        <v>29</v>
      </c>
      <c r="AG10" s="86" t="s">
        <v>29</v>
      </c>
      <c r="AH10" s="86" t="s">
        <v>29</v>
      </c>
      <c r="AI10" s="88" t="s">
        <v>148</v>
      </c>
      <c r="AJ10" s="88" t="s">
        <v>497</v>
      </c>
      <c r="AK10" s="99"/>
      <c r="AL10" s="88"/>
      <c r="AM10" s="89"/>
      <c r="AN10" s="88"/>
      <c r="AO10" s="90"/>
      <c r="AP10" s="190"/>
      <c r="AQ10" s="91"/>
      <c r="AR10" s="90">
        <f>AS10+2%</f>
        <v>0.14149999999999999</v>
      </c>
      <c r="AS10" s="190">
        <v>0.1215</v>
      </c>
      <c r="AT10" s="105" t="s">
        <v>357</v>
      </c>
      <c r="AU10" s="105" t="s">
        <v>357</v>
      </c>
      <c r="AV10" s="105" t="s">
        <v>357</v>
      </c>
      <c r="AW10" s="105" t="s">
        <v>357</v>
      </c>
      <c r="AX10" s="105" t="s">
        <v>357</v>
      </c>
      <c r="AY10" s="105" t="s">
        <v>357</v>
      </c>
      <c r="AZ10" s="105" t="s">
        <v>357</v>
      </c>
      <c r="BA10" s="105" t="s">
        <v>357</v>
      </c>
      <c r="BB10" s="105" t="s">
        <v>357</v>
      </c>
      <c r="BC10" s="105" t="s">
        <v>357</v>
      </c>
      <c r="BD10" s="105" t="s">
        <v>357</v>
      </c>
      <c r="BE10" s="105" t="s">
        <v>357</v>
      </c>
      <c r="BF10" s="105" t="s">
        <v>357</v>
      </c>
      <c r="BG10" s="105" t="s">
        <v>357</v>
      </c>
      <c r="BH10" s="105" t="s">
        <v>357</v>
      </c>
      <c r="BI10" s="165"/>
      <c r="BJ10" s="165"/>
      <c r="BK10" s="165"/>
      <c r="BL10" s="165"/>
      <c r="BM10" s="165"/>
      <c r="BN10" s="165"/>
      <c r="BO10" s="165"/>
      <c r="BP10" s="165"/>
      <c r="BQ10" s="165"/>
      <c r="BR10" s="199" t="str">
        <f t="shared" si="0"/>
        <v/>
      </c>
      <c r="BS10" s="375" t="str">
        <f t="shared" si="1"/>
        <v/>
      </c>
      <c r="BT10" s="376" t="str">
        <f t="shared" si="2"/>
        <v/>
      </c>
      <c r="BU10" s="377" t="str">
        <f t="shared" ca="1" si="8"/>
        <v/>
      </c>
      <c r="BV10" s="102"/>
      <c r="BW10" s="378"/>
      <c r="BY10" s="95"/>
    </row>
    <row r="11" spans="2:77" s="353" customFormat="1" ht="57.75" customHeight="1" thickBot="1">
      <c r="B11" s="448"/>
      <c r="C11" s="339" t="s">
        <v>128</v>
      </c>
      <c r="D11" s="326"/>
      <c r="E11" s="293"/>
      <c r="F11" s="294"/>
      <c r="G11" s="293"/>
      <c r="H11" s="295"/>
      <c r="I11" s="293"/>
      <c r="J11" s="204"/>
      <c r="K11" s="204"/>
      <c r="L11" s="295"/>
      <c r="M11" s="293"/>
      <c r="N11" s="293"/>
      <c r="O11" s="293"/>
      <c r="P11" s="295" t="s">
        <v>54</v>
      </c>
      <c r="Q11" s="286"/>
      <c r="R11" s="287"/>
      <c r="S11" s="289"/>
      <c r="T11" s="291"/>
      <c r="U11" s="291"/>
      <c r="V11" s="291"/>
      <c r="W11" s="291"/>
      <c r="X11" s="291"/>
      <c r="Y11" s="373"/>
      <c r="Z11" s="85" t="s">
        <v>151</v>
      </c>
      <c r="AA11" s="88"/>
      <c r="AB11" s="374"/>
      <c r="AC11" s="84" t="s">
        <v>166</v>
      </c>
      <c r="AD11" s="85"/>
      <c r="AE11" s="85"/>
      <c r="AF11" s="88" t="s">
        <v>29</v>
      </c>
      <c r="AG11" s="86" t="s">
        <v>29</v>
      </c>
      <c r="AH11" s="86" t="s">
        <v>29</v>
      </c>
      <c r="AI11" s="88" t="s">
        <v>148</v>
      </c>
      <c r="AJ11" s="88" t="s">
        <v>498</v>
      </c>
      <c r="AK11" s="99"/>
      <c r="AL11" s="88"/>
      <c r="AM11" s="89"/>
      <c r="AN11" s="88"/>
      <c r="AO11" s="90"/>
      <c r="AP11" s="190"/>
      <c r="AQ11" s="91"/>
      <c r="AR11" s="90">
        <f>AS11+2%</f>
        <v>8.8000000000000009E-2</v>
      </c>
      <c r="AS11" s="190">
        <v>6.8000000000000005E-2</v>
      </c>
      <c r="AT11" s="105" t="s">
        <v>357</v>
      </c>
      <c r="AU11" s="105" t="s">
        <v>357</v>
      </c>
      <c r="AV11" s="105" t="s">
        <v>357</v>
      </c>
      <c r="AW11" s="105" t="s">
        <v>357</v>
      </c>
      <c r="AX11" s="105" t="s">
        <v>357</v>
      </c>
      <c r="AY11" s="105" t="s">
        <v>357</v>
      </c>
      <c r="AZ11" s="105" t="s">
        <v>357</v>
      </c>
      <c r="BA11" s="105" t="s">
        <v>357</v>
      </c>
      <c r="BB11" s="105" t="s">
        <v>357</v>
      </c>
      <c r="BC11" s="105" t="s">
        <v>357</v>
      </c>
      <c r="BD11" s="105" t="s">
        <v>357</v>
      </c>
      <c r="BE11" s="105" t="s">
        <v>357</v>
      </c>
      <c r="BF11" s="105" t="s">
        <v>357</v>
      </c>
      <c r="BG11" s="105" t="s">
        <v>357</v>
      </c>
      <c r="BH11" s="105" t="s">
        <v>357</v>
      </c>
      <c r="BI11" s="165"/>
      <c r="BJ11" s="165"/>
      <c r="BK11" s="165"/>
      <c r="BL11" s="165"/>
      <c r="BM11" s="165"/>
      <c r="BN11" s="165"/>
      <c r="BO11" s="165"/>
      <c r="BP11" s="165"/>
      <c r="BQ11" s="165"/>
      <c r="BR11" s="199" t="str">
        <f t="shared" si="0"/>
        <v/>
      </c>
      <c r="BS11" s="375" t="str">
        <f t="shared" si="1"/>
        <v/>
      </c>
      <c r="BT11" s="376" t="str">
        <f t="shared" si="2"/>
        <v/>
      </c>
      <c r="BU11" s="377" t="str">
        <f t="shared" ca="1" si="8"/>
        <v/>
      </c>
      <c r="BV11" s="102"/>
      <c r="BW11" s="378"/>
      <c r="BY11" s="95"/>
    </row>
    <row r="12" spans="2:77" s="353" customFormat="1" ht="57.75" customHeight="1">
      <c r="B12" s="454" t="s">
        <v>337</v>
      </c>
      <c r="C12" s="340" t="s">
        <v>509</v>
      </c>
      <c r="D12" s="327" t="s">
        <v>29</v>
      </c>
      <c r="E12" s="297" t="s">
        <v>29</v>
      </c>
      <c r="F12" s="298" t="s">
        <v>29</v>
      </c>
      <c r="G12" s="299"/>
      <c r="H12" s="290" t="s">
        <v>54</v>
      </c>
      <c r="I12" s="296"/>
      <c r="J12" s="297"/>
      <c r="K12" s="299"/>
      <c r="L12" s="290" t="s">
        <v>54</v>
      </c>
      <c r="M12" s="296"/>
      <c r="N12" s="297"/>
      <c r="O12" s="299"/>
      <c r="P12" s="290" t="s">
        <v>54</v>
      </c>
      <c r="Q12" s="296"/>
      <c r="R12" s="297"/>
      <c r="S12" s="299"/>
      <c r="T12" s="291" t="s">
        <v>32</v>
      </c>
      <c r="U12" s="291"/>
      <c r="V12" s="291"/>
      <c r="W12" s="291"/>
      <c r="X12" s="291"/>
      <c r="Y12" s="373"/>
      <c r="Z12" s="84" t="s">
        <v>151</v>
      </c>
      <c r="AA12" s="86"/>
      <c r="AB12" s="374"/>
      <c r="AC12" s="84" t="s">
        <v>166</v>
      </c>
      <c r="AD12" s="85"/>
      <c r="AE12" s="84" t="s">
        <v>508</v>
      </c>
      <c r="AF12" s="86" t="s">
        <v>454</v>
      </c>
      <c r="AG12" s="86"/>
      <c r="AH12" s="86"/>
      <c r="AI12" s="86"/>
      <c r="AJ12" s="86" t="s">
        <v>450</v>
      </c>
      <c r="AK12" s="96"/>
      <c r="AL12" s="88"/>
      <c r="AM12" s="89"/>
      <c r="AN12" s="88"/>
      <c r="AO12" s="103" t="s">
        <v>29</v>
      </c>
      <c r="AP12" s="104" t="s">
        <v>29</v>
      </c>
      <c r="AQ12" s="114" t="s">
        <v>357</v>
      </c>
      <c r="AR12" s="278" t="s">
        <v>506</v>
      </c>
      <c r="AS12" s="279" t="s">
        <v>507</v>
      </c>
      <c r="AT12" s="105" t="s">
        <v>357</v>
      </c>
      <c r="AU12" s="105" t="s">
        <v>357</v>
      </c>
      <c r="AV12" s="105" t="s">
        <v>357</v>
      </c>
      <c r="AW12" s="105" t="s">
        <v>357</v>
      </c>
      <c r="AX12" s="105" t="s">
        <v>357</v>
      </c>
      <c r="AY12" s="105" t="s">
        <v>357</v>
      </c>
      <c r="AZ12" s="105" t="s">
        <v>357</v>
      </c>
      <c r="BA12" s="105" t="s">
        <v>357</v>
      </c>
      <c r="BB12" s="105" t="s">
        <v>357</v>
      </c>
      <c r="BC12" s="105" t="s">
        <v>357</v>
      </c>
      <c r="BD12" s="105" t="s">
        <v>357</v>
      </c>
      <c r="BE12" s="105" t="s">
        <v>357</v>
      </c>
      <c r="BF12" s="105" t="s">
        <v>357</v>
      </c>
      <c r="BG12" s="105" t="s">
        <v>357</v>
      </c>
      <c r="BH12" s="442">
        <v>239</v>
      </c>
      <c r="BI12" s="161"/>
      <c r="BJ12" s="161"/>
      <c r="BK12" s="161"/>
      <c r="BL12" s="161"/>
      <c r="BM12" s="161"/>
      <c r="BN12" s="161"/>
      <c r="BO12" s="161"/>
      <c r="BP12" s="161"/>
      <c r="BQ12" s="161"/>
      <c r="BR12" s="199">
        <f t="shared" si="0"/>
        <v>239</v>
      </c>
      <c r="BS12" s="375" t="str">
        <f t="shared" si="1"/>
        <v/>
      </c>
      <c r="BT12" s="376" t="str">
        <f t="shared" si="2"/>
        <v/>
      </c>
      <c r="BU12" s="377" t="str">
        <f t="shared" ca="1" si="8"/>
        <v/>
      </c>
      <c r="BV12" s="94"/>
      <c r="BW12" s="378"/>
      <c r="BY12" s="95"/>
    </row>
    <row r="13" spans="2:77" s="353" customFormat="1" ht="57.75" customHeight="1">
      <c r="B13" s="455"/>
      <c r="C13" s="337" t="s">
        <v>99</v>
      </c>
      <c r="D13" s="328" t="s">
        <v>81</v>
      </c>
      <c r="E13" s="300" t="s">
        <v>81</v>
      </c>
      <c r="F13" s="298" t="s">
        <v>29</v>
      </c>
      <c r="G13" s="299"/>
      <c r="H13" s="290" t="s">
        <v>55</v>
      </c>
      <c r="I13" s="286"/>
      <c r="J13" s="297"/>
      <c r="K13" s="299"/>
      <c r="L13" s="290" t="s">
        <v>54</v>
      </c>
      <c r="M13" s="300"/>
      <c r="N13" s="300"/>
      <c r="O13" s="299"/>
      <c r="P13" s="290" t="s">
        <v>54</v>
      </c>
      <c r="Q13" s="286"/>
      <c r="R13" s="297"/>
      <c r="S13" s="299"/>
      <c r="T13" s="291"/>
      <c r="U13" s="291"/>
      <c r="V13" s="291"/>
      <c r="W13" s="291"/>
      <c r="X13" s="291"/>
      <c r="Y13" s="379" t="s">
        <v>367</v>
      </c>
      <c r="Z13" s="84" t="s">
        <v>151</v>
      </c>
      <c r="AA13" s="86"/>
      <c r="AB13" s="374"/>
      <c r="AC13" s="84" t="s">
        <v>143</v>
      </c>
      <c r="AD13" s="85"/>
      <c r="AE13" s="84" t="s">
        <v>174</v>
      </c>
      <c r="AF13" s="86" t="s">
        <v>453</v>
      </c>
      <c r="AG13" s="86" t="s">
        <v>175</v>
      </c>
      <c r="AH13" s="86" t="s">
        <v>176</v>
      </c>
      <c r="AI13" s="86"/>
      <c r="AJ13" s="86" t="s">
        <v>451</v>
      </c>
      <c r="AK13" s="112">
        <f>20060117.7740878/1278275057.73207</f>
        <v>1.5693115228015704E-2</v>
      </c>
      <c r="AL13" s="88" t="s">
        <v>177</v>
      </c>
      <c r="AM13" s="113" t="s">
        <v>178</v>
      </c>
      <c r="AN13" s="88"/>
      <c r="AO13" s="107"/>
      <c r="AP13" s="108"/>
      <c r="AQ13" s="114" t="s">
        <v>354</v>
      </c>
      <c r="AR13" s="278">
        <v>1.7000000000000001E-2</v>
      </c>
      <c r="AS13" s="279">
        <v>1.9E-2</v>
      </c>
      <c r="AT13" s="117">
        <f>21001300.1/1443574666.66667</f>
        <v>1.454812181519761E-2</v>
      </c>
      <c r="AU13" s="117">
        <f>21353526.28/1438131583.33333</f>
        <v>1.4848103280303723E-2</v>
      </c>
      <c r="AV13" s="117">
        <f>20655365.18/1432882916.66667</f>
        <v>1.4415249801463739E-2</v>
      </c>
      <c r="AW13" s="117">
        <f>19656496.58/1427362916.66667</f>
        <v>1.3771197465255678E-2</v>
      </c>
      <c r="AX13" s="117">
        <f>19571143.83/1421325083.33333</f>
        <v>1.3769646409181229E-2</v>
      </c>
      <c r="AY13" s="117">
        <f>20402700.95/1414776583.33333</f>
        <v>1.4421146907824527E-2</v>
      </c>
      <c r="AZ13" s="117">
        <f>21304105.16/1408744750</f>
        <v>1.5122757447720746E-2</v>
      </c>
      <c r="BA13" s="117">
        <f>20565865.8/1401857916.66667</f>
        <v>1.4670435252740449E-2</v>
      </c>
      <c r="BB13" s="117">
        <f>20836772.33/1394724416.66667</f>
        <v>1.4939705708887615E-2</v>
      </c>
      <c r="BC13" s="117">
        <f>21333587.2/1387280916.66667</f>
        <v>1.5377986494083623E-2</v>
      </c>
      <c r="BD13" s="117">
        <f>21717263.97/1379486750</f>
        <v>1.57430029465669E-2</v>
      </c>
      <c r="BE13" s="117">
        <f>22524389.6/1371939166.66667</f>
        <v>1.6417921542925516E-2</v>
      </c>
      <c r="BF13" s="117">
        <f>22407272.63/1364507916.66667</f>
        <v>1.6421504306650188E-2</v>
      </c>
      <c r="BG13" s="117">
        <f>22227209.44/1356836416.66667</f>
        <v>1.6381642744086586E-2</v>
      </c>
      <c r="BH13" s="423">
        <f>22333149.36/1348510250</f>
        <v>1.6561349355705676E-2</v>
      </c>
      <c r="BI13" s="93"/>
      <c r="BJ13" s="93"/>
      <c r="BK13" s="93"/>
      <c r="BL13" s="93"/>
      <c r="BM13" s="93"/>
      <c r="BN13" s="93"/>
      <c r="BO13" s="93"/>
      <c r="BP13" s="93"/>
      <c r="BQ13" s="93"/>
      <c r="BR13" s="199">
        <f t="shared" ref="BR13:BR17" si="9">+IFERROR(AVERAGE(AT13:BQ13),"")</f>
        <v>1.5160651431906254E-2</v>
      </c>
      <c r="BS13" s="375">
        <f t="shared" ref="BS13:BS17" si="10">+IFERROR(VAR(AT13:BQ13),"")</f>
        <v>9.1007371111624618E-7</v>
      </c>
      <c r="BT13" s="376">
        <f t="shared" ref="BT13:BT17" si="11">+IFERROR(STDEV(AT13:BQ13)*(1-$BS$1),"")</f>
        <v>4.7698891787866681E-4</v>
      </c>
      <c r="BU13" s="377" t="str">
        <f t="shared" ca="1" si="8"/>
        <v>µ</v>
      </c>
      <c r="BV13" s="118" t="s">
        <v>179</v>
      </c>
      <c r="BW13" s="378"/>
      <c r="BY13" s="95"/>
    </row>
    <row r="14" spans="2:77" s="353" customFormat="1" ht="57.75" customHeight="1">
      <c r="B14" s="455"/>
      <c r="C14" s="337" t="s">
        <v>98</v>
      </c>
      <c r="D14" s="328" t="s">
        <v>81</v>
      </c>
      <c r="E14" s="300" t="s">
        <v>81</v>
      </c>
      <c r="F14" s="298" t="s">
        <v>29</v>
      </c>
      <c r="G14" s="299"/>
      <c r="H14" s="290" t="s">
        <v>55</v>
      </c>
      <c r="I14" s="286"/>
      <c r="J14" s="297"/>
      <c r="K14" s="299"/>
      <c r="L14" s="290" t="s">
        <v>54</v>
      </c>
      <c r="M14" s="300"/>
      <c r="N14" s="300"/>
      <c r="O14" s="299"/>
      <c r="P14" s="290" t="s">
        <v>54</v>
      </c>
      <c r="Q14" s="286"/>
      <c r="R14" s="297"/>
      <c r="S14" s="299"/>
      <c r="T14" s="291"/>
      <c r="U14" s="291"/>
      <c r="V14" s="291"/>
      <c r="W14" s="291"/>
      <c r="X14" s="291"/>
      <c r="Y14" s="373"/>
      <c r="Z14" s="84" t="s">
        <v>151</v>
      </c>
      <c r="AA14" s="86"/>
      <c r="AB14" s="374"/>
      <c r="AC14" s="84" t="s">
        <v>143</v>
      </c>
      <c r="AD14" s="85"/>
      <c r="AE14" s="84" t="s">
        <v>180</v>
      </c>
      <c r="AF14" s="86" t="s">
        <v>453</v>
      </c>
      <c r="AG14" s="86" t="s">
        <v>181</v>
      </c>
      <c r="AH14" s="86" t="s">
        <v>176</v>
      </c>
      <c r="AI14" s="110"/>
      <c r="AJ14" s="86" t="s">
        <v>451</v>
      </c>
      <c r="AK14" s="119">
        <f>9841038.63514543/1826186084.21375</f>
        <v>5.3888476756093623E-3</v>
      </c>
      <c r="AL14" s="88" t="s">
        <v>177</v>
      </c>
      <c r="AM14" s="120" t="s">
        <v>182</v>
      </c>
      <c r="AN14" s="88"/>
      <c r="AO14" s="107"/>
      <c r="AP14" s="108"/>
      <c r="AQ14" s="109" t="s">
        <v>354</v>
      </c>
      <c r="AR14" s="278">
        <v>5.0000000000000001E-3</v>
      </c>
      <c r="AS14" s="279">
        <v>6.0000000000000001E-3</v>
      </c>
      <c r="AT14" s="126">
        <f>5192599.46/2738561858.195</f>
        <v>1.8961044989586134E-3</v>
      </c>
      <c r="AU14" s="126">
        <f>5439071.96/2656696274.86167</f>
        <v>2.0473066535553462E-3</v>
      </c>
      <c r="AV14" s="126">
        <f>4684676.98/2581624024.86167</f>
        <v>1.8146240253752741E-3</v>
      </c>
      <c r="AW14" s="126">
        <f>4907338.01/2517439774.86167</f>
        <v>1.9493368059895898E-3</v>
      </c>
      <c r="AX14" s="126">
        <f>4674975.06/2473308941.52833</f>
        <v>1.8901702822095472E-3</v>
      </c>
      <c r="AY14" s="126">
        <f>5512214.9/2441755441.52833</f>
        <v>2.2574803382233175E-3</v>
      </c>
      <c r="AZ14" s="126">
        <f>5612158.96/2408152024.86167</f>
        <v>2.3304836663384553E-3</v>
      </c>
      <c r="BA14" s="126">
        <f>6126246.17/2377974691.52833</f>
        <v>2.5762453199460449E-3</v>
      </c>
      <c r="BB14" s="126">
        <f>5290289.24/2338461139.77833</f>
        <v>2.2622951264871065E-3</v>
      </c>
      <c r="BC14" s="126">
        <f>5514186.35/2301265531.58333</f>
        <v>2.39615388764203E-3</v>
      </c>
      <c r="BD14" s="126">
        <f>6765650.66/2267714864.91667</f>
        <v>2.9834662040937906E-3</v>
      </c>
      <c r="BE14" s="126">
        <f>5699008.93/2247575364.91667</f>
        <v>2.535625287124151E-3</v>
      </c>
      <c r="BF14" s="126">
        <f>5988769.71/2234301114.91667</f>
        <v>2.6803771747763534E-3</v>
      </c>
      <c r="BG14" s="126">
        <f>6935964.59/2219931531.58333</f>
        <v>3.1244047356059831E-3</v>
      </c>
      <c r="BH14" s="126">
        <f>7429278.09/2206237781.58333</f>
        <v>3.3673968200600294E-3</v>
      </c>
      <c r="BI14" s="93"/>
      <c r="BJ14" s="93"/>
      <c r="BK14" s="93"/>
      <c r="BL14" s="93"/>
      <c r="BM14" s="93"/>
      <c r="BN14" s="93"/>
      <c r="BO14" s="93"/>
      <c r="BP14" s="93"/>
      <c r="BQ14" s="93"/>
      <c r="BR14" s="199">
        <f t="shared" si="9"/>
        <v>2.4074313884257089E-3</v>
      </c>
      <c r="BS14" s="375">
        <f t="shared" si="10"/>
        <v>2.2545750053123161E-7</v>
      </c>
      <c r="BT14" s="376">
        <f t="shared" si="11"/>
        <v>2.3741182601717191E-4</v>
      </c>
      <c r="BU14" s="377" t="str">
        <f t="shared" ca="1" si="8"/>
        <v>N</v>
      </c>
      <c r="BV14" s="118" t="s">
        <v>183</v>
      </c>
      <c r="BW14" s="378"/>
      <c r="BY14" s="95"/>
    </row>
    <row r="15" spans="2:77" s="353" customFormat="1" ht="57.75" customHeight="1">
      <c r="B15" s="455"/>
      <c r="C15" s="337" t="s">
        <v>100</v>
      </c>
      <c r="D15" s="328" t="s">
        <v>81</v>
      </c>
      <c r="E15" s="300" t="s">
        <v>81</v>
      </c>
      <c r="F15" s="298" t="s">
        <v>29</v>
      </c>
      <c r="G15" s="299"/>
      <c r="H15" s="290" t="s">
        <v>55</v>
      </c>
      <c r="I15" s="286"/>
      <c r="J15" s="297"/>
      <c r="K15" s="299"/>
      <c r="L15" s="290" t="s">
        <v>54</v>
      </c>
      <c r="M15" s="300"/>
      <c r="N15" s="300"/>
      <c r="O15" s="299"/>
      <c r="P15" s="290" t="s">
        <v>54</v>
      </c>
      <c r="Q15" s="286"/>
      <c r="R15" s="297"/>
      <c r="S15" s="299"/>
      <c r="T15" s="291"/>
      <c r="U15" s="291"/>
      <c r="V15" s="291"/>
      <c r="W15" s="291"/>
      <c r="X15" s="291"/>
      <c r="Y15" s="373"/>
      <c r="Z15" s="84" t="s">
        <v>151</v>
      </c>
      <c r="AA15" s="86"/>
      <c r="AB15" s="374"/>
      <c r="AC15" s="84" t="s">
        <v>143</v>
      </c>
      <c r="AD15" s="85"/>
      <c r="AE15" s="84" t="s">
        <v>184</v>
      </c>
      <c r="AF15" s="86" t="s">
        <v>453</v>
      </c>
      <c r="AG15" s="86" t="s">
        <v>185</v>
      </c>
      <c r="AH15" s="86" t="s">
        <v>176</v>
      </c>
      <c r="AI15" s="86"/>
      <c r="AJ15" s="86" t="s">
        <v>451</v>
      </c>
      <c r="AK15" s="121">
        <f>12885320.0264068/243323603.487228</f>
        <v>5.2955487432123069E-2</v>
      </c>
      <c r="AL15" s="88" t="s">
        <v>177</v>
      </c>
      <c r="AM15" s="113" t="s">
        <v>186</v>
      </c>
      <c r="AN15" s="88"/>
      <c r="AO15" s="107"/>
      <c r="AP15" s="108"/>
      <c r="AQ15" s="114" t="s">
        <v>354</v>
      </c>
      <c r="AR15" s="278">
        <v>5.3999999999999999E-2</v>
      </c>
      <c r="AS15" s="279">
        <v>0.06</v>
      </c>
      <c r="AT15" s="117">
        <f>11900742.26/267267083.333333</f>
        <v>4.4527526965067774E-2</v>
      </c>
      <c r="AU15" s="117">
        <f>12011720.34/267490500</f>
        <v>4.4905222204153043E-2</v>
      </c>
      <c r="AV15" s="117">
        <f>12276309.94/267731166.666667</f>
        <v>4.5853122342249968E-2</v>
      </c>
      <c r="AW15" s="117">
        <f>12451267.6/267956333.333333</f>
        <v>4.6467524932545037E-2</v>
      </c>
      <c r="AX15" s="117">
        <f>12578459.62/268305083.333333</f>
        <v>4.6881182658671264E-2</v>
      </c>
      <c r="AY15" s="117">
        <f>12310548.87/268616750</f>
        <v>4.5829416333865995E-2</v>
      </c>
      <c r="AZ15" s="117">
        <f>12178575.37/268901000</f>
        <v>4.5290182520704644E-2</v>
      </c>
      <c r="BA15" s="117">
        <f>12114629.17/268876500</f>
        <v>4.5056481953610672E-2</v>
      </c>
      <c r="BB15" s="117">
        <f>11983748.41/268800916.666667</f>
        <v>4.4582245323444097E-2</v>
      </c>
      <c r="BC15" s="117">
        <f>11844779.7/268531750</f>
        <v>4.4109419835829465E-2</v>
      </c>
      <c r="BD15" s="117">
        <f>11829246.07/268045916.666667</f>
        <v>4.413141680016882E-2</v>
      </c>
      <c r="BE15" s="117">
        <f>12110431.5/267291798.845</f>
        <v>4.5307905264323975E-2</v>
      </c>
      <c r="BF15" s="117">
        <f>11860979.58/266336382.178333</f>
        <v>4.4533831551628378E-2</v>
      </c>
      <c r="BG15" s="117">
        <f>11903712.79/265031215.511667</f>
        <v>4.491438024392256E-2</v>
      </c>
      <c r="BH15" s="117">
        <f>11834996.41/263559048.845</f>
        <v>4.4904534531691236E-2</v>
      </c>
      <c r="BI15" s="93"/>
      <c r="BJ15" s="93"/>
      <c r="BK15" s="93"/>
      <c r="BL15" s="93"/>
      <c r="BM15" s="93"/>
      <c r="BN15" s="93"/>
      <c r="BO15" s="93"/>
      <c r="BP15" s="93"/>
      <c r="BQ15" s="93"/>
      <c r="BR15" s="199">
        <f t="shared" si="9"/>
        <v>4.5152959564125121E-2</v>
      </c>
      <c r="BS15" s="375">
        <f t="shared" si="10"/>
        <v>6.5196706689137907E-7</v>
      </c>
      <c r="BT15" s="376">
        <f t="shared" si="11"/>
        <v>4.0372238818629411E-4</v>
      </c>
      <c r="BU15" s="377" t="str">
        <f t="shared" ca="1" si="8"/>
        <v>µ</v>
      </c>
      <c r="BV15" s="118" t="s">
        <v>187</v>
      </c>
      <c r="BW15" s="378"/>
      <c r="BY15" s="95"/>
    </row>
    <row r="16" spans="2:77" s="353" customFormat="1" ht="57.75" customHeight="1">
      <c r="B16" s="455"/>
      <c r="C16" s="337" t="s">
        <v>101</v>
      </c>
      <c r="D16" s="328" t="s">
        <v>81</v>
      </c>
      <c r="E16" s="300" t="s">
        <v>81</v>
      </c>
      <c r="F16" s="298" t="s">
        <v>29</v>
      </c>
      <c r="G16" s="299"/>
      <c r="H16" s="290" t="s">
        <v>55</v>
      </c>
      <c r="I16" s="286"/>
      <c r="J16" s="297"/>
      <c r="K16" s="299"/>
      <c r="L16" s="290" t="s">
        <v>54</v>
      </c>
      <c r="M16" s="300"/>
      <c r="N16" s="300"/>
      <c r="O16" s="299"/>
      <c r="P16" s="290" t="s">
        <v>54</v>
      </c>
      <c r="Q16" s="286"/>
      <c r="R16" s="297"/>
      <c r="S16" s="299"/>
      <c r="T16" s="291"/>
      <c r="U16" s="291"/>
      <c r="V16" s="291"/>
      <c r="W16" s="291"/>
      <c r="X16" s="291"/>
      <c r="Y16" s="373"/>
      <c r="Z16" s="84" t="s">
        <v>151</v>
      </c>
      <c r="AA16" s="86"/>
      <c r="AB16" s="374"/>
      <c r="AC16" s="84" t="s">
        <v>143</v>
      </c>
      <c r="AD16" s="85"/>
      <c r="AE16" s="84" t="s">
        <v>188</v>
      </c>
      <c r="AF16" s="86" t="s">
        <v>453</v>
      </c>
      <c r="AG16" s="86" t="s">
        <v>189</v>
      </c>
      <c r="AH16" s="86" t="s">
        <v>176</v>
      </c>
      <c r="AI16" s="86"/>
      <c r="AJ16" s="86" t="s">
        <v>451</v>
      </c>
      <c r="AK16" s="121">
        <f>15036935.4473544/238217331.128349</f>
        <v>6.3122760112078735E-2</v>
      </c>
      <c r="AL16" s="88" t="s">
        <v>177</v>
      </c>
      <c r="AM16" s="113" t="s">
        <v>190</v>
      </c>
      <c r="AN16" s="88"/>
      <c r="AO16" s="107"/>
      <c r="AP16" s="108"/>
      <c r="AQ16" s="114" t="s">
        <v>354</v>
      </c>
      <c r="AR16" s="278">
        <v>6.4000000000000001E-2</v>
      </c>
      <c r="AS16" s="279">
        <v>7.3999999999999996E-2</v>
      </c>
      <c r="AT16" s="117">
        <f>14750662.42/236322583.333333</f>
        <v>6.2417489737720884E-2</v>
      </c>
      <c r="AU16" s="117">
        <f>14710669.36/237218500</f>
        <v>6.2013162379831253E-2</v>
      </c>
      <c r="AV16" s="117">
        <f>14881019.21/237856166.666667</f>
        <v>6.2563100291002108E-2</v>
      </c>
      <c r="AW16" s="117">
        <f>15070394.47/238445083.333333</f>
        <v>6.320278975487377E-2</v>
      </c>
      <c r="AX16" s="423">
        <f>15373030.78/238897916.666667</f>
        <v>6.4349790046306296E-2</v>
      </c>
      <c r="AY16" s="423">
        <f>15201929.06/239192000</f>
        <v>6.3555340730459209E-2</v>
      </c>
      <c r="AZ16" s="117">
        <f>15193929.08/239308166.666667</f>
        <v>6.3491059630922095E-2</v>
      </c>
      <c r="BA16" s="117">
        <f>14831436.24/239452916.666667</f>
        <v>6.1938841449345382E-2</v>
      </c>
      <c r="BB16" s="117">
        <f>15127496.74/239363479.833333</f>
        <v>6.3198850344811014E-2</v>
      </c>
      <c r="BC16" s="117">
        <f>14987897.0205/239135313.166667</f>
        <v>6.2675381657472232E-2</v>
      </c>
      <c r="BD16" s="117">
        <f>14795608.4407/238787896.5</f>
        <v>6.1961299787654855E-2</v>
      </c>
      <c r="BE16" s="423">
        <f>15175513.0107/238161809.885</f>
        <v>6.3719338621199287E-2</v>
      </c>
      <c r="BF16" s="423">
        <f>15236139.3807/237437893.218333</f>
        <v>6.4168946136536856E-2</v>
      </c>
      <c r="BG16" s="117">
        <f>15022513.4007/236594476.551667</f>
        <v>6.3494776461611155E-2</v>
      </c>
      <c r="BH16" s="117">
        <f>14667857.8107/235718559.885</f>
        <v>6.2226147223434621E-2</v>
      </c>
      <c r="BI16" s="93"/>
      <c r="BJ16" s="93"/>
      <c r="BK16" s="93"/>
      <c r="BL16" s="93"/>
      <c r="BM16" s="93"/>
      <c r="BN16" s="93"/>
      <c r="BO16" s="93"/>
      <c r="BP16" s="93"/>
      <c r="BQ16" s="93"/>
      <c r="BR16" s="199">
        <f t="shared" si="9"/>
        <v>6.2998420950212075E-2</v>
      </c>
      <c r="BS16" s="375">
        <f t="shared" si="10"/>
        <v>6.4242996488095052E-7</v>
      </c>
      <c r="BT16" s="376">
        <f t="shared" si="11"/>
        <v>4.0075864459826395E-4</v>
      </c>
      <c r="BU16" s="377" t="str">
        <f t="shared" ca="1" si="8"/>
        <v>N</v>
      </c>
      <c r="BV16" s="118" t="s">
        <v>187</v>
      </c>
      <c r="BW16" s="378"/>
      <c r="BY16" s="95"/>
    </row>
    <row r="17" spans="1:77" s="95" customFormat="1" ht="57.75" customHeight="1">
      <c r="B17" s="455"/>
      <c r="C17" s="338" t="s">
        <v>122</v>
      </c>
      <c r="D17" s="329"/>
      <c r="E17" s="301"/>
      <c r="F17" s="293"/>
      <c r="G17" s="301"/>
      <c r="H17" s="295"/>
      <c r="I17" s="293"/>
      <c r="J17" s="301"/>
      <c r="K17" s="301"/>
      <c r="L17" s="295"/>
      <c r="M17" s="301"/>
      <c r="N17" s="301"/>
      <c r="O17" s="301"/>
      <c r="P17" s="295" t="s">
        <v>54</v>
      </c>
      <c r="Q17" s="293"/>
      <c r="R17" s="301"/>
      <c r="S17" s="299"/>
      <c r="T17" s="302"/>
      <c r="U17" s="302"/>
      <c r="V17" s="302"/>
      <c r="W17" s="302"/>
      <c r="X17" s="302"/>
      <c r="Y17" s="380"/>
      <c r="Z17" s="85" t="s">
        <v>151</v>
      </c>
      <c r="AA17" s="86"/>
      <c r="AB17" s="381"/>
      <c r="AC17" s="84" t="s">
        <v>143</v>
      </c>
      <c r="AD17" s="85" t="s">
        <v>191</v>
      </c>
      <c r="AE17" s="84" t="s">
        <v>192</v>
      </c>
      <c r="AF17" s="86" t="s">
        <v>453</v>
      </c>
      <c r="AG17" s="86" t="s">
        <v>170</v>
      </c>
      <c r="AH17" s="86" t="s">
        <v>171</v>
      </c>
      <c r="AI17" s="86" t="s">
        <v>137</v>
      </c>
      <c r="AJ17" s="86" t="s">
        <v>451</v>
      </c>
      <c r="AK17" s="112">
        <v>1.6E-2</v>
      </c>
      <c r="AL17" s="122"/>
      <c r="AM17" s="122"/>
      <c r="AN17" s="122"/>
      <c r="AO17" s="123">
        <v>1.4E-2</v>
      </c>
      <c r="AP17" s="124">
        <v>1.6E-2</v>
      </c>
      <c r="AQ17" s="114" t="s">
        <v>354</v>
      </c>
      <c r="AR17" s="278">
        <v>1.7000000000000001E-2</v>
      </c>
      <c r="AS17" s="279">
        <v>1.7999999999999999E-2</v>
      </c>
      <c r="AT17" s="424">
        <f>52845304.24/4685726191.52833</f>
        <v>1.1277932614915257E-2</v>
      </c>
      <c r="AU17" s="424">
        <f>53514987.94/4599536858.195</f>
        <v>1.1634864463506209E-2</v>
      </c>
      <c r="AV17" s="424">
        <f>52497371.31/4520094274.86167</f>
        <v>1.1614220438268758E-2</v>
      </c>
      <c r="AW17" s="424">
        <f>52085496.66/4451204108.195</f>
        <v>1.1701439743935062E-2</v>
      </c>
      <c r="AX17" s="424">
        <f>52197609.29/4401837024.86167</f>
        <v>1.1858142179091771E-2</v>
      </c>
      <c r="AY17" s="424">
        <f>53427393.78/4364340774.86167</f>
        <v>1.2241801576938825E-2</v>
      </c>
      <c r="AZ17" s="424">
        <f>54288768.57/4325105941.52833</f>
        <v>1.2552008969014154E-2</v>
      </c>
      <c r="BA17" s="424">
        <f>53638177.38/4288162024.86167</f>
        <v>1.2508430667735857E-2</v>
      </c>
      <c r="BB17" s="424">
        <f>53238306.72/4241349952.945</f>
        <v>1.2552207978743594E-2</v>
      </c>
      <c r="BC17" s="424">
        <f>53680450.2705/4196213511.41667</f>
        <v>1.2792592684917293E-2</v>
      </c>
      <c r="BD17" s="424">
        <f>55107769.1407/4154035428.08333</f>
        <v>1.3266080681003409E-2</v>
      </c>
      <c r="BE17" s="424">
        <f>55509343.0407/4124968140.31333</f>
        <v>1.3456914369400086E-2</v>
      </c>
      <c r="BF17" s="424">
        <v>1.4E-2</v>
      </c>
      <c r="BG17" s="424">
        <f>56.0894002207/4078.39359031583</f>
        <v>1.3752816882089217E-2</v>
      </c>
      <c r="BH17" s="424">
        <f>56265281.6707/4054025640.31333</f>
        <v>1.3878866751901286E-2</v>
      </c>
      <c r="BI17" s="382"/>
      <c r="BJ17" s="280"/>
      <c r="BK17" s="280"/>
      <c r="BL17" s="280"/>
      <c r="BM17" s="280"/>
      <c r="BN17" s="280"/>
      <c r="BO17" s="280"/>
      <c r="BP17" s="280"/>
      <c r="BQ17" s="280"/>
      <c r="BR17" s="199">
        <f t="shared" si="9"/>
        <v>1.2605888000097385E-2</v>
      </c>
      <c r="BS17" s="375">
        <f t="shared" si="10"/>
        <v>8.0636975037486299E-7</v>
      </c>
      <c r="BT17" s="376">
        <f t="shared" si="11"/>
        <v>4.489904649251649E-4</v>
      </c>
      <c r="BU17" s="377" t="str">
        <f t="shared" ca="1" si="8"/>
        <v>µ</v>
      </c>
      <c r="BV17" s="125" t="s">
        <v>193</v>
      </c>
      <c r="BW17" s="137"/>
    </row>
    <row r="18" spans="1:77" s="353" customFormat="1" ht="57.75" customHeight="1">
      <c r="B18" s="455"/>
      <c r="C18" s="337" t="s">
        <v>102</v>
      </c>
      <c r="D18" s="328" t="s">
        <v>81</v>
      </c>
      <c r="E18" s="300" t="s">
        <v>81</v>
      </c>
      <c r="F18" s="298" t="s">
        <v>29</v>
      </c>
      <c r="G18" s="299"/>
      <c r="H18" s="290" t="s">
        <v>55</v>
      </c>
      <c r="I18" s="286"/>
      <c r="J18" s="297"/>
      <c r="K18" s="299"/>
      <c r="L18" s="290" t="s">
        <v>54</v>
      </c>
      <c r="M18" s="300"/>
      <c r="N18" s="300"/>
      <c r="O18" s="299"/>
      <c r="P18" s="290" t="s">
        <v>54</v>
      </c>
      <c r="Q18" s="286"/>
      <c r="R18" s="297"/>
      <c r="S18" s="299"/>
      <c r="T18" s="291"/>
      <c r="U18" s="291"/>
      <c r="V18" s="291"/>
      <c r="W18" s="291"/>
      <c r="X18" s="291"/>
      <c r="Y18" s="373" t="s">
        <v>119</v>
      </c>
      <c r="Z18" s="84" t="s">
        <v>151</v>
      </c>
      <c r="AA18" s="86"/>
      <c r="AB18" s="374"/>
      <c r="AC18" s="84" t="s">
        <v>143</v>
      </c>
      <c r="AD18" s="85"/>
      <c r="AE18" s="84" t="s">
        <v>194</v>
      </c>
      <c r="AF18" s="86" t="s">
        <v>453</v>
      </c>
      <c r="AG18" s="86" t="s">
        <v>195</v>
      </c>
      <c r="AH18" s="86" t="s">
        <v>176</v>
      </c>
      <c r="AI18" s="86"/>
      <c r="AJ18" s="86" t="s">
        <v>452</v>
      </c>
      <c r="AK18" s="106">
        <f>126.249963851156/1297.64620955215</f>
        <v>9.7291513605027996E-2</v>
      </c>
      <c r="AL18" s="88"/>
      <c r="AM18" s="89"/>
      <c r="AN18" s="88"/>
      <c r="AO18" s="107"/>
      <c r="AP18" s="108"/>
      <c r="AQ18" s="109" t="s">
        <v>354</v>
      </c>
      <c r="AR18" s="278">
        <v>0.106</v>
      </c>
      <c r="AS18" s="279">
        <v>0.12</v>
      </c>
      <c r="AT18" s="117">
        <f>135528625.18/1410797000</f>
        <v>9.6065291590498147E-2</v>
      </c>
      <c r="AU18" s="117">
        <f>132504856.2/1403633000</f>
        <v>9.4401354342623756E-2</v>
      </c>
      <c r="AV18" s="117">
        <f>132409704.94/1404930000</f>
        <v>9.4246478429530295E-2</v>
      </c>
      <c r="AW18" s="117">
        <f>134792740.47/1398378000</f>
        <v>9.639220616314044E-2</v>
      </c>
      <c r="AX18" s="117">
        <f>133821996.92/1386142000</f>
        <v>9.6542776223503796E-2</v>
      </c>
      <c r="AY18" s="117">
        <f>132546435.15/1375241000</f>
        <v>9.6380514506184733E-2</v>
      </c>
      <c r="AZ18" s="117">
        <f>135227944.09/1376171000</f>
        <v>9.8263910582333164E-2</v>
      </c>
      <c r="BA18" s="117">
        <f>132998905.85/1357761000</f>
        <v>9.7954578051660038E-2</v>
      </c>
      <c r="BB18" s="117">
        <f>129996579.14/1348720000</f>
        <v>9.6385149727148706E-2</v>
      </c>
      <c r="BC18" s="117">
        <f>128809994.53/1341648000</f>
        <v>9.6008785113532016E-2</v>
      </c>
      <c r="BD18" s="117">
        <f>132068871.11/1332006000</f>
        <v>9.9150357513404591E-2</v>
      </c>
      <c r="BE18" s="117">
        <f>127596797.49/1327843000</f>
        <v>9.6093286246943341E-2</v>
      </c>
      <c r="BF18" s="117">
        <f>127308962.19/1321622000</f>
        <v>9.6327817023324366E-2</v>
      </c>
      <c r="BG18" s="117">
        <f>123254702.18/1311575000</f>
        <v>9.3974574218020329E-2</v>
      </c>
      <c r="BH18" s="117">
        <f>110803287.35/1305016000</f>
        <v>8.4905692612197853E-2</v>
      </c>
      <c r="BI18" s="93"/>
      <c r="BJ18" s="93"/>
      <c r="BK18" s="93"/>
      <c r="BL18" s="93"/>
      <c r="BM18" s="93"/>
      <c r="BN18" s="93"/>
      <c r="BO18" s="93"/>
      <c r="BP18" s="93"/>
      <c r="BQ18" s="93"/>
      <c r="BR18" s="199">
        <f t="shared" ref="BR18:BR21" si="12">+IFERROR(AVERAGE(AT18:BQ18),"")</f>
        <v>9.5539518156269695E-2</v>
      </c>
      <c r="BS18" s="375">
        <f t="shared" ref="BS18:BS21" si="13">+IFERROR(VAR(AT18:BQ18),"")</f>
        <v>1.0669167690708759E-5</v>
      </c>
      <c r="BT18" s="376">
        <f t="shared" ref="BT18:BT21" si="14">+IFERROR(STDEV(AT18:BQ18)*(1-$BS$1),"")</f>
        <v>1.6331845954077541E-3</v>
      </c>
      <c r="BU18" s="377" t="str">
        <f t="shared" ca="1" si="8"/>
        <v>N</v>
      </c>
      <c r="BV18" s="94" t="s">
        <v>196</v>
      </c>
      <c r="BW18" s="378"/>
      <c r="BY18" s="95"/>
    </row>
    <row r="19" spans="1:77" s="353" customFormat="1" ht="57.75" customHeight="1">
      <c r="B19" s="455"/>
      <c r="C19" s="337" t="s">
        <v>103</v>
      </c>
      <c r="D19" s="328" t="s">
        <v>81</v>
      </c>
      <c r="E19" s="300" t="s">
        <v>81</v>
      </c>
      <c r="F19" s="298" t="s">
        <v>29</v>
      </c>
      <c r="G19" s="299"/>
      <c r="H19" s="290" t="s">
        <v>55</v>
      </c>
      <c r="I19" s="286"/>
      <c r="J19" s="297"/>
      <c r="K19" s="299"/>
      <c r="L19" s="290" t="s">
        <v>54</v>
      </c>
      <c r="M19" s="300"/>
      <c r="N19" s="300"/>
      <c r="O19" s="299"/>
      <c r="P19" s="290" t="s">
        <v>54</v>
      </c>
      <c r="Q19" s="286"/>
      <c r="R19" s="297"/>
      <c r="S19" s="299"/>
      <c r="T19" s="291"/>
      <c r="U19" s="291"/>
      <c r="V19" s="291"/>
      <c r="W19" s="291"/>
      <c r="X19" s="291"/>
      <c r="Y19" s="373"/>
      <c r="Z19" s="84" t="s">
        <v>151</v>
      </c>
      <c r="AA19" s="86"/>
      <c r="AB19" s="374"/>
      <c r="AC19" s="84" t="s">
        <v>143</v>
      </c>
      <c r="AD19" s="85"/>
      <c r="AE19" s="84" t="s">
        <v>197</v>
      </c>
      <c r="AF19" s="86" t="s">
        <v>453</v>
      </c>
      <c r="AG19" s="86" t="s">
        <v>195</v>
      </c>
      <c r="AH19" s="86" t="s">
        <v>176</v>
      </c>
      <c r="AI19" s="86"/>
      <c r="AJ19" s="86" t="s">
        <v>452</v>
      </c>
      <c r="AK19" s="106">
        <f>2.92728882971842/243.309059327228</f>
        <v>1.2031154276838865E-2</v>
      </c>
      <c r="AL19" s="88"/>
      <c r="AM19" s="89"/>
      <c r="AN19" s="88"/>
      <c r="AO19" s="107"/>
      <c r="AP19" s="108"/>
      <c r="AQ19" s="109" t="s">
        <v>354</v>
      </c>
      <c r="AR19" s="278">
        <v>1.4999999999999999E-2</v>
      </c>
      <c r="AS19" s="279">
        <v>1.7000000000000001E-2</v>
      </c>
      <c r="AT19" s="117">
        <f>3281975.77/267760000</f>
        <v>1.2257154802808486E-2</v>
      </c>
      <c r="AU19" s="117">
        <f>3368994.58/268881000</f>
        <v>1.2529686292449077E-2</v>
      </c>
      <c r="AV19" s="117">
        <f>3184008.85/268031000</f>
        <v>1.1879255944275103E-2</v>
      </c>
      <c r="AW19" s="117">
        <f>3106624.74/269291000</f>
        <v>1.1536311053841385E-2</v>
      </c>
      <c r="AX19" s="117">
        <f>3069150.7/270174000</f>
        <v>1.1359903987800455E-2</v>
      </c>
      <c r="AY19" s="117">
        <f>3106639.83/270540000</f>
        <v>1.1483107229984475E-2</v>
      </c>
      <c r="AZ19" s="117">
        <f>3367879.94/269777000</f>
        <v>1.2483940217290577E-2</v>
      </c>
      <c r="BA19" s="117">
        <f>3694288.27/268404000</f>
        <v>1.3763909144424076E-2</v>
      </c>
      <c r="BB19" s="117">
        <f>3185553.77/267138000</f>
        <v>1.1924749642506869E-2</v>
      </c>
      <c r="BC19" s="117">
        <f>3088628.47/265938000</f>
        <v>1.1614092269626756E-2</v>
      </c>
      <c r="BD19" s="117">
        <f>3248285.83/262427000</f>
        <v>1.2377864434680882E-2</v>
      </c>
      <c r="BE19" s="117">
        <f>3433970.14/259140586.14</f>
        <v>1.3251379072457633E-2</v>
      </c>
      <c r="BF19" s="117">
        <f>3569446.67/256295000</f>
        <v>1.3927102245459334E-2</v>
      </c>
      <c r="BG19" s="423">
        <f>3735624.25/253219000</f>
        <v>1.4752543253073427E-2</v>
      </c>
      <c r="BH19" s="423">
        <f>3739986.58/250365000</f>
        <v>1.4938136640504864E-2</v>
      </c>
      <c r="BI19" s="93"/>
      <c r="BJ19" s="93"/>
      <c r="BK19" s="93"/>
      <c r="BL19" s="93"/>
      <c r="BM19" s="93"/>
      <c r="BN19" s="93"/>
      <c r="BO19" s="93"/>
      <c r="BP19" s="93"/>
      <c r="BQ19" s="93"/>
      <c r="BR19" s="199">
        <f t="shared" si="12"/>
        <v>1.2671942415412227E-2</v>
      </c>
      <c r="BS19" s="375">
        <f t="shared" si="13"/>
        <v>1.4008815054277435E-6</v>
      </c>
      <c r="BT19" s="376">
        <f t="shared" si="14"/>
        <v>5.9179420101665057E-4</v>
      </c>
      <c r="BU19" s="377" t="str">
        <f t="shared" ca="1" si="8"/>
        <v>N</v>
      </c>
      <c r="BV19" s="94" t="s">
        <v>196</v>
      </c>
      <c r="BW19" s="378"/>
      <c r="BY19" s="95"/>
    </row>
    <row r="20" spans="1:77" s="353" customFormat="1" ht="57.75" customHeight="1">
      <c r="B20" s="455"/>
      <c r="C20" s="337" t="s">
        <v>104</v>
      </c>
      <c r="D20" s="328" t="s">
        <v>81</v>
      </c>
      <c r="E20" s="300" t="s">
        <v>81</v>
      </c>
      <c r="F20" s="298" t="s">
        <v>29</v>
      </c>
      <c r="G20" s="299"/>
      <c r="H20" s="290" t="s">
        <v>55</v>
      </c>
      <c r="I20" s="286"/>
      <c r="J20" s="297"/>
      <c r="K20" s="299"/>
      <c r="L20" s="290" t="s">
        <v>54</v>
      </c>
      <c r="M20" s="300"/>
      <c r="N20" s="300"/>
      <c r="O20" s="299"/>
      <c r="P20" s="290" t="s">
        <v>54</v>
      </c>
      <c r="Q20" s="286"/>
      <c r="R20" s="297"/>
      <c r="S20" s="299"/>
      <c r="T20" s="291"/>
      <c r="U20" s="291"/>
      <c r="V20" s="291"/>
      <c r="W20" s="291"/>
      <c r="X20" s="291"/>
      <c r="Y20" s="373"/>
      <c r="Z20" s="84" t="s">
        <v>151</v>
      </c>
      <c r="AA20" s="86"/>
      <c r="AB20" s="374"/>
      <c r="AC20" s="84" t="s">
        <v>143</v>
      </c>
      <c r="AD20" s="85"/>
      <c r="AE20" s="84" t="s">
        <v>198</v>
      </c>
      <c r="AF20" s="86" t="s">
        <v>453</v>
      </c>
      <c r="AG20" s="86" t="s">
        <v>195</v>
      </c>
      <c r="AH20" s="86" t="s">
        <v>176</v>
      </c>
      <c r="AI20" s="86"/>
      <c r="AJ20" s="86" t="s">
        <v>452</v>
      </c>
      <c r="AK20" s="106">
        <f>11.9094024173571/237.970414168349</f>
        <v>5.0045727150484984E-2</v>
      </c>
      <c r="AL20" s="88"/>
      <c r="AM20" s="89"/>
      <c r="AN20" s="88"/>
      <c r="AO20" s="107"/>
      <c r="AP20" s="108"/>
      <c r="AQ20" s="109" t="s">
        <v>354</v>
      </c>
      <c r="AR20" s="278">
        <v>2.3E-2</v>
      </c>
      <c r="AS20" s="279">
        <v>2.5999999999999999E-2</v>
      </c>
      <c r="AT20" s="423">
        <f>6124188.16/241348000</f>
        <v>2.5374928153537632E-2</v>
      </c>
      <c r="AU20" s="130">
        <f>6154544.16/240428000</f>
        <v>2.5598283727352889E-2</v>
      </c>
      <c r="AV20" s="423">
        <f>5586644.79/237669000</f>
        <v>2.3505988538681948E-2</v>
      </c>
      <c r="AW20" s="117">
        <f>5088717.14/239372000</f>
        <v>2.1258614792039169E-2</v>
      </c>
      <c r="AX20" s="117">
        <f>5063346.41/239138000</f>
        <v>2.1173324231197051E-2</v>
      </c>
      <c r="AY20" s="117">
        <f>4864548.23/239704000</f>
        <v>2.0293980200580718E-2</v>
      </c>
      <c r="AZ20" s="117">
        <f>4915238.59/238959000</f>
        <v>2.0569380479496482E-2</v>
      </c>
      <c r="BA20" s="117">
        <f>5214333.41/239065000</f>
        <v>2.1811362641959299E-2</v>
      </c>
      <c r="BB20" s="117">
        <f>5031679.62/237211758</f>
        <v>2.1211763120106381E-2</v>
      </c>
      <c r="BC20" s="117">
        <f>5120391.01/235516000</f>
        <v>2.1741159878734352E-2</v>
      </c>
      <c r="BD20" s="423">
        <f>5442722.97/236229000</f>
        <v>2.3040028827959309E-2</v>
      </c>
      <c r="BE20" s="423">
        <f>5358917.61/233301960.62</f>
        <v>2.2969878160297819E-2</v>
      </c>
      <c r="BF20" s="423">
        <f>5495221.35/232661000</f>
        <v>2.3619005119035849E-2</v>
      </c>
      <c r="BG20" s="423">
        <f>5572586.62/230307000</f>
        <v>2.419634062360241E-2</v>
      </c>
      <c r="BH20" s="423">
        <f>5380531.07/227158000</f>
        <v>2.3686293548983529E-2</v>
      </c>
      <c r="BI20" s="265"/>
      <c r="BJ20" s="93"/>
      <c r="BK20" s="93"/>
      <c r="BL20" s="93"/>
      <c r="BM20" s="93"/>
      <c r="BN20" s="93"/>
      <c r="BO20" s="93"/>
      <c r="BP20" s="93"/>
      <c r="BQ20" s="93"/>
      <c r="BR20" s="199">
        <f t="shared" si="12"/>
        <v>2.2670022136237658E-2</v>
      </c>
      <c r="BS20" s="375">
        <f t="shared" si="13"/>
        <v>2.7926401336647226E-6</v>
      </c>
      <c r="BT20" s="376">
        <f t="shared" si="14"/>
        <v>8.355597126574382E-4</v>
      </c>
      <c r="BU20" s="377" t="str">
        <f t="shared" ca="1" si="8"/>
        <v>µ</v>
      </c>
      <c r="BV20" s="94" t="s">
        <v>196</v>
      </c>
      <c r="BW20" s="378"/>
      <c r="BY20" s="95"/>
    </row>
    <row r="21" spans="1:77" s="95" customFormat="1" ht="57.75" customHeight="1">
      <c r="B21" s="455"/>
      <c r="C21" s="341" t="s">
        <v>352</v>
      </c>
      <c r="D21" s="329"/>
      <c r="E21" s="301"/>
      <c r="F21" s="293"/>
      <c r="G21" s="303"/>
      <c r="H21" s="295"/>
      <c r="I21" s="293"/>
      <c r="J21" s="301"/>
      <c r="K21" s="301"/>
      <c r="L21" s="295"/>
      <c r="M21" s="301"/>
      <c r="N21" s="301"/>
      <c r="O21" s="303"/>
      <c r="P21" s="295" t="s">
        <v>54</v>
      </c>
      <c r="Q21" s="293"/>
      <c r="R21" s="301"/>
      <c r="S21" s="303"/>
      <c r="T21" s="302"/>
      <c r="U21" s="302"/>
      <c r="V21" s="302"/>
      <c r="W21" s="302"/>
      <c r="X21" s="302"/>
      <c r="Y21" s="380"/>
      <c r="Z21" s="84" t="s">
        <v>151</v>
      </c>
      <c r="AA21" s="86"/>
      <c r="AB21" s="381"/>
      <c r="AC21" s="84" t="s">
        <v>143</v>
      </c>
      <c r="AD21" s="85"/>
      <c r="AE21" s="84" t="s">
        <v>199</v>
      </c>
      <c r="AF21" s="86" t="s">
        <v>453</v>
      </c>
      <c r="AG21" s="86" t="s">
        <v>195</v>
      </c>
      <c r="AH21" s="86" t="s">
        <v>176</v>
      </c>
      <c r="AI21" s="86"/>
      <c r="AJ21" s="86" t="s">
        <v>452</v>
      </c>
      <c r="AK21" s="96"/>
      <c r="AL21" s="88"/>
      <c r="AM21" s="89"/>
      <c r="AN21" s="88"/>
      <c r="AO21" s="107"/>
      <c r="AP21" s="108"/>
      <c r="AQ21" s="109" t="s">
        <v>354</v>
      </c>
      <c r="AR21" s="278">
        <v>4.2000000000000003E-2</v>
      </c>
      <c r="AS21" s="279">
        <v>0.05</v>
      </c>
      <c r="AT21" s="117">
        <f>38054535.65/2271638000</f>
        <v>1.6752024596348537E-2</v>
      </c>
      <c r="AU21" s="117">
        <f>36338797.18/2255504000</f>
        <v>1.6111165034511134E-2</v>
      </c>
      <c r="AV21" s="117">
        <f>34670646.47/2261434000</f>
        <v>1.533126612140792E-2</v>
      </c>
      <c r="AW21" s="117">
        <f>34766026.29/2274490000</f>
        <v>1.5285196369295973E-2</v>
      </c>
      <c r="AX21" s="117">
        <f>34357712.53/2332033000</f>
        <v>1.4732944400872543E-2</v>
      </c>
      <c r="AY21" s="117">
        <f>33551187.93/2369839000</f>
        <v>1.4157581139478251E-2</v>
      </c>
      <c r="AZ21" s="117">
        <f>51090472.45/2347412000</f>
        <v>2.1764595414013391E-2</v>
      </c>
      <c r="BA21" s="117">
        <f>42035363.2/2316949000</f>
        <v>1.8142550051813831E-2</v>
      </c>
      <c r="BB21" s="117">
        <f>45809367.39/2162084379</f>
        <v>2.118759463550058E-2</v>
      </c>
      <c r="BC21" s="117">
        <f>42045568.68/2141807000</f>
        <v>1.9630885826780846E-2</v>
      </c>
      <c r="BD21" s="117">
        <f>51483463.03/2103880000</f>
        <v>2.4470722203737857E-2</v>
      </c>
      <c r="BE21" s="117">
        <f>45016281.34/2133834000</f>
        <v>2.1096430809519392E-2</v>
      </c>
      <c r="BF21" s="117">
        <f>42846996.51/2112347000</f>
        <v>2.0284070993070741E-2</v>
      </c>
      <c r="BG21" s="425">
        <f>43308674.27/2083069000</f>
        <v>2.0790801586505297E-2</v>
      </c>
      <c r="BH21" s="425">
        <f>43802749.65/2097109000</f>
        <v>2.0887206935834044E-2</v>
      </c>
      <c r="BI21" s="93"/>
      <c r="BJ21" s="93"/>
      <c r="BK21" s="93"/>
      <c r="BL21" s="93"/>
      <c r="BM21" s="93"/>
      <c r="BN21" s="93"/>
      <c r="BO21" s="93"/>
      <c r="BP21" s="93"/>
      <c r="BQ21" s="93"/>
      <c r="BR21" s="199">
        <f t="shared" si="12"/>
        <v>1.8708335741246026E-2</v>
      </c>
      <c r="BS21" s="375">
        <f t="shared" si="13"/>
        <v>9.8101340090984747E-6</v>
      </c>
      <c r="BT21" s="376">
        <f t="shared" si="14"/>
        <v>1.5660566727531346E-3</v>
      </c>
      <c r="BU21" s="377" t="str">
        <f t="shared" ca="1" si="8"/>
        <v>µ</v>
      </c>
      <c r="BV21" s="94" t="s">
        <v>196</v>
      </c>
      <c r="BW21" s="137"/>
    </row>
    <row r="22" spans="1:77" s="353" customFormat="1" ht="57.75" customHeight="1" thickBot="1">
      <c r="B22" s="456"/>
      <c r="C22" s="341" t="s">
        <v>123</v>
      </c>
      <c r="D22" s="329"/>
      <c r="E22" s="301"/>
      <c r="F22" s="293"/>
      <c r="G22" s="304"/>
      <c r="H22" s="295"/>
      <c r="I22" s="293"/>
      <c r="J22" s="301"/>
      <c r="K22" s="301"/>
      <c r="L22" s="295"/>
      <c r="M22" s="301"/>
      <c r="N22" s="301"/>
      <c r="O22" s="304"/>
      <c r="P22" s="295" t="s">
        <v>54</v>
      </c>
      <c r="Q22" s="305"/>
      <c r="R22" s="306"/>
      <c r="S22" s="303"/>
      <c r="T22" s="302"/>
      <c r="U22" s="302"/>
      <c r="V22" s="302"/>
      <c r="W22" s="302"/>
      <c r="X22" s="302"/>
      <c r="Y22" s="380" t="s">
        <v>275</v>
      </c>
      <c r="Z22" s="85" t="s">
        <v>151</v>
      </c>
      <c r="AA22" s="86"/>
      <c r="AB22" s="381"/>
      <c r="AC22" s="84"/>
      <c r="AD22" s="85"/>
      <c r="AE22" s="84" t="s">
        <v>200</v>
      </c>
      <c r="AF22" s="86" t="s">
        <v>453</v>
      </c>
      <c r="AG22" s="86" t="s">
        <v>195</v>
      </c>
      <c r="AH22" s="86" t="s">
        <v>176</v>
      </c>
      <c r="AI22" s="86"/>
      <c r="AJ22" s="86" t="s">
        <v>452</v>
      </c>
      <c r="AK22" s="96"/>
      <c r="AL22" s="86"/>
      <c r="AM22" s="128"/>
      <c r="AN22" s="86"/>
      <c r="AO22" s="107"/>
      <c r="AP22" s="108"/>
      <c r="AQ22" s="109" t="s">
        <v>354</v>
      </c>
      <c r="AR22" s="278">
        <v>6.0999999999999999E-2</v>
      </c>
      <c r="AS22" s="279">
        <v>7.0000000000000007E-2</v>
      </c>
      <c r="AT22" s="117">
        <f>182989324.76/4191543000</f>
        <v>4.3656792918502801E-2</v>
      </c>
      <c r="AU22" s="117">
        <f>178367192.12/4168446000</f>
        <v>4.2789853129919397E-2</v>
      </c>
      <c r="AV22" s="117">
        <f>175851005.05/4172064000</f>
        <v>4.2149642251413211E-2</v>
      </c>
      <c r="AW22" s="117">
        <f>177754108.64/4181531000</f>
        <v>4.2509336565961127E-2</v>
      </c>
      <c r="AX22" s="117">
        <f>176312206.56/4227487000</f>
        <v>4.1706149908917522E-2</v>
      </c>
      <c r="AY22" s="117">
        <f>174068811.14/4255324000</f>
        <v>4.0906123984918656E-2</v>
      </c>
      <c r="AZ22" s="117">
        <f>194601535.07/4232319000</f>
        <v>4.5979883621721326E-2</v>
      </c>
      <c r="BA22" s="117">
        <f>183942890.73/4182179000</f>
        <v>4.3982548506412561E-2</v>
      </c>
      <c r="BB22" s="117">
        <f>184023179.92/4015154137</f>
        <v>4.5832158278610063E-2</v>
      </c>
      <c r="BC22" s="117">
        <f>179064582.69/3984909000</f>
        <v>4.4935676746947047E-2</v>
      </c>
      <c r="BD22" s="117">
        <f>192243342.94/3934542000</f>
        <v>4.8860411946295146E-2</v>
      </c>
      <c r="BE22" s="117">
        <f>181405966.58/3954119546.76</f>
        <v>4.5877714225571103E-2</v>
      </c>
      <c r="BF22" s="117">
        <f>179220626.72/3922925000</f>
        <v>4.5685458355691225E-2</v>
      </c>
      <c r="BG22" s="117">
        <f>175871587.32/3878170000</f>
        <v>4.5349117578651787E-2</v>
      </c>
      <c r="BH22" s="117">
        <f>163726554.65/3879648000</f>
        <v>4.2201394211536715E-2</v>
      </c>
      <c r="BI22" s="93"/>
      <c r="BJ22" s="93"/>
      <c r="BK22" s="93"/>
      <c r="BL22" s="93"/>
      <c r="BM22" s="93"/>
      <c r="BN22" s="93"/>
      <c r="BO22" s="93"/>
      <c r="BP22" s="93"/>
      <c r="BQ22" s="93"/>
      <c r="BR22" s="199">
        <f t="shared" ref="BR22" si="15">+IFERROR(AVERAGE(AT22:BQ22),"")</f>
        <v>4.4161484148737981E-2</v>
      </c>
      <c r="BS22" s="375">
        <f t="shared" ref="BS22" si="16">+IFERROR(VAR(AT22:BQ22),"")</f>
        <v>4.6334737455341573E-6</v>
      </c>
      <c r="BT22" s="376">
        <f t="shared" ref="BT22" si="17">+IFERROR(STDEV(AT22:BQ22)*(1-$BS$1),"")</f>
        <v>1.0762752605089181E-3</v>
      </c>
      <c r="BU22" s="377" t="str">
        <f ca="1">+IF(OR(BT22="",OFFSET(AT22,0,MATCH($B$1,AR$2:BO$2,0)-1)=""),"",IFERROR(IF(ABS(OFFSET(AT22,0,MATCH($B$1,AR$2:BO$2,0)-1)-OFFSET(AT22,0,MATCH($B$1,AR$2:BO$2,0)-2))&gt;BT22,"N","µ"),""))</f>
        <v/>
      </c>
      <c r="BV22" s="94" t="s">
        <v>218</v>
      </c>
      <c r="BW22" s="137"/>
      <c r="BX22" s="95"/>
      <c r="BY22" s="95" t="s">
        <v>219</v>
      </c>
    </row>
    <row r="23" spans="1:77" s="353" customFormat="1" ht="57.75" customHeight="1">
      <c r="B23" s="454" t="s">
        <v>280</v>
      </c>
      <c r="C23" s="342" t="s">
        <v>389</v>
      </c>
      <c r="D23" s="330" t="s">
        <v>21</v>
      </c>
      <c r="E23" s="308" t="s">
        <v>15</v>
      </c>
      <c r="F23" s="298" t="s">
        <v>19</v>
      </c>
      <c r="G23" s="146"/>
      <c r="H23" s="290" t="s">
        <v>54</v>
      </c>
      <c r="I23" s="309"/>
      <c r="J23" s="308"/>
      <c r="K23" s="146"/>
      <c r="L23" s="290" t="s">
        <v>54</v>
      </c>
      <c r="M23" s="307"/>
      <c r="N23" s="308"/>
      <c r="O23" s="146"/>
      <c r="P23" s="290" t="s">
        <v>54</v>
      </c>
      <c r="Q23" s="309"/>
      <c r="R23" s="308"/>
      <c r="S23" s="146"/>
      <c r="T23" s="291"/>
      <c r="U23" s="291"/>
      <c r="V23" s="291"/>
      <c r="W23" s="291"/>
      <c r="X23" s="291"/>
      <c r="Y23" s="373"/>
      <c r="Z23" s="84" t="s">
        <v>151</v>
      </c>
      <c r="AA23" s="102" t="s">
        <v>368</v>
      </c>
      <c r="AB23" s="374"/>
      <c r="AC23" s="84" t="s">
        <v>143</v>
      </c>
      <c r="AD23" s="85" t="s">
        <v>216</v>
      </c>
      <c r="AE23" s="84" t="s">
        <v>217</v>
      </c>
      <c r="AF23" s="111" t="s">
        <v>169</v>
      </c>
      <c r="AG23" s="86" t="s">
        <v>204</v>
      </c>
      <c r="AH23" s="86" t="s">
        <v>176</v>
      </c>
      <c r="AI23" s="111"/>
      <c r="AJ23" s="86" t="s">
        <v>399</v>
      </c>
      <c r="AK23" s="96"/>
      <c r="AL23" s="99"/>
      <c r="AM23" s="139"/>
      <c r="AN23" s="99"/>
      <c r="AO23" s="154"/>
      <c r="AP23" s="155"/>
      <c r="AQ23" s="100" t="s">
        <v>397</v>
      </c>
      <c r="AR23" s="90" t="s">
        <v>398</v>
      </c>
      <c r="AS23" s="156" t="s">
        <v>396</v>
      </c>
      <c r="AT23" s="383">
        <v>37.927290890000002</v>
      </c>
      <c r="AU23" s="383">
        <v>37.927290890000002</v>
      </c>
      <c r="AV23" s="383">
        <v>37.927202020000003</v>
      </c>
      <c r="AW23" s="383">
        <v>37.779458009999999</v>
      </c>
      <c r="AX23" s="383">
        <v>37.779458009999999</v>
      </c>
      <c r="AY23" s="383">
        <v>36.03333997</v>
      </c>
      <c r="AZ23" s="383">
        <v>36.033226310000003</v>
      </c>
      <c r="BA23" s="383">
        <v>36.033226310000003</v>
      </c>
      <c r="BB23" s="383">
        <v>36.033132019999996</v>
      </c>
      <c r="BC23" s="383">
        <v>35.588045940000001</v>
      </c>
      <c r="BD23" s="383">
        <v>35.588045940000001</v>
      </c>
      <c r="BE23" s="383">
        <v>40</v>
      </c>
      <c r="BF23" s="383">
        <v>26</v>
      </c>
      <c r="BG23" s="157">
        <v>26</v>
      </c>
      <c r="BH23" s="157">
        <v>26</v>
      </c>
      <c r="BI23" s="205"/>
      <c r="BJ23" s="205"/>
      <c r="BK23" s="205"/>
      <c r="BL23" s="205"/>
      <c r="BM23" s="205"/>
      <c r="BN23" s="205"/>
      <c r="BO23" s="205"/>
      <c r="BP23" s="205"/>
      <c r="BQ23" s="205"/>
      <c r="BR23" s="208">
        <f>+IFERROR(AVERAGE(AT23:BQ23),"")</f>
        <v>34.843314420666665</v>
      </c>
      <c r="BS23" s="375">
        <f>+IFERROR(VAR(AT23:BQ23),"")</f>
        <v>22.410782586227601</v>
      </c>
      <c r="BT23" s="376">
        <f>+IFERROR(STDEV(AT24:BQ24)*(1-$BS$1),"")</f>
        <v>32.316060161254157</v>
      </c>
      <c r="BU23" s="377" t="str">
        <f ca="1">+IF(OR(BT23="",OFFSET(AT24,0,MATCH($B$1,AT$2:BQ$2,0)-1)=""),"",IFERROR(IF(ABS(OFFSET(AT24,0,MATCH($B$1,AT$2:BQ$2,0)-1)-OFFSET(AT24,0,MATCH($B$1,AT$2:BQ$2,0)-2))&gt;BT23,"N","µ"),""))</f>
        <v>µ</v>
      </c>
      <c r="BV23" s="94"/>
      <c r="BW23" s="378" t="s">
        <v>295</v>
      </c>
      <c r="BY23" s="95"/>
    </row>
    <row r="24" spans="1:77" s="353" customFormat="1" ht="57.75" customHeight="1">
      <c r="B24" s="455"/>
      <c r="C24" s="342" t="s">
        <v>281</v>
      </c>
      <c r="D24" s="330" t="s">
        <v>23</v>
      </c>
      <c r="E24" s="308" t="s">
        <v>17</v>
      </c>
      <c r="F24" s="298" t="s">
        <v>19</v>
      </c>
      <c r="G24" s="146"/>
      <c r="H24" s="290" t="s">
        <v>54</v>
      </c>
      <c r="I24" s="309"/>
      <c r="J24" s="308"/>
      <c r="K24" s="146"/>
      <c r="L24" s="290" t="s">
        <v>54</v>
      </c>
      <c r="M24" s="307"/>
      <c r="N24" s="308"/>
      <c r="O24" s="146"/>
      <c r="P24" s="290" t="s">
        <v>54</v>
      </c>
      <c r="Q24" s="309"/>
      <c r="R24" s="308"/>
      <c r="S24" s="146"/>
      <c r="T24" s="291"/>
      <c r="U24" s="291"/>
      <c r="V24" s="291"/>
      <c r="W24" s="291"/>
      <c r="X24" s="291"/>
      <c r="Y24" s="373" t="s">
        <v>365</v>
      </c>
      <c r="Z24" s="84" t="s">
        <v>151</v>
      </c>
      <c r="AA24" s="88"/>
      <c r="AB24" s="374"/>
      <c r="AC24" s="84" t="s">
        <v>143</v>
      </c>
      <c r="AD24" s="85"/>
      <c r="AE24" s="84" t="s">
        <v>310</v>
      </c>
      <c r="AF24" s="111" t="s">
        <v>169</v>
      </c>
      <c r="AG24" s="86" t="s">
        <v>204</v>
      </c>
      <c r="AH24" s="86" t="s">
        <v>176</v>
      </c>
      <c r="AI24" s="86"/>
      <c r="AJ24" s="86" t="s">
        <v>329</v>
      </c>
      <c r="AK24" s="96"/>
      <c r="AL24" s="99"/>
      <c r="AM24" s="139"/>
      <c r="AN24" s="99"/>
      <c r="AO24" s="151"/>
      <c r="AP24" s="158"/>
      <c r="AQ24" s="149">
        <f t="shared" ref="AQ24" si="18">STDEV(AT24:BE24)+(AVERAGE(AT24:BE24))</f>
        <v>827.25575734788379</v>
      </c>
      <c r="AR24" s="159">
        <f>AQ24+1</f>
        <v>828.25575734788379</v>
      </c>
      <c r="AS24" s="160">
        <f t="shared" ref="AS24" si="19">AQ24*1.2</f>
        <v>992.70690881746054</v>
      </c>
      <c r="AT24" s="384">
        <v>836.27935639999998</v>
      </c>
      <c r="AU24" s="385">
        <v>802.55632721999996</v>
      </c>
      <c r="AV24" s="385">
        <v>800.59971832999997</v>
      </c>
      <c r="AW24" s="385">
        <v>801.34266966999996</v>
      </c>
      <c r="AX24" s="385">
        <v>809.52344798800004</v>
      </c>
      <c r="AY24" s="385">
        <v>806.86273189999997</v>
      </c>
      <c r="AZ24" s="385">
        <v>798.30047001800006</v>
      </c>
      <c r="BA24" s="385">
        <v>790.27427711999997</v>
      </c>
      <c r="BB24" s="385">
        <v>680.28241577799997</v>
      </c>
      <c r="BC24" s="385">
        <v>684.70840747</v>
      </c>
      <c r="BD24" s="385">
        <v>658.98479346800002</v>
      </c>
      <c r="BE24" s="385">
        <v>691.24721718000001</v>
      </c>
      <c r="BF24" s="385">
        <v>689.08853503800003</v>
      </c>
      <c r="BG24" s="385">
        <v>687.32309772799999</v>
      </c>
      <c r="BH24" s="385">
        <v>687.61237321800002</v>
      </c>
      <c r="BI24" s="150"/>
      <c r="BJ24" s="150"/>
      <c r="BK24" s="150"/>
      <c r="BL24" s="150"/>
      <c r="BM24" s="150"/>
      <c r="BN24" s="150"/>
      <c r="BO24" s="150"/>
      <c r="BP24" s="150"/>
      <c r="BQ24" s="150"/>
      <c r="BR24" s="208">
        <f>+IFERROR(AVERAGE(AT24:BQ24),"")</f>
        <v>748.33238923506667</v>
      </c>
      <c r="BS24" s="375">
        <f>+IFERROR(VAR(AT24:BQ24),"")</f>
        <v>4177.3109773831929</v>
      </c>
      <c r="BT24" s="376"/>
      <c r="BU24" s="377"/>
      <c r="BV24" s="94"/>
      <c r="BW24" s="378" t="s">
        <v>296</v>
      </c>
      <c r="BY24" s="95"/>
    </row>
    <row r="25" spans="1:77" s="353" customFormat="1" ht="57.75" customHeight="1">
      <c r="B25" s="455"/>
      <c r="C25" s="342" t="s">
        <v>124</v>
      </c>
      <c r="D25" s="406" t="s">
        <v>81</v>
      </c>
      <c r="E25" s="4" t="s">
        <v>81</v>
      </c>
      <c r="F25" s="35" t="s">
        <v>19</v>
      </c>
      <c r="G25" s="48"/>
      <c r="H25" s="25" t="s">
        <v>54</v>
      </c>
      <c r="I25" s="33"/>
      <c r="J25" s="37"/>
      <c r="K25" s="48"/>
      <c r="L25" s="28" t="s">
        <v>54</v>
      </c>
      <c r="M25" s="5"/>
      <c r="N25" s="4"/>
      <c r="O25" s="48"/>
      <c r="P25" s="28" t="s">
        <v>54</v>
      </c>
      <c r="Q25" s="33"/>
      <c r="R25" s="37"/>
      <c r="S25" s="48"/>
      <c r="T25" s="20"/>
      <c r="U25" s="20"/>
      <c r="V25" s="20"/>
      <c r="W25" s="20"/>
      <c r="X25" s="213"/>
      <c r="Y25" s="219"/>
      <c r="Z25" s="84" t="s">
        <v>151</v>
      </c>
      <c r="AA25" s="86"/>
      <c r="AB25" s="183"/>
      <c r="AC25" s="84" t="s">
        <v>143</v>
      </c>
      <c r="AD25" s="85"/>
      <c r="AE25" s="138" t="s">
        <v>207</v>
      </c>
      <c r="AF25" s="111" t="s">
        <v>169</v>
      </c>
      <c r="AG25" s="86" t="s">
        <v>204</v>
      </c>
      <c r="AH25" s="86" t="s">
        <v>176</v>
      </c>
      <c r="AI25" s="86"/>
      <c r="AJ25" s="86" t="s">
        <v>260</v>
      </c>
      <c r="AK25" s="96"/>
      <c r="AL25" s="99"/>
      <c r="AM25" s="139"/>
      <c r="AN25" s="99"/>
      <c r="AO25" s="140"/>
      <c r="AP25" s="104"/>
      <c r="AQ25" s="141">
        <f>STDEV(AT25:BE25)+(AVERAGE(AT25:BE25))</f>
        <v>4.2598195577342564</v>
      </c>
      <c r="AR25" s="142">
        <v>5</v>
      </c>
      <c r="AS25" s="143">
        <v>6</v>
      </c>
      <c r="AT25" s="144">
        <v>2</v>
      </c>
      <c r="AU25" s="145">
        <v>5</v>
      </c>
      <c r="AV25" s="145">
        <v>5</v>
      </c>
      <c r="AW25" s="145">
        <v>5</v>
      </c>
      <c r="AX25" s="144">
        <v>4</v>
      </c>
      <c r="AY25" s="144">
        <v>2</v>
      </c>
      <c r="AZ25" s="144">
        <v>1</v>
      </c>
      <c r="BA25" s="144">
        <v>1</v>
      </c>
      <c r="BB25" s="144">
        <v>1</v>
      </c>
      <c r="BC25" s="144">
        <v>1</v>
      </c>
      <c r="BD25" s="144">
        <v>2</v>
      </c>
      <c r="BE25" s="144">
        <v>2</v>
      </c>
      <c r="BF25" s="146">
        <v>2</v>
      </c>
      <c r="BG25" s="146">
        <v>3</v>
      </c>
      <c r="BH25" s="146">
        <v>3</v>
      </c>
      <c r="BI25" s="150"/>
      <c r="BJ25" s="150"/>
      <c r="BK25" s="150"/>
      <c r="BL25" s="150"/>
      <c r="BM25" s="150"/>
      <c r="BN25" s="150"/>
      <c r="BO25" s="150"/>
      <c r="BP25" s="150"/>
      <c r="BQ25" s="150"/>
      <c r="BR25" s="208"/>
      <c r="BS25" s="375"/>
      <c r="BT25" s="376">
        <f>+IFERROR(STDEV(AT26:BQ26)*(1-$BS$1),"")</f>
        <v>5.7074071608743724</v>
      </c>
      <c r="BU25" s="377" t="str">
        <f ca="1">+IF(OR(BT25="",OFFSET(AT26,0,MATCH($B$1,AT$2:BQ$2,0)-1)=""),"",IFERROR(IF(ABS(OFFSET(AT26,0,MATCH($B$1,AT$2:BQ$2,0)-1)-OFFSET(AT26,0,MATCH($B$1,AT$2:BQ$2,0)-2))&gt;BT25,"N","µ"),""))</f>
        <v/>
      </c>
      <c r="BV25" s="94" t="s">
        <v>208</v>
      </c>
      <c r="BW25" s="378"/>
      <c r="BY25" s="95" t="s">
        <v>182</v>
      </c>
    </row>
    <row r="26" spans="1:77" s="353" customFormat="1" ht="57.75" customHeight="1">
      <c r="B26" s="455"/>
      <c r="C26" s="342" t="s">
        <v>284</v>
      </c>
      <c r="D26" s="328" t="s">
        <v>81</v>
      </c>
      <c r="E26" s="300" t="s">
        <v>81</v>
      </c>
      <c r="F26" s="298" t="s">
        <v>19</v>
      </c>
      <c r="G26" s="299"/>
      <c r="H26" s="290" t="s">
        <v>54</v>
      </c>
      <c r="I26" s="309"/>
      <c r="J26" s="297"/>
      <c r="K26" s="299"/>
      <c r="L26" s="290" t="s">
        <v>54</v>
      </c>
      <c r="M26" s="300"/>
      <c r="N26" s="300"/>
      <c r="O26" s="299"/>
      <c r="P26" s="290" t="s">
        <v>54</v>
      </c>
      <c r="Q26" s="309"/>
      <c r="R26" s="297"/>
      <c r="S26" s="299"/>
      <c r="T26" s="291" t="s">
        <v>110</v>
      </c>
      <c r="U26" s="291"/>
      <c r="V26" s="291"/>
      <c r="W26" s="291"/>
      <c r="X26" s="291"/>
      <c r="Y26" s="373" t="s">
        <v>369</v>
      </c>
      <c r="Z26" s="84" t="s">
        <v>151</v>
      </c>
      <c r="AA26" s="102" t="s">
        <v>377</v>
      </c>
      <c r="AB26" s="374"/>
      <c r="AC26" s="84" t="s">
        <v>143</v>
      </c>
      <c r="AD26" s="85"/>
      <c r="AE26" s="84" t="s">
        <v>456</v>
      </c>
      <c r="AF26" s="111" t="s">
        <v>473</v>
      </c>
      <c r="AG26" s="86" t="s">
        <v>204</v>
      </c>
      <c r="AH26" s="86" t="s">
        <v>176</v>
      </c>
      <c r="AI26" s="111" t="s">
        <v>211</v>
      </c>
      <c r="AJ26" s="86" t="s">
        <v>401</v>
      </c>
      <c r="AK26" s="96"/>
      <c r="AL26" s="99"/>
      <c r="AM26" s="139"/>
      <c r="AN26" s="99"/>
      <c r="AO26" s="147"/>
      <c r="AP26" s="148"/>
      <c r="AQ26" s="149">
        <f>AS26*(1-0.2)</f>
        <v>310.40000000000003</v>
      </c>
      <c r="AR26" s="159">
        <f>AQ26+1</f>
        <v>311.40000000000003</v>
      </c>
      <c r="AS26" s="160">
        <f>3880*0.1</f>
        <v>388</v>
      </c>
      <c r="AT26" s="386"/>
      <c r="AU26" s="386"/>
      <c r="AV26" s="386"/>
      <c r="AW26" s="386"/>
      <c r="AX26" s="386"/>
      <c r="AY26" s="386"/>
      <c r="AZ26" s="384">
        <f>'Industry Exposure OCC'!H43</f>
        <v>314.92500000000001</v>
      </c>
      <c r="BA26" s="386"/>
      <c r="BB26" s="385">
        <f>'Industry Exposure OCC'!K43</f>
        <v>296.57499999999999</v>
      </c>
      <c r="BC26" s="386"/>
      <c r="BD26" s="386"/>
      <c r="BE26" s="385">
        <f>'Industry Exposure OCC'!N43</f>
        <v>291.76</v>
      </c>
      <c r="BF26" s="386"/>
      <c r="BG26" s="386"/>
      <c r="BH26" s="385">
        <f>'Industry Exposure OCC'!T43</f>
        <v>290.00799999999998</v>
      </c>
      <c r="BI26" s="150"/>
      <c r="BJ26" s="150"/>
      <c r="BK26" s="150"/>
      <c r="BL26" s="150"/>
      <c r="BM26" s="150"/>
      <c r="BN26" s="150"/>
      <c r="BO26" s="150"/>
      <c r="BP26" s="150"/>
      <c r="BQ26" s="150"/>
      <c r="BR26" s="208">
        <f>+IFERROR(AVERAGE(AT26:BQ26),"")</f>
        <v>298.31700000000001</v>
      </c>
      <c r="BS26" s="375">
        <f>+IFERROR(VAR(AT26:BQ26),"")</f>
        <v>130.29798600000026</v>
      </c>
      <c r="BT26" s="376">
        <f>+IFERROR(STDEV(AT27:BQ27)*(1-$BS$1),"")</f>
        <v>17.012161152927717</v>
      </c>
      <c r="BU26" s="377" t="str">
        <f ca="1">+IF(OR(BT26="",OFFSET(AT27,0,MATCH($B$1,AT$2:BQ$2,0)-1)=""),"",IFERROR(IF(ABS(OFFSET(AT27,0,MATCH($B$1,AT$2:BQ$2,0)-1)-OFFSET(AT27,0,MATCH($B$1,AT$2:BQ$2,0)-2))&gt;BT26,"N","µ"),""))</f>
        <v>N</v>
      </c>
      <c r="BV26" s="228" t="s">
        <v>212</v>
      </c>
      <c r="BW26" s="378"/>
      <c r="BY26" s="95" t="s">
        <v>211</v>
      </c>
    </row>
    <row r="27" spans="1:77" s="353" customFormat="1" ht="57.75" customHeight="1">
      <c r="B27" s="455"/>
      <c r="C27" s="342" t="s">
        <v>283</v>
      </c>
      <c r="D27" s="328" t="s">
        <v>81</v>
      </c>
      <c r="E27" s="300" t="s">
        <v>81</v>
      </c>
      <c r="F27" s="298" t="s">
        <v>19</v>
      </c>
      <c r="G27" s="299"/>
      <c r="H27" s="290" t="s">
        <v>54</v>
      </c>
      <c r="I27" s="309"/>
      <c r="J27" s="297"/>
      <c r="K27" s="299"/>
      <c r="L27" s="290" t="s">
        <v>54</v>
      </c>
      <c r="M27" s="300"/>
      <c r="N27" s="300"/>
      <c r="O27" s="299"/>
      <c r="P27" s="290" t="s">
        <v>54</v>
      </c>
      <c r="Q27" s="309"/>
      <c r="R27" s="297"/>
      <c r="S27" s="299"/>
      <c r="T27" s="291"/>
      <c r="U27" s="291"/>
      <c r="V27" s="291"/>
      <c r="W27" s="291"/>
      <c r="X27" s="291"/>
      <c r="Y27" s="373" t="s">
        <v>120</v>
      </c>
      <c r="Z27" s="84" t="s">
        <v>151</v>
      </c>
      <c r="AA27" s="102"/>
      <c r="AB27" s="374"/>
      <c r="AC27" s="84" t="s">
        <v>143</v>
      </c>
      <c r="AD27" s="85"/>
      <c r="AE27" s="310" t="s">
        <v>209</v>
      </c>
      <c r="AF27" s="111" t="s">
        <v>169</v>
      </c>
      <c r="AG27" s="86" t="s">
        <v>210</v>
      </c>
      <c r="AH27" s="86" t="s">
        <v>176</v>
      </c>
      <c r="AI27" s="111" t="s">
        <v>211</v>
      </c>
      <c r="AJ27" s="86" t="s">
        <v>392</v>
      </c>
      <c r="AK27" s="96"/>
      <c r="AL27" s="99"/>
      <c r="AM27" s="139"/>
      <c r="AN27" s="99"/>
      <c r="AO27" s="151"/>
      <c r="AP27" s="104"/>
      <c r="AQ27" s="149">
        <f>AS27*(1-0.2)</f>
        <v>869.12000000000012</v>
      </c>
      <c r="AR27" s="159">
        <f>AQ27+1</f>
        <v>870.12000000000012</v>
      </c>
      <c r="AS27" s="160">
        <f>3880*0.28</f>
        <v>1086.4000000000001</v>
      </c>
      <c r="AT27" s="385">
        <v>559.48318727999992</v>
      </c>
      <c r="AU27" s="385">
        <v>565.52119274000006</v>
      </c>
      <c r="AV27" s="385">
        <v>570.67219325999997</v>
      </c>
      <c r="AW27" s="385">
        <v>583.10146573999998</v>
      </c>
      <c r="AX27" s="385">
        <v>613.89760396000008</v>
      </c>
      <c r="AY27" s="385">
        <v>611.9248310700001</v>
      </c>
      <c r="AZ27" s="385">
        <v>614.45283002999997</v>
      </c>
      <c r="BA27" s="385">
        <v>607.52576926999996</v>
      </c>
      <c r="BB27" s="385">
        <v>602.19589726999993</v>
      </c>
      <c r="BC27" s="385">
        <v>599.09235776000003</v>
      </c>
      <c r="BD27" s="385">
        <v>598.03638212999999</v>
      </c>
      <c r="BE27" s="385">
        <v>587.22652287999995</v>
      </c>
      <c r="BF27" s="385">
        <v>590.60457855000004</v>
      </c>
      <c r="BG27" s="385">
        <v>510.02835246000001</v>
      </c>
      <c r="BH27" s="385">
        <v>508.19472346999999</v>
      </c>
      <c r="BI27" s="227"/>
      <c r="BJ27" s="227"/>
      <c r="BK27" s="227"/>
      <c r="BL27" s="227"/>
      <c r="BM27" s="227"/>
      <c r="BN27" s="227"/>
      <c r="BO27" s="227"/>
      <c r="BP27" s="227"/>
      <c r="BQ27" s="227"/>
      <c r="BR27" s="208">
        <f>+IFERROR(AVERAGE(AT27:BQ27),"")</f>
        <v>581.46385919133331</v>
      </c>
      <c r="BS27" s="375">
        <f>+IFERROR(VAR(AT27:BQ27),"")</f>
        <v>1157.6545083727319</v>
      </c>
      <c r="BT27" s="387">
        <f>+IFERROR(STDEV(AT28:BQ28)*(1-$BS$1),"")</f>
        <v>33.353076549679741</v>
      </c>
      <c r="BU27" s="388" t="str">
        <f ca="1">+IF(OR(BT27="",OFFSET(AT28,0,MATCH($B$1,AT$2:BQ$2,0)-1)=""),"",IFERROR(IF(ABS(OFFSET(AT28,0,MATCH($B$1,AT$2:BQ$2,0)-1)-OFFSET(AT28,0,MATCH($B$1,AT$2:BQ$2,0)-2))&gt;BT27,"N","µ"),""))</f>
        <v>µ</v>
      </c>
      <c r="BV27" s="94" t="s">
        <v>214</v>
      </c>
      <c r="BW27" s="378"/>
      <c r="BY27" s="95" t="s">
        <v>215</v>
      </c>
    </row>
    <row r="28" spans="1:77" s="353" customFormat="1" ht="57.75" customHeight="1" thickBot="1">
      <c r="B28" s="456"/>
      <c r="C28" s="343" t="s">
        <v>285</v>
      </c>
      <c r="D28" s="328" t="s">
        <v>81</v>
      </c>
      <c r="E28" s="300" t="s">
        <v>81</v>
      </c>
      <c r="F28" s="298" t="s">
        <v>19</v>
      </c>
      <c r="G28" s="299"/>
      <c r="H28" s="290" t="s">
        <v>54</v>
      </c>
      <c r="I28" s="309"/>
      <c r="J28" s="297"/>
      <c r="K28" s="299"/>
      <c r="L28" s="290" t="s">
        <v>54</v>
      </c>
      <c r="M28" s="300"/>
      <c r="N28" s="300"/>
      <c r="O28" s="299"/>
      <c r="P28" s="290" t="s">
        <v>54</v>
      </c>
      <c r="Q28" s="309"/>
      <c r="R28" s="297"/>
      <c r="S28" s="299"/>
      <c r="T28" s="291"/>
      <c r="U28" s="291"/>
      <c r="V28" s="291"/>
      <c r="W28" s="291"/>
      <c r="X28" s="291"/>
      <c r="Y28" s="373" t="s">
        <v>370</v>
      </c>
      <c r="Z28" s="84" t="s">
        <v>151</v>
      </c>
      <c r="AA28" s="102"/>
      <c r="AB28" s="374"/>
      <c r="AC28" s="84" t="s">
        <v>143</v>
      </c>
      <c r="AD28" s="85"/>
      <c r="AE28" s="310" t="s">
        <v>213</v>
      </c>
      <c r="AF28" s="111" t="s">
        <v>169</v>
      </c>
      <c r="AG28" s="86" t="s">
        <v>204</v>
      </c>
      <c r="AH28" s="86" t="s">
        <v>176</v>
      </c>
      <c r="AI28" s="111" t="s">
        <v>211</v>
      </c>
      <c r="AJ28" s="86" t="s">
        <v>393</v>
      </c>
      <c r="AK28" s="96"/>
      <c r="AL28" s="99"/>
      <c r="AM28" s="139"/>
      <c r="AN28" s="99"/>
      <c r="AO28" s="151"/>
      <c r="AP28" s="104"/>
      <c r="AQ28" s="149">
        <f>AS28*(1-0.2)</f>
        <v>434.56000000000006</v>
      </c>
      <c r="AR28" s="159">
        <f>AQ28+1</f>
        <v>435.56000000000006</v>
      </c>
      <c r="AS28" s="160">
        <f>3880*0.14</f>
        <v>543.20000000000005</v>
      </c>
      <c r="AT28" s="385">
        <v>474.77383075</v>
      </c>
      <c r="AU28" s="385">
        <v>471.88535006000001</v>
      </c>
      <c r="AV28" s="385">
        <v>471.47619127999997</v>
      </c>
      <c r="AW28" s="385">
        <v>471.08293206000002</v>
      </c>
      <c r="AX28" s="385">
        <v>468.20172237000003</v>
      </c>
      <c r="AY28" s="385">
        <v>460.37746351999999</v>
      </c>
      <c r="AZ28" s="385">
        <v>456.86937395000007</v>
      </c>
      <c r="BA28" s="385">
        <v>453.97987228000005</v>
      </c>
      <c r="BB28" s="385">
        <v>326.12960862</v>
      </c>
      <c r="BC28" s="385">
        <v>325.71993012000001</v>
      </c>
      <c r="BD28" s="385">
        <v>321.74298986000002</v>
      </c>
      <c r="BE28" s="385">
        <v>349.69983928000005</v>
      </c>
      <c r="BF28" s="385">
        <v>349.13848865000006</v>
      </c>
      <c r="BG28" s="385">
        <v>348.58079950000001</v>
      </c>
      <c r="BH28" s="385">
        <v>347.97281254000001</v>
      </c>
      <c r="BI28" s="150"/>
      <c r="BJ28" s="150"/>
      <c r="BK28" s="150"/>
      <c r="BL28" s="150"/>
      <c r="BM28" s="150"/>
      <c r="BN28" s="150"/>
      <c r="BO28" s="150"/>
      <c r="BP28" s="150"/>
      <c r="BQ28" s="150"/>
      <c r="BR28" s="229">
        <f t="shared" ref="BR28" si="20">+IFERROR(AVERAGE(AT28:BQ28),"")</f>
        <v>406.5087469893333</v>
      </c>
      <c r="BS28" s="389">
        <f t="shared" ref="BS28" si="21">+IFERROR(VAR(AT28:BQ28),"")</f>
        <v>4449.7108613151859</v>
      </c>
      <c r="BT28" s="387" t="str">
        <f>+IFERROR(STDEV(AT29:BQ29)*(1-$BS$1),"")</f>
        <v/>
      </c>
      <c r="BU28" s="388" t="str">
        <f ca="1">+IF(OR(BT28="",OFFSET(AT29,0,MATCH($B$1,AT$2:BQ$2,0)-1)=""),"",IFERROR(IF(ABS(OFFSET(AT29,0,MATCH($B$1,AT$2:BQ$2,0)-1)-OFFSET(AT29,0,MATCH($B$1,AT$2:BQ$2,0)-2))&gt;BT28,"N","µ"),""))</f>
        <v/>
      </c>
      <c r="BV28" s="94"/>
      <c r="BW28" s="390"/>
      <c r="BY28" s="95"/>
    </row>
    <row r="29" spans="1:77" s="353" customFormat="1" ht="57.75" customHeight="1">
      <c r="B29" s="447" t="s">
        <v>5</v>
      </c>
      <c r="C29" s="340" t="s">
        <v>84</v>
      </c>
      <c r="D29" s="331">
        <v>90</v>
      </c>
      <c r="E29" s="308">
        <v>60</v>
      </c>
      <c r="F29" s="298" t="s">
        <v>61</v>
      </c>
      <c r="G29" s="146"/>
      <c r="H29" s="290" t="s">
        <v>54</v>
      </c>
      <c r="I29" s="311"/>
      <c r="J29" s="308"/>
      <c r="K29" s="146"/>
      <c r="L29" s="290" t="s">
        <v>54</v>
      </c>
      <c r="M29" s="311"/>
      <c r="N29" s="308"/>
      <c r="O29" s="146"/>
      <c r="P29" s="290" t="s">
        <v>54</v>
      </c>
      <c r="Q29" s="311"/>
      <c r="R29" s="308"/>
      <c r="S29" s="146"/>
      <c r="T29" s="312"/>
      <c r="U29" s="312"/>
      <c r="V29" s="312"/>
      <c r="W29" s="312"/>
      <c r="X29" s="312"/>
      <c r="Y29" s="373"/>
      <c r="Z29" s="84" t="s">
        <v>151</v>
      </c>
      <c r="AA29" s="86" t="s">
        <v>223</v>
      </c>
      <c r="AB29" s="374"/>
      <c r="AC29" s="84" t="s">
        <v>143</v>
      </c>
      <c r="AD29" s="85"/>
      <c r="AE29" s="84" t="s">
        <v>478</v>
      </c>
      <c r="AF29" s="86" t="s">
        <v>227</v>
      </c>
      <c r="AG29" s="86" t="s">
        <v>228</v>
      </c>
      <c r="AH29" s="86" t="s">
        <v>229</v>
      </c>
      <c r="AI29" s="86" t="s">
        <v>221</v>
      </c>
      <c r="AJ29" s="88" t="s">
        <v>499</v>
      </c>
      <c r="AK29" s="96"/>
      <c r="AL29" s="86" t="s">
        <v>222</v>
      </c>
      <c r="AM29" s="128"/>
      <c r="AN29" s="86"/>
      <c r="AO29" s="140"/>
      <c r="AP29" s="158"/>
      <c r="AQ29" s="100" t="s">
        <v>518</v>
      </c>
      <c r="AR29" s="90" t="s">
        <v>519</v>
      </c>
      <c r="AS29" s="158" t="s">
        <v>520</v>
      </c>
      <c r="AT29" s="101" t="s">
        <v>165</v>
      </c>
      <c r="AU29" s="101" t="s">
        <v>165</v>
      </c>
      <c r="AV29" s="101" t="s">
        <v>165</v>
      </c>
      <c r="AW29" s="101" t="s">
        <v>165</v>
      </c>
      <c r="AX29" s="101" t="s">
        <v>165</v>
      </c>
      <c r="AY29" s="101" t="s">
        <v>165</v>
      </c>
      <c r="AZ29" s="101" t="s">
        <v>165</v>
      </c>
      <c r="BA29" s="101" t="s">
        <v>165</v>
      </c>
      <c r="BB29" s="101" t="s">
        <v>165</v>
      </c>
      <c r="BC29" s="101" t="s">
        <v>165</v>
      </c>
      <c r="BD29" s="101" t="s">
        <v>165</v>
      </c>
      <c r="BE29" s="117" t="s">
        <v>518</v>
      </c>
      <c r="BF29" s="101" t="s">
        <v>165</v>
      </c>
      <c r="BG29" s="101" t="s">
        <v>165</v>
      </c>
      <c r="BH29" s="117" t="s">
        <v>518</v>
      </c>
      <c r="BI29" s="204"/>
      <c r="BJ29" s="204"/>
      <c r="BK29" s="204"/>
      <c r="BL29" s="204"/>
      <c r="BM29" s="204"/>
      <c r="BN29" s="204"/>
      <c r="BO29" s="204"/>
      <c r="BP29" s="204"/>
      <c r="BQ29" s="204"/>
      <c r="BR29" s="234" t="str">
        <f t="shared" ref="BR29:BR31" si="22">+IFERROR(AVERAGE(AT29:BQ29),"")</f>
        <v/>
      </c>
      <c r="BS29" s="389" t="str">
        <f t="shared" ref="BS29:BS31" si="23">+IFERROR(VAR(AT29:BQ29),"")</f>
        <v/>
      </c>
      <c r="BT29" s="387">
        <f>+IFERROR(STDEV(AT30:BQ30)*(1-$BS$1),"")</f>
        <v>1.1265595929858194E-2</v>
      </c>
      <c r="BU29" s="388" t="str">
        <f ca="1">+IF(OR(BT29="",OFFSET(AT30,0,MATCH($B$1,AT$2:BQ$2,0)-1)=""),"",IFERROR(IF(ABS(OFFSET(AT30,0,MATCH($B$1,AT$2:BQ$2,0)-1)-OFFSET(AT30,0,MATCH($B$1,AT$2:BQ$2,0)-2))&gt;BT29,"N","µ"),""))</f>
        <v>µ</v>
      </c>
      <c r="BV29" s="94"/>
      <c r="BW29" s="390"/>
      <c r="BY29" s="95"/>
    </row>
    <row r="30" spans="1:77" s="353" customFormat="1" ht="57.75" customHeight="1">
      <c r="B30" s="448"/>
      <c r="C30" s="340" t="s">
        <v>86</v>
      </c>
      <c r="D30" s="332">
        <v>1.05</v>
      </c>
      <c r="E30" s="314">
        <v>1</v>
      </c>
      <c r="F30" s="298" t="s">
        <v>61</v>
      </c>
      <c r="G30" s="315"/>
      <c r="H30" s="290" t="s">
        <v>54</v>
      </c>
      <c r="I30" s="313"/>
      <c r="J30" s="314"/>
      <c r="K30" s="315"/>
      <c r="L30" s="290" t="s">
        <v>54</v>
      </c>
      <c r="M30" s="313"/>
      <c r="N30" s="314"/>
      <c r="O30" s="315"/>
      <c r="P30" s="290" t="s">
        <v>54</v>
      </c>
      <c r="Q30" s="313"/>
      <c r="R30" s="314"/>
      <c r="S30" s="315"/>
      <c r="T30" s="312"/>
      <c r="U30" s="312"/>
      <c r="V30" s="312"/>
      <c r="W30" s="312"/>
      <c r="X30" s="312"/>
      <c r="Y30" s="373"/>
      <c r="Z30" s="84" t="s">
        <v>151</v>
      </c>
      <c r="AA30" s="86"/>
      <c r="AB30" s="374"/>
      <c r="AC30" s="84" t="s">
        <v>143</v>
      </c>
      <c r="AD30" s="85" t="s">
        <v>225</v>
      </c>
      <c r="AE30" s="84" t="s">
        <v>226</v>
      </c>
      <c r="AF30" s="86" t="s">
        <v>227</v>
      </c>
      <c r="AG30" s="86" t="s">
        <v>228</v>
      </c>
      <c r="AH30" s="86" t="s">
        <v>229</v>
      </c>
      <c r="AI30" s="86" t="s">
        <v>221</v>
      </c>
      <c r="AJ30" s="88" t="s">
        <v>500</v>
      </c>
      <c r="AK30" s="96"/>
      <c r="AL30" s="86" t="s">
        <v>230</v>
      </c>
      <c r="AM30" s="128" t="s">
        <v>231</v>
      </c>
      <c r="AN30" s="86"/>
      <c r="AO30" s="164"/>
      <c r="AP30" s="163">
        <v>1</v>
      </c>
      <c r="AQ30" s="409" t="s">
        <v>521</v>
      </c>
      <c r="AR30" s="162" t="s">
        <v>449</v>
      </c>
      <c r="AS30" s="163" t="s">
        <v>522</v>
      </c>
      <c r="AT30" s="101" t="s">
        <v>165</v>
      </c>
      <c r="AU30" s="101" t="s">
        <v>165</v>
      </c>
      <c r="AV30" s="266">
        <v>1.0681</v>
      </c>
      <c r="AW30" s="266">
        <v>1.0657000000000001</v>
      </c>
      <c r="AX30" s="267">
        <v>1.0377000000000001</v>
      </c>
      <c r="AY30" s="270">
        <v>1.0237000000000001</v>
      </c>
      <c r="AZ30" s="267">
        <v>1.0352352356604269</v>
      </c>
      <c r="BA30" s="267">
        <v>1.0426862003892932</v>
      </c>
      <c r="BB30" s="166">
        <v>1.0831699277656099</v>
      </c>
      <c r="BC30" s="166">
        <v>1.07718233208948</v>
      </c>
      <c r="BD30" s="166">
        <v>1.0838000000000001</v>
      </c>
      <c r="BE30" s="166">
        <v>1.0753999999999999</v>
      </c>
      <c r="BF30" s="166">
        <v>1.0787</v>
      </c>
      <c r="BG30" s="166">
        <v>1.0804</v>
      </c>
      <c r="BH30" s="166">
        <v>1.0947</v>
      </c>
      <c r="BI30" s="204"/>
      <c r="BJ30" s="204"/>
      <c r="BK30" s="204"/>
      <c r="BL30" s="204"/>
      <c r="BM30" s="204"/>
      <c r="BN30" s="204"/>
      <c r="BO30" s="204"/>
      <c r="BP30" s="204"/>
      <c r="BQ30" s="204"/>
      <c r="BR30" s="235">
        <f t="shared" si="22"/>
        <v>1.0651133612234469</v>
      </c>
      <c r="BS30" s="389">
        <f t="shared" si="23"/>
        <v>5.0765460661934998E-4</v>
      </c>
      <c r="BT30" s="387" t="str">
        <f>+IFERROR(STDEV(#REF!)*(1-$BS$1),"")</f>
        <v/>
      </c>
      <c r="BU30" s="388" t="e">
        <f ca="1">+IF(OR(BT30="",OFFSET(#REF!,0,MATCH($B$1,AT$2:BQ$2,0)-1)=""),"",IFERROR(IF(ABS(OFFSET(#REF!,0,MATCH($B$1,AT$2:BQ$2,0)-1)-OFFSET(#REF!,0,MATCH($B$1,AT$2:BQ$2,0)-2))&gt;BT30,"N","µ"),""))</f>
        <v>#REF!</v>
      </c>
      <c r="BV30" s="94"/>
      <c r="BW30" s="390"/>
      <c r="BY30" s="95"/>
    </row>
    <row r="31" spans="1:77" s="2" customFormat="1" ht="81.75" customHeight="1" thickBot="1">
      <c r="A31" s="224"/>
      <c r="B31" s="449"/>
      <c r="C31" s="340" t="s">
        <v>494</v>
      </c>
      <c r="D31" s="262"/>
      <c r="E31" s="84" t="s">
        <v>151</v>
      </c>
      <c r="F31" s="86" t="s">
        <v>223</v>
      </c>
      <c r="G31" s="256"/>
      <c r="H31" s="257"/>
      <c r="I31" s="258"/>
      <c r="J31" s="255"/>
      <c r="K31" s="256"/>
      <c r="L31" s="259"/>
      <c r="M31" s="258"/>
      <c r="N31" s="255"/>
      <c r="O31" s="256"/>
      <c r="P31" s="259"/>
      <c r="Q31" s="258"/>
      <c r="R31" s="255"/>
      <c r="S31" s="256"/>
      <c r="T31" s="260"/>
      <c r="U31" s="260"/>
      <c r="V31" s="260"/>
      <c r="W31" s="260"/>
      <c r="X31" s="261"/>
      <c r="Y31" s="219" t="s">
        <v>359</v>
      </c>
      <c r="Z31" s="84" t="s">
        <v>151</v>
      </c>
      <c r="AA31" s="86"/>
      <c r="AB31" s="401"/>
      <c r="AC31" s="84" t="s">
        <v>143</v>
      </c>
      <c r="AD31" s="85"/>
      <c r="AE31" s="84"/>
      <c r="AF31" s="86" t="s">
        <v>227</v>
      </c>
      <c r="AG31" s="86"/>
      <c r="AH31" s="86"/>
      <c r="AI31" s="86" t="s">
        <v>221</v>
      </c>
      <c r="AJ31" s="88" t="s">
        <v>499</v>
      </c>
      <c r="AK31" s="96"/>
      <c r="AL31" s="88" t="s">
        <v>224</v>
      </c>
      <c r="AM31" s="128"/>
      <c r="AN31" s="86"/>
      <c r="AO31" s="140"/>
      <c r="AP31" s="158"/>
      <c r="AQ31" s="100" t="s">
        <v>261</v>
      </c>
      <c r="AR31" s="162" t="s">
        <v>523</v>
      </c>
      <c r="AS31" s="163" t="s">
        <v>524</v>
      </c>
      <c r="AT31" s="386" t="s">
        <v>165</v>
      </c>
      <c r="AU31" s="386" t="s">
        <v>165</v>
      </c>
      <c r="AV31" s="386" t="s">
        <v>165</v>
      </c>
      <c r="AW31" s="386" t="s">
        <v>165</v>
      </c>
      <c r="AX31" s="386" t="s">
        <v>165</v>
      </c>
      <c r="AY31" s="386" t="s">
        <v>165</v>
      </c>
      <c r="AZ31" s="386" t="s">
        <v>165</v>
      </c>
      <c r="BA31" s="386" t="s">
        <v>165</v>
      </c>
      <c r="BB31" s="386" t="s">
        <v>165</v>
      </c>
      <c r="BC31" s="386" t="s">
        <v>165</v>
      </c>
      <c r="BD31" s="386" t="s">
        <v>165</v>
      </c>
      <c r="BE31" s="268">
        <v>1.3072999999999999</v>
      </c>
      <c r="BF31" s="269">
        <v>1.3774</v>
      </c>
      <c r="BG31" s="269">
        <v>1.427</v>
      </c>
      <c r="BH31" s="269">
        <v>1.5002</v>
      </c>
      <c r="BI31" s="204"/>
      <c r="BJ31" s="204"/>
      <c r="BK31" s="204"/>
      <c r="BL31" s="204"/>
      <c r="BM31" s="204"/>
      <c r="BN31" s="204"/>
      <c r="BO31" s="204"/>
      <c r="BP31" s="204"/>
      <c r="BQ31" s="204"/>
      <c r="BR31" s="235">
        <f t="shared" si="22"/>
        <v>1.4029750000000001</v>
      </c>
      <c r="BS31" s="230">
        <f t="shared" si="23"/>
        <v>6.6125625000000065E-3</v>
      </c>
      <c r="BT31" s="231">
        <f t="shared" ref="BT31" si="24">+IFERROR(STDEV(AT31:BQ31)*(1-$CL$1),"")</f>
        <v>8.131766413270862E-2</v>
      </c>
      <c r="BU31" s="400" t="str">
        <f t="shared" ref="BU31" ca="1" si="25">+IF(OR(BT31="",OFFSET(AT31,0,MATCH($B$1,AT$2:BQ$2,0)-1)=""),"",IFERROR(IF(ABS(OFFSET(AT31,0,MATCH($B$1,AT$2:BQ$2,0)-1)-OFFSET(AT31,0,MATCH($B$1,AT$2:BQ$2,0)-2))&gt;BT31,"N","µ"),""))</f>
        <v>µ</v>
      </c>
      <c r="BW31" s="211"/>
    </row>
    <row r="32" spans="1:77" s="353" customFormat="1" ht="57.75" customHeight="1">
      <c r="B32" s="447" t="s">
        <v>6</v>
      </c>
      <c r="C32" s="344" t="s">
        <v>4</v>
      </c>
      <c r="D32" s="333" t="s">
        <v>24</v>
      </c>
      <c r="E32" s="308" t="s">
        <v>12</v>
      </c>
      <c r="F32" s="298" t="s">
        <v>61</v>
      </c>
      <c r="G32" s="146"/>
      <c r="H32" s="290" t="s">
        <v>54</v>
      </c>
      <c r="I32" s="316"/>
      <c r="J32" s="308"/>
      <c r="K32" s="146"/>
      <c r="L32" s="290" t="s">
        <v>54</v>
      </c>
      <c r="M32" s="316"/>
      <c r="N32" s="308"/>
      <c r="O32" s="146"/>
      <c r="P32" s="290" t="s">
        <v>54</v>
      </c>
      <c r="Q32" s="316"/>
      <c r="R32" s="308"/>
      <c r="S32" s="146"/>
      <c r="T32" s="292" t="s">
        <v>28</v>
      </c>
      <c r="U32" s="292"/>
      <c r="V32" s="292" t="s">
        <v>31</v>
      </c>
      <c r="W32" s="292" t="s">
        <v>45</v>
      </c>
      <c r="X32" s="292" t="s">
        <v>46</v>
      </c>
      <c r="Y32" s="373" t="s">
        <v>358</v>
      </c>
      <c r="Z32" s="84" t="s">
        <v>151</v>
      </c>
      <c r="AA32" s="86"/>
      <c r="AB32" s="374"/>
      <c r="AC32" s="84" t="s">
        <v>143</v>
      </c>
      <c r="AD32" s="85"/>
      <c r="AE32" s="84"/>
      <c r="AF32" s="86" t="s">
        <v>227</v>
      </c>
      <c r="AG32" s="86" t="s">
        <v>234</v>
      </c>
      <c r="AH32" s="86" t="s">
        <v>229</v>
      </c>
      <c r="AI32" s="420" t="s">
        <v>235</v>
      </c>
      <c r="AJ32" s="88" t="s">
        <v>531</v>
      </c>
      <c r="AK32" s="86"/>
      <c r="AL32" s="86" t="s">
        <v>236</v>
      </c>
      <c r="AM32" s="128" t="s">
        <v>237</v>
      </c>
      <c r="AN32" s="86"/>
      <c r="AO32" s="167" t="s">
        <v>238</v>
      </c>
      <c r="AP32" s="168" t="s">
        <v>239</v>
      </c>
      <c r="AQ32" s="109" t="s">
        <v>512</v>
      </c>
      <c r="AR32" s="417" t="s">
        <v>513</v>
      </c>
      <c r="AS32" s="418" t="s">
        <v>514</v>
      </c>
      <c r="AT32" s="101" t="s">
        <v>165</v>
      </c>
      <c r="AU32" s="101" t="s">
        <v>165</v>
      </c>
      <c r="AV32" s="101" t="s">
        <v>165</v>
      </c>
      <c r="AW32" s="101" t="s">
        <v>165</v>
      </c>
      <c r="AX32" s="101" t="s">
        <v>165</v>
      </c>
      <c r="AY32" s="101" t="s">
        <v>165</v>
      </c>
      <c r="AZ32" s="101" t="s">
        <v>165</v>
      </c>
      <c r="BA32" s="101" t="s">
        <v>165</v>
      </c>
      <c r="BB32" s="101" t="s">
        <v>165</v>
      </c>
      <c r="BC32" s="101" t="s">
        <v>165</v>
      </c>
      <c r="BD32" s="101" t="s">
        <v>165</v>
      </c>
      <c r="BE32" s="101" t="s">
        <v>165</v>
      </c>
      <c r="BF32" s="126">
        <v>1.6299999999999999E-2</v>
      </c>
      <c r="BG32" s="126">
        <v>2.0500000000000001E-2</v>
      </c>
      <c r="BH32" s="126">
        <v>2.3300000000000001E-2</v>
      </c>
      <c r="BI32" s="204"/>
      <c r="BJ32" s="204"/>
      <c r="BK32" s="204"/>
      <c r="BL32" s="204"/>
      <c r="BM32" s="204"/>
      <c r="BN32" s="204"/>
      <c r="BO32" s="204"/>
      <c r="BP32" s="204"/>
      <c r="BQ32" s="204"/>
      <c r="BR32" s="229">
        <f t="shared" ref="BR32:BR33" si="26">+IFERROR(AVERAGE(AT32:BQ32),"")</f>
        <v>2.0033333333333334E-2</v>
      </c>
      <c r="BS32" s="389">
        <f t="shared" ref="BS32:BS33" si="27">+IFERROR(VAR(AT32:BQ32),"")</f>
        <v>1.2413333333333342E-5</v>
      </c>
      <c r="BT32" s="387">
        <f t="shared" ref="BT32:BT36" si="28">+IFERROR(STDEV(AT33:BQ33)*(1-$BS$1),"")</f>
        <v>1.6479785597310827E-3</v>
      </c>
      <c r="BU32" s="388" t="str">
        <f t="shared" ref="BU32:BU36" ca="1" si="29">+IF(OR(BT32="",OFFSET(AT33,0,MATCH($B$1,AT$2:BQ$2,0)-1)=""),"",IFERROR(IF(ABS(OFFSET(AT33,0,MATCH($B$1,AT$2:BQ$2,0)-1)-OFFSET(AT33,0,MATCH($B$1,AT$2:BQ$2,0)-2))&gt;BT32,"N","µ"),""))</f>
        <v>N</v>
      </c>
      <c r="BV32" s="94" t="s">
        <v>245</v>
      </c>
      <c r="BW32" s="390"/>
      <c r="BY32" s="95"/>
    </row>
    <row r="33" spans="2:77" s="353" customFormat="1" ht="57.75" customHeight="1" thickBot="1">
      <c r="B33" s="449"/>
      <c r="C33" s="344" t="s">
        <v>346</v>
      </c>
      <c r="D33" s="334" t="s">
        <v>25</v>
      </c>
      <c r="E33" s="308" t="s">
        <v>13</v>
      </c>
      <c r="F33" s="298" t="s">
        <v>61</v>
      </c>
      <c r="G33" s="146"/>
      <c r="H33" s="290" t="s">
        <v>54</v>
      </c>
      <c r="I33" s="317"/>
      <c r="J33" s="308"/>
      <c r="K33" s="146"/>
      <c r="L33" s="290" t="s">
        <v>54</v>
      </c>
      <c r="M33" s="317"/>
      <c r="N33" s="308"/>
      <c r="O33" s="146"/>
      <c r="P33" s="295" t="s">
        <v>11</v>
      </c>
      <c r="Q33" s="317"/>
      <c r="R33" s="308"/>
      <c r="S33" s="146"/>
      <c r="T33" s="292" t="s">
        <v>28</v>
      </c>
      <c r="U33" s="292"/>
      <c r="V33" s="292" t="s">
        <v>31</v>
      </c>
      <c r="W33" s="292" t="s">
        <v>45</v>
      </c>
      <c r="X33" s="292" t="s">
        <v>46</v>
      </c>
      <c r="Y33" s="373" t="s">
        <v>371</v>
      </c>
      <c r="Z33" s="84" t="s">
        <v>151</v>
      </c>
      <c r="AA33" s="102"/>
      <c r="AB33" s="374"/>
      <c r="AC33" s="84" t="s">
        <v>143</v>
      </c>
      <c r="AD33" s="85"/>
      <c r="AE33" s="84"/>
      <c r="AF33" s="86" t="s">
        <v>227</v>
      </c>
      <c r="AG33" s="86" t="s">
        <v>242</v>
      </c>
      <c r="AH33" s="86" t="s">
        <v>229</v>
      </c>
      <c r="AI33" s="420" t="s">
        <v>235</v>
      </c>
      <c r="AJ33" s="88" t="s">
        <v>531</v>
      </c>
      <c r="AK33" s="86"/>
      <c r="AL33" s="86" t="s">
        <v>243</v>
      </c>
      <c r="AM33" s="128" t="s">
        <v>244</v>
      </c>
      <c r="AN33" s="86"/>
      <c r="AO33" s="171"/>
      <c r="AP33" s="172"/>
      <c r="AQ33" s="109" t="s">
        <v>515</v>
      </c>
      <c r="AR33" s="410" t="s">
        <v>516</v>
      </c>
      <c r="AS33" s="418" t="s">
        <v>517</v>
      </c>
      <c r="AT33" s="101" t="s">
        <v>165</v>
      </c>
      <c r="AU33" s="101" t="s">
        <v>165</v>
      </c>
      <c r="AV33" s="101" t="s">
        <v>165</v>
      </c>
      <c r="AW33" s="101" t="s">
        <v>165</v>
      </c>
      <c r="AX33" s="101" t="s">
        <v>165</v>
      </c>
      <c r="AY33" s="101" t="s">
        <v>165</v>
      </c>
      <c r="AZ33" s="101" t="s">
        <v>165</v>
      </c>
      <c r="BA33" s="101" t="s">
        <v>165</v>
      </c>
      <c r="BB33" s="101" t="s">
        <v>165</v>
      </c>
      <c r="BC33" s="101" t="s">
        <v>165</v>
      </c>
      <c r="BD33" s="101" t="s">
        <v>165</v>
      </c>
      <c r="BE33" s="101" t="s">
        <v>165</v>
      </c>
      <c r="BF33" s="126">
        <v>-2.1700000000000001E-2</v>
      </c>
      <c r="BG33" s="126">
        <v>-1.7500000000000002E-2</v>
      </c>
      <c r="BH33" s="126">
        <v>-1.52E-2</v>
      </c>
      <c r="BI33" s="206"/>
      <c r="BJ33" s="206"/>
      <c r="BK33" s="206"/>
      <c r="BL33" s="206"/>
      <c r="BM33" s="206"/>
      <c r="BN33" s="206"/>
      <c r="BO33" s="206"/>
      <c r="BP33" s="206"/>
      <c r="BQ33" s="206"/>
      <c r="BR33" s="229">
        <f t="shared" si="26"/>
        <v>-1.8133333333333331E-2</v>
      </c>
      <c r="BS33" s="389">
        <f t="shared" si="27"/>
        <v>1.0863333333333335E-5</v>
      </c>
      <c r="BT33" s="387" t="str">
        <f t="shared" si="28"/>
        <v/>
      </c>
      <c r="BU33" s="388" t="str">
        <f t="shared" ca="1" si="29"/>
        <v/>
      </c>
      <c r="BV33" s="94" t="s">
        <v>247</v>
      </c>
      <c r="BW33" s="390" t="s">
        <v>287</v>
      </c>
      <c r="BY33" s="95"/>
    </row>
    <row r="34" spans="2:77" s="353" customFormat="1" ht="57.75" customHeight="1">
      <c r="B34" s="445" t="s">
        <v>7</v>
      </c>
      <c r="C34" s="340" t="s">
        <v>511</v>
      </c>
      <c r="D34" s="332">
        <v>0.03</v>
      </c>
      <c r="E34" s="314">
        <v>0.05</v>
      </c>
      <c r="F34" s="298" t="s">
        <v>62</v>
      </c>
      <c r="G34" s="315"/>
      <c r="H34" s="290" t="s">
        <v>54</v>
      </c>
      <c r="I34" s="318"/>
      <c r="J34" s="314"/>
      <c r="K34" s="315"/>
      <c r="L34" s="290" t="s">
        <v>54</v>
      </c>
      <c r="M34" s="313"/>
      <c r="N34" s="314"/>
      <c r="O34" s="315"/>
      <c r="P34" s="290" t="s">
        <v>54</v>
      </c>
      <c r="Q34" s="318"/>
      <c r="R34" s="314"/>
      <c r="S34" s="315"/>
      <c r="T34" s="312"/>
      <c r="U34" s="312"/>
      <c r="V34" s="312"/>
      <c r="W34" s="312"/>
      <c r="X34" s="312"/>
      <c r="Y34" s="373"/>
      <c r="Z34" s="84" t="s">
        <v>151</v>
      </c>
      <c r="AA34" s="102" t="s">
        <v>395</v>
      </c>
      <c r="AB34" s="374"/>
      <c r="AC34" s="132" t="s">
        <v>391</v>
      </c>
      <c r="AD34" s="85"/>
      <c r="AE34" s="84" t="s">
        <v>501</v>
      </c>
      <c r="AF34" s="86" t="s">
        <v>47</v>
      </c>
      <c r="AG34" s="86" t="s">
        <v>246</v>
      </c>
      <c r="AH34" s="86"/>
      <c r="AI34" s="86"/>
      <c r="AJ34" s="88" t="s">
        <v>485</v>
      </c>
      <c r="AK34" s="187">
        <f>1.781092/(261.891872409047+6.4759)</f>
        <v>6.6367581472683455E-3</v>
      </c>
      <c r="AL34" s="86"/>
      <c r="AM34" s="128"/>
      <c r="AN34" s="86"/>
      <c r="AO34" s="103"/>
      <c r="AP34" s="163"/>
      <c r="AQ34" s="109"/>
      <c r="AR34" s="90">
        <v>0.02</v>
      </c>
      <c r="AS34" s="190">
        <v>2.5000000000000001E-2</v>
      </c>
      <c r="AT34" s="134"/>
      <c r="AU34" s="134"/>
      <c r="AV34" s="134"/>
      <c r="AW34" s="134"/>
      <c r="AX34" s="134"/>
      <c r="AY34" s="134"/>
      <c r="AZ34" s="134"/>
      <c r="BA34" s="134"/>
      <c r="BB34" s="134"/>
      <c r="BC34" s="134"/>
      <c r="BD34" s="134"/>
      <c r="BE34" s="134"/>
      <c r="BF34" s="349"/>
      <c r="BG34" s="349"/>
      <c r="BH34" s="349"/>
      <c r="BI34" s="207"/>
      <c r="BJ34" s="207"/>
      <c r="BK34" s="207"/>
      <c r="BL34" s="207"/>
      <c r="BM34" s="207"/>
      <c r="BN34" s="207"/>
      <c r="BO34" s="207"/>
      <c r="BP34" s="207"/>
      <c r="BQ34" s="207"/>
      <c r="BR34" s="235" t="str">
        <f t="shared" ref="BR34:BR35" si="30">+IFERROR(AVERAGE(AT34:BQ34),"")</f>
        <v/>
      </c>
      <c r="BS34" s="389" t="str">
        <f t="shared" ref="BS34:BS35" si="31">+IFERROR(VAR(AT34:BQ34),"")</f>
        <v/>
      </c>
      <c r="BT34" s="387" t="str">
        <f>+IFERROR(STDEV(#REF!)*(1-$BS$1),"")</f>
        <v/>
      </c>
      <c r="BU34" s="388" t="e">
        <f ca="1">+IF(OR(BT34="",OFFSET(#REF!,0,MATCH($B$1,AT$2:BQ$2,0)-1)=""),"",IFERROR(IF(ABS(OFFSET(#REF!,0,MATCH($B$1,AT$2:BQ$2,0)-1)-OFFSET(#REF!,0,MATCH($B$1,AT$2:BQ$2,0)-2))&gt;BT34,"N","µ"),""))</f>
        <v>#REF!</v>
      </c>
      <c r="BV34" s="94" t="s">
        <v>247</v>
      </c>
      <c r="BW34" s="236"/>
      <c r="BY34" s="95"/>
    </row>
    <row r="35" spans="2:77" s="353" customFormat="1" ht="105.75" customHeight="1" thickBot="1">
      <c r="B35" s="446"/>
      <c r="C35" s="407" t="s">
        <v>533</v>
      </c>
      <c r="D35" s="336">
        <v>9</v>
      </c>
      <c r="E35" s="308">
        <v>16</v>
      </c>
      <c r="F35" s="298" t="s">
        <v>62</v>
      </c>
      <c r="G35" s="146"/>
      <c r="H35" s="290" t="s">
        <v>54</v>
      </c>
      <c r="I35" s="318"/>
      <c r="J35" s="308"/>
      <c r="K35" s="146"/>
      <c r="L35" s="290" t="s">
        <v>54</v>
      </c>
      <c r="M35" s="318"/>
      <c r="N35" s="308"/>
      <c r="O35" s="146"/>
      <c r="P35" s="290" t="s">
        <v>54</v>
      </c>
      <c r="Q35" s="318"/>
      <c r="R35" s="308"/>
      <c r="S35" s="146"/>
      <c r="T35" s="312" t="s">
        <v>74</v>
      </c>
      <c r="U35" s="312"/>
      <c r="V35" s="312"/>
      <c r="W35" s="312"/>
      <c r="X35" s="312"/>
      <c r="Y35" s="373"/>
      <c r="Z35" s="84" t="s">
        <v>151</v>
      </c>
      <c r="AA35" s="443" t="s">
        <v>395</v>
      </c>
      <c r="AB35" s="374"/>
      <c r="AC35" s="132" t="s">
        <v>391</v>
      </c>
      <c r="AD35" s="85"/>
      <c r="AE35" s="435" t="s">
        <v>483</v>
      </c>
      <c r="AF35" s="86" t="s">
        <v>47</v>
      </c>
      <c r="AG35" s="86" t="s">
        <v>248</v>
      </c>
      <c r="AH35" s="86"/>
      <c r="AI35" s="86"/>
      <c r="AJ35" s="88" t="s">
        <v>493</v>
      </c>
      <c r="AK35" s="88"/>
      <c r="AL35" s="86"/>
      <c r="AM35" s="128"/>
      <c r="AN35" s="86"/>
      <c r="AO35" s="173"/>
      <c r="AP35" s="174"/>
      <c r="AQ35" s="175"/>
      <c r="AR35" s="140">
        <v>0</v>
      </c>
      <c r="AS35" s="174">
        <v>0</v>
      </c>
      <c r="AT35" s="105"/>
      <c r="AU35" s="105"/>
      <c r="AV35" s="105"/>
      <c r="AW35" s="105"/>
      <c r="AX35" s="105"/>
      <c r="AY35" s="105"/>
      <c r="AZ35" s="105"/>
      <c r="BA35" s="105"/>
      <c r="BB35" s="105"/>
      <c r="BC35" s="105"/>
      <c r="BD35" s="105"/>
      <c r="BE35" s="105"/>
      <c r="BF35" s="348"/>
      <c r="BG35" s="348"/>
      <c r="BH35" s="348"/>
      <c r="BI35" s="204"/>
      <c r="BJ35" s="204"/>
      <c r="BK35" s="204"/>
      <c r="BL35" s="204"/>
      <c r="BM35" s="204"/>
      <c r="BN35" s="204"/>
      <c r="BO35" s="204"/>
      <c r="BP35" s="204"/>
      <c r="BQ35" s="204"/>
      <c r="BR35" s="234" t="str">
        <f t="shared" si="30"/>
        <v/>
      </c>
      <c r="BS35" s="389" t="str">
        <f t="shared" si="31"/>
        <v/>
      </c>
      <c r="BT35" s="387">
        <f>+IFERROR(STDEV(AT36:BQ36)*(1-$BS$1),"")</f>
        <v>0.17593288763724926</v>
      </c>
      <c r="BU35" s="388" t="str">
        <f ca="1">+IF(OR(BT35="",OFFSET(AT36,0,MATCH($B$1,AT$2:BQ$2,0)-1)=""),"",IFERROR(IF(ABS(OFFSET(AT36,0,MATCH($B$1,AT$2:BQ$2,0)-1)-OFFSET(AT36,0,MATCH($B$1,AT$2:BQ$2,0)-2))&gt;BT35,"N","µ"),""))</f>
        <v>N</v>
      </c>
      <c r="BV35" s="94" t="s">
        <v>249</v>
      </c>
      <c r="BW35" s="390" t="s">
        <v>297</v>
      </c>
      <c r="BY35" s="95"/>
    </row>
    <row r="36" spans="2:77" s="353" customFormat="1" ht="57.75" customHeight="1" thickBot="1">
      <c r="B36" s="283" t="s">
        <v>8</v>
      </c>
      <c r="C36" s="345" t="s">
        <v>290</v>
      </c>
      <c r="D36" s="325" t="s">
        <v>21</v>
      </c>
      <c r="E36" s="323" t="s">
        <v>14</v>
      </c>
      <c r="F36" s="298" t="s">
        <v>63</v>
      </c>
      <c r="G36" s="324"/>
      <c r="H36" s="290" t="s">
        <v>55</v>
      </c>
      <c r="I36" s="286"/>
      <c r="J36" s="323"/>
      <c r="K36" s="324"/>
      <c r="L36" s="290" t="s">
        <v>54</v>
      </c>
      <c r="M36" s="286"/>
      <c r="N36" s="323"/>
      <c r="O36" s="324"/>
      <c r="P36" s="290" t="s">
        <v>54</v>
      </c>
      <c r="Q36" s="286"/>
      <c r="R36" s="323"/>
      <c r="S36" s="324"/>
      <c r="T36" s="189"/>
      <c r="U36" s="189"/>
      <c r="V36" s="189"/>
      <c r="W36" s="189"/>
      <c r="X36" s="189"/>
      <c r="Y36" s="373"/>
      <c r="Z36" s="84" t="s">
        <v>151</v>
      </c>
      <c r="AA36" s="94"/>
      <c r="AB36" s="374"/>
      <c r="AC36" s="84" t="s">
        <v>143</v>
      </c>
      <c r="AD36" s="85"/>
      <c r="AE36" s="189" t="s">
        <v>266</v>
      </c>
      <c r="AF36" s="86" t="s">
        <v>264</v>
      </c>
      <c r="AG36" s="86" t="s">
        <v>265</v>
      </c>
      <c r="AH36" s="86"/>
      <c r="AI36" s="86"/>
      <c r="AJ36" s="189" t="s">
        <v>266</v>
      </c>
      <c r="AK36" s="86"/>
      <c r="AL36" s="86"/>
      <c r="AM36" s="128"/>
      <c r="AN36" s="86"/>
      <c r="AO36" s="133"/>
      <c r="AP36" s="176"/>
      <c r="AQ36" s="100" t="s">
        <v>21</v>
      </c>
      <c r="AR36" s="90" t="s">
        <v>21</v>
      </c>
      <c r="AS36" s="188" t="s">
        <v>263</v>
      </c>
      <c r="AT36" s="144">
        <v>3</v>
      </c>
      <c r="AU36" s="144">
        <v>3</v>
      </c>
      <c r="AV36" s="144">
        <v>3</v>
      </c>
      <c r="AW36" s="144">
        <v>3</v>
      </c>
      <c r="AX36" s="144">
        <v>3</v>
      </c>
      <c r="AY36" s="144">
        <v>3</v>
      </c>
      <c r="AZ36" s="144">
        <v>3</v>
      </c>
      <c r="BA36" s="144">
        <v>3</v>
      </c>
      <c r="BB36" s="144">
        <v>3</v>
      </c>
      <c r="BC36" s="144">
        <v>3</v>
      </c>
      <c r="BD36" s="144">
        <v>3</v>
      </c>
      <c r="BE36" s="144">
        <v>3</v>
      </c>
      <c r="BF36" s="146">
        <v>3</v>
      </c>
      <c r="BG36" s="146">
        <v>2</v>
      </c>
      <c r="BH36" s="146">
        <v>2</v>
      </c>
      <c r="BI36" s="204"/>
      <c r="BJ36" s="204"/>
      <c r="BK36" s="204"/>
      <c r="BL36" s="204"/>
      <c r="BM36" s="204"/>
      <c r="BN36" s="204"/>
      <c r="BO36" s="204"/>
      <c r="BP36" s="204"/>
      <c r="BQ36" s="204"/>
      <c r="BR36" s="234">
        <f t="shared" ref="BR36:BR37" si="32">+IFERROR(AVERAGE(AT36:BQ36),"")</f>
        <v>2.8666666666666667</v>
      </c>
      <c r="BS36" s="389">
        <f t="shared" ref="BS36:BS37" si="33">+IFERROR(VAR(AT36:BQ36),"")</f>
        <v>0.12380952380952388</v>
      </c>
      <c r="BT36" s="387">
        <f t="shared" si="28"/>
        <v>0</v>
      </c>
      <c r="BU36" s="388" t="str">
        <f t="shared" ca="1" si="29"/>
        <v>µ</v>
      </c>
      <c r="BV36" s="94"/>
      <c r="BW36" s="390"/>
      <c r="BY36" s="95"/>
    </row>
    <row r="37" spans="2:77" s="353" customFormat="1" ht="57.75" customHeight="1" thickBot="1">
      <c r="B37" s="281" t="s">
        <v>114</v>
      </c>
      <c r="C37" s="253" t="s">
        <v>534</v>
      </c>
      <c r="D37" s="330" t="s">
        <v>21</v>
      </c>
      <c r="E37" s="308">
        <v>0</v>
      </c>
      <c r="F37" s="298" t="s">
        <v>22</v>
      </c>
      <c r="G37" s="146"/>
      <c r="H37" s="290" t="s">
        <v>55</v>
      </c>
      <c r="I37" s="307"/>
      <c r="J37" s="308"/>
      <c r="K37" s="146"/>
      <c r="L37" s="290" t="s">
        <v>54</v>
      </c>
      <c r="M37" s="307"/>
      <c r="N37" s="308"/>
      <c r="O37" s="146"/>
      <c r="P37" s="290" t="s">
        <v>54</v>
      </c>
      <c r="Q37" s="307"/>
      <c r="R37" s="308"/>
      <c r="S37" s="146"/>
      <c r="T37" s="312" t="s">
        <v>53</v>
      </c>
      <c r="U37" s="312"/>
      <c r="V37" s="312"/>
      <c r="W37" s="312"/>
      <c r="X37" s="312"/>
      <c r="Y37" s="222"/>
      <c r="Z37" s="84" t="s">
        <v>151</v>
      </c>
      <c r="AA37" s="86"/>
      <c r="AB37" s="374"/>
      <c r="AC37" s="84" t="s">
        <v>143</v>
      </c>
      <c r="AD37" s="85"/>
      <c r="AE37" s="84" t="s">
        <v>492</v>
      </c>
      <c r="AF37" s="86" t="s">
        <v>250</v>
      </c>
      <c r="AG37" s="86" t="s">
        <v>251</v>
      </c>
      <c r="AH37" s="86"/>
      <c r="AI37" s="86"/>
      <c r="AJ37" s="86" t="s">
        <v>267</v>
      </c>
      <c r="AK37" s="86"/>
      <c r="AL37" s="86"/>
      <c r="AM37" s="128"/>
      <c r="AN37" s="86"/>
      <c r="AO37" s="177">
        <v>0</v>
      </c>
      <c r="AP37" s="176">
        <v>0</v>
      </c>
      <c r="AQ37" s="100">
        <v>0</v>
      </c>
      <c r="AR37" s="90" t="s">
        <v>21</v>
      </c>
      <c r="AS37" s="176">
        <v>0</v>
      </c>
      <c r="AT37" s="144">
        <v>0</v>
      </c>
      <c r="AU37" s="144">
        <v>0</v>
      </c>
      <c r="AV37" s="144">
        <v>0</v>
      </c>
      <c r="AW37" s="144">
        <v>0</v>
      </c>
      <c r="AX37" s="144">
        <v>0</v>
      </c>
      <c r="AY37" s="144">
        <v>0</v>
      </c>
      <c r="AZ37" s="144">
        <v>0</v>
      </c>
      <c r="BA37" s="144">
        <v>0</v>
      </c>
      <c r="BB37" s="144">
        <v>0</v>
      </c>
      <c r="BC37" s="144">
        <v>0</v>
      </c>
      <c r="BD37" s="144">
        <v>0</v>
      </c>
      <c r="BE37" s="144">
        <v>0</v>
      </c>
      <c r="BF37" s="144">
        <v>0</v>
      </c>
      <c r="BG37" s="144">
        <v>0</v>
      </c>
      <c r="BH37" s="144">
        <v>0</v>
      </c>
      <c r="BI37" s="161"/>
      <c r="BJ37" s="161"/>
      <c r="BK37" s="161"/>
      <c r="BL37" s="161"/>
      <c r="BM37" s="161"/>
      <c r="BN37" s="161"/>
      <c r="BO37" s="161"/>
      <c r="BP37" s="161"/>
      <c r="BQ37" s="161"/>
      <c r="BR37" s="234">
        <f t="shared" si="32"/>
        <v>0</v>
      </c>
      <c r="BS37" s="389">
        <f t="shared" si="33"/>
        <v>0</v>
      </c>
      <c r="BT37" s="376" t="str">
        <f>+IFERROR(STDEV(#REF!)*(1-$BS$1),"")</f>
        <v/>
      </c>
      <c r="BU37" s="377" t="e">
        <f ca="1">+IF(OR(BT37="",OFFSET(#REF!,0,MATCH($B$1,AT$2:BQ$2,0)-1)=""),"",IFERROR(IF(ABS(OFFSET(#REF!,0,MATCH($B$1,AT$2:BQ$2,0)-1)-OFFSET(#REF!,0,MATCH($B$1,AT$2:BQ$2,0)-2))&gt;BT37,"N","µ"),""))</f>
        <v>#REF!</v>
      </c>
      <c r="BV37" s="94"/>
      <c r="BW37" s="390"/>
      <c r="BY37" s="95"/>
    </row>
    <row r="41" spans="2:77">
      <c r="B41" s="391"/>
      <c r="C41" s="351" t="s">
        <v>328</v>
      </c>
    </row>
  </sheetData>
  <autoFilter ref="B2:CN37"/>
  <mergeCells count="8">
    <mergeCell ref="B34:B35"/>
    <mergeCell ref="B29:B31"/>
    <mergeCell ref="AC1:BG1"/>
    <mergeCell ref="W1:X1"/>
    <mergeCell ref="B32:B33"/>
    <mergeCell ref="B12:B22"/>
    <mergeCell ref="B3:B11"/>
    <mergeCell ref="B23:B28"/>
  </mergeCells>
  <conditionalFormatting sqref="AY3">
    <cfRule type="containsBlanks" dxfId="357" priority="176">
      <formula>LEN(TRIM(AY3))=0</formula>
    </cfRule>
    <cfRule type="cellIs" dxfId="356" priority="177" operator="lessThanOrEqual">
      <formula>0.106</formula>
    </cfRule>
    <cfRule type="cellIs" dxfId="355" priority="178" operator="between">
      <formula>0.1134</formula>
      <formula>0.1061</formula>
    </cfRule>
    <cfRule type="cellIs" dxfId="354" priority="179" operator="between">
      <formula>0.1208</formula>
      <formula>0.1135</formula>
    </cfRule>
    <cfRule type="cellIs" dxfId="353" priority="180" operator="greaterThan">
      <formula>0.1208</formula>
    </cfRule>
  </conditionalFormatting>
  <conditionalFormatting sqref="AZ3:BD3">
    <cfRule type="containsBlanks" dxfId="352" priority="171">
      <formula>LEN(TRIM(AZ3))=0</formula>
    </cfRule>
    <cfRule type="cellIs" dxfId="351" priority="172" operator="lessThanOrEqual">
      <formula>0.106</formula>
    </cfRule>
    <cfRule type="cellIs" dxfId="350" priority="173" operator="between">
      <formula>0.1134</formula>
      <formula>0.1061</formula>
    </cfRule>
    <cfRule type="cellIs" dxfId="349" priority="174" operator="between">
      <formula>0.1208</formula>
      <formula>0.1135</formula>
    </cfRule>
    <cfRule type="cellIs" dxfId="348" priority="175" operator="greaterThan">
      <formula>0.1208</formula>
    </cfRule>
  </conditionalFormatting>
  <conditionalFormatting sqref="BE3:BF3">
    <cfRule type="containsBlanks" dxfId="347" priority="166">
      <formula>LEN(TRIM(BE3))=0</formula>
    </cfRule>
    <cfRule type="cellIs" dxfId="346" priority="167" operator="lessThanOrEqual">
      <formula>0.106</formula>
    </cfRule>
    <cfRule type="cellIs" dxfId="345" priority="168" operator="between">
      <formula>0.1134</formula>
      <formula>0.1061</formula>
    </cfRule>
    <cfRule type="cellIs" dxfId="344" priority="169" operator="between">
      <formula>0.1208</formula>
      <formula>0.1135</formula>
    </cfRule>
    <cfRule type="cellIs" dxfId="343" priority="170" operator="greaterThan">
      <formula>0.1208</formula>
    </cfRule>
  </conditionalFormatting>
  <conditionalFormatting sqref="AY4">
    <cfRule type="containsBlanks" dxfId="342" priority="161">
      <formula>LEN(TRIM(AY4))=0</formula>
    </cfRule>
    <cfRule type="cellIs" dxfId="341" priority="162" operator="lessThanOrEqual">
      <formula>0.1408</formula>
    </cfRule>
    <cfRule type="cellIs" dxfId="340" priority="163" operator="between">
      <formula>0.1464</formula>
      <formula>0.1409</formula>
    </cfRule>
    <cfRule type="cellIs" dxfId="339" priority="164" operator="between">
      <formula>0.152</formula>
      <formula>0.1465</formula>
    </cfRule>
    <cfRule type="cellIs" dxfId="338" priority="165" operator="greaterThan">
      <formula>0.152</formula>
    </cfRule>
  </conditionalFormatting>
  <conditionalFormatting sqref="AZ4:BD4 BF4">
    <cfRule type="containsBlanks" dxfId="337" priority="156">
      <formula>LEN(TRIM(AZ4))=0</formula>
    </cfRule>
    <cfRule type="cellIs" dxfId="336" priority="157" operator="lessThanOrEqual">
      <formula>0.1408</formula>
    </cfRule>
    <cfRule type="cellIs" dxfId="335" priority="158" operator="between">
      <formula>0.1464</formula>
      <formula>0.1409</formula>
    </cfRule>
    <cfRule type="cellIs" dxfId="334" priority="159" operator="between">
      <formula>0.152</formula>
      <formula>0.1465</formula>
    </cfRule>
    <cfRule type="cellIs" dxfId="333" priority="160" operator="greaterThan">
      <formula>0.152</formula>
    </cfRule>
  </conditionalFormatting>
  <conditionalFormatting sqref="BE4">
    <cfRule type="containsBlanks" dxfId="332" priority="151">
      <formula>LEN(TRIM(BE4))=0</formula>
    </cfRule>
    <cfRule type="cellIs" dxfId="331" priority="152" operator="lessThanOrEqual">
      <formula>0.1408</formula>
    </cfRule>
    <cfRule type="cellIs" dxfId="330" priority="153" operator="between">
      <formula>0.1464</formula>
      <formula>0.1409</formula>
    </cfRule>
    <cfRule type="cellIs" dxfId="329" priority="154" operator="between">
      <formula>0.152</formula>
      <formula>0.1465</formula>
    </cfRule>
    <cfRule type="cellIs" dxfId="328" priority="155" operator="greaterThan">
      <formula>0.152</formula>
    </cfRule>
  </conditionalFormatting>
  <conditionalFormatting sqref="AY5">
    <cfRule type="containsBlanks" dxfId="327" priority="146">
      <formula>LEN(TRIM(AY5))=0</formula>
    </cfRule>
    <cfRule type="cellIs" dxfId="326" priority="147" operator="lessThanOrEqual">
      <formula>0.1608</formula>
    </cfRule>
    <cfRule type="cellIs" dxfId="325" priority="148" operator="between">
      <formula>0.1659</formula>
      <formula>0.1609</formula>
    </cfRule>
    <cfRule type="cellIs" dxfId="324" priority="149" operator="between">
      <formula>0.171</formula>
      <formula>0.166</formula>
    </cfRule>
    <cfRule type="cellIs" dxfId="323" priority="150" operator="greaterThan">
      <formula>0.171</formula>
    </cfRule>
  </conditionalFormatting>
  <conditionalFormatting sqref="AZ5:BD5 BF5">
    <cfRule type="containsBlanks" dxfId="322" priority="141">
      <formula>LEN(TRIM(AZ5))=0</formula>
    </cfRule>
    <cfRule type="cellIs" dxfId="321" priority="142" operator="lessThanOrEqual">
      <formula>0.1608</formula>
    </cfRule>
    <cfRule type="cellIs" dxfId="320" priority="143" operator="between">
      <formula>0.1659</formula>
      <formula>0.1609</formula>
    </cfRule>
    <cfRule type="cellIs" dxfId="319" priority="144" operator="between">
      <formula>0.171</formula>
      <formula>0.166</formula>
    </cfRule>
    <cfRule type="cellIs" dxfId="318" priority="145" operator="greaterThan">
      <formula>0.171</formula>
    </cfRule>
  </conditionalFormatting>
  <conditionalFormatting sqref="BE5">
    <cfRule type="containsBlanks" dxfId="317" priority="136">
      <formula>LEN(TRIM(BE5))=0</formula>
    </cfRule>
    <cfRule type="cellIs" dxfId="316" priority="137" operator="lessThanOrEqual">
      <formula>0.1608</formula>
    </cfRule>
    <cfRule type="cellIs" dxfId="315" priority="138" operator="between">
      <formula>0.1659</formula>
      <formula>0.1609</formula>
    </cfRule>
    <cfRule type="cellIs" dxfId="314" priority="139" operator="between">
      <formula>0.171</formula>
      <formula>0.166</formula>
    </cfRule>
    <cfRule type="cellIs" dxfId="313" priority="140" operator="greaterThan">
      <formula>0.171</formula>
    </cfRule>
  </conditionalFormatting>
  <conditionalFormatting sqref="AY6">
    <cfRule type="containsBlanks" dxfId="312" priority="131">
      <formula>LEN(TRIM(AY6))=0</formula>
    </cfRule>
    <cfRule type="cellIs" dxfId="311" priority="132" operator="lessThanOrEqual">
      <formula>0.0812</formula>
    </cfRule>
    <cfRule type="cellIs" dxfId="310" priority="133" operator="between">
      <formula>0.0851</formula>
      <formula>0.0813</formula>
    </cfRule>
    <cfRule type="cellIs" dxfId="309" priority="134" operator="between">
      <formula>0.089</formula>
      <formula>0.0852</formula>
    </cfRule>
    <cfRule type="cellIs" dxfId="308" priority="135" operator="greaterThan">
      <formula>0.089</formula>
    </cfRule>
  </conditionalFormatting>
  <conditionalFormatting sqref="AZ6:BD6">
    <cfRule type="containsBlanks" dxfId="307" priority="126">
      <formula>LEN(TRIM(AZ6))=0</formula>
    </cfRule>
    <cfRule type="cellIs" dxfId="306" priority="127" operator="lessThanOrEqual">
      <formula>0.0812</formula>
    </cfRule>
    <cfRule type="cellIs" dxfId="305" priority="128" operator="between">
      <formula>0.0851</formula>
      <formula>0.0813</formula>
    </cfRule>
    <cfRule type="cellIs" dxfId="304" priority="129" operator="between">
      <formula>0.089</formula>
      <formula>0.0852</formula>
    </cfRule>
    <cfRule type="cellIs" dxfId="303" priority="130" operator="greaterThan">
      <formula>0.089</formula>
    </cfRule>
  </conditionalFormatting>
  <conditionalFormatting sqref="BE6:BQ6">
    <cfRule type="containsBlanks" dxfId="302" priority="121">
      <formula>LEN(TRIM(BE6))=0</formula>
    </cfRule>
    <cfRule type="cellIs" dxfId="301" priority="122" operator="lessThanOrEqual">
      <formula>0.0812</formula>
    </cfRule>
    <cfRule type="cellIs" dxfId="300" priority="123" operator="between">
      <formula>0.0851</formula>
      <formula>0.0813</formula>
    </cfRule>
    <cfRule type="cellIs" dxfId="299" priority="124" operator="between">
      <formula>0.089</formula>
      <formula>0.0852</formula>
    </cfRule>
    <cfRule type="cellIs" dxfId="298" priority="125" operator="greaterThan">
      <formula>0.089</formula>
    </cfRule>
  </conditionalFormatting>
  <conditionalFormatting sqref="BI7:BQ7">
    <cfRule type="containsBlanks" dxfId="297" priority="111">
      <formula>LEN(TRIM(BI7))=0</formula>
    </cfRule>
    <cfRule type="cellIs" dxfId="296" priority="112" operator="lessThanOrEqual">
      <formula>0.08</formula>
    </cfRule>
    <cfRule type="cellIs" dxfId="295" priority="113" operator="between">
      <formula>0.085</formula>
      <formula>0.0801</formula>
    </cfRule>
    <cfRule type="cellIs" dxfId="294" priority="114" operator="between">
      <formula>0.09</formula>
      <formula>0.0851</formula>
    </cfRule>
    <cfRule type="cellIs" dxfId="293" priority="115" operator="greaterThan">
      <formula>0.09</formula>
    </cfRule>
  </conditionalFormatting>
  <conditionalFormatting sqref="BB30:BD30">
    <cfRule type="containsBlanks" dxfId="292" priority="96">
      <formula>LEN(TRIM(BB30))=0</formula>
    </cfRule>
    <cfRule type="cellIs" dxfId="291" priority="97" operator="lessThanOrEqual">
      <formula>1</formula>
    </cfRule>
    <cfRule type="cellIs" dxfId="290" priority="98" operator="greaterThan">
      <formula>1</formula>
    </cfRule>
  </conditionalFormatting>
  <conditionalFormatting sqref="BE30">
    <cfRule type="containsBlanks" dxfId="289" priority="93">
      <formula>LEN(TRIM(BE30))=0</formula>
    </cfRule>
    <cfRule type="cellIs" dxfId="288" priority="94" operator="lessThanOrEqual">
      <formula>1</formula>
    </cfRule>
    <cfRule type="cellIs" dxfId="287" priority="95" operator="greaterThan">
      <formula>1</formula>
    </cfRule>
  </conditionalFormatting>
  <conditionalFormatting sqref="BG3:BQ5">
    <cfRule type="containsBlanks" dxfId="286" priority="43">
      <formula>LEN(TRIM(BG3))=0</formula>
    </cfRule>
    <cfRule type="cellIs" dxfId="285" priority="44" operator="lessThanOrEqual">
      <formula>0.0812</formula>
    </cfRule>
    <cfRule type="cellIs" dxfId="284" priority="45" operator="between">
      <formula>0.0851</formula>
      <formula>0.0813</formula>
    </cfRule>
    <cfRule type="cellIs" dxfId="283" priority="46" operator="between">
      <formula>0.089</formula>
      <formula>0.0852</formula>
    </cfRule>
    <cfRule type="cellIs" dxfId="282" priority="47" operator="greaterThan">
      <formula>0.089</formula>
    </cfRule>
  </conditionalFormatting>
  <conditionalFormatting sqref="BF30">
    <cfRule type="containsBlanks" dxfId="281" priority="40">
      <formula>LEN(TRIM(BF30))=0</formula>
    </cfRule>
    <cfRule type="cellIs" dxfId="280" priority="41" operator="lessThanOrEqual">
      <formula>1</formula>
    </cfRule>
    <cfRule type="cellIs" dxfId="279" priority="42" operator="greaterThan">
      <formula>1</formula>
    </cfRule>
  </conditionalFormatting>
  <conditionalFormatting sqref="BG30">
    <cfRule type="containsBlanks" dxfId="278" priority="27">
      <formula>LEN(TRIM(BG30))=0</formula>
    </cfRule>
    <cfRule type="cellIs" dxfId="277" priority="28" operator="lessThanOrEqual">
      <formula>1</formula>
    </cfRule>
    <cfRule type="cellIs" dxfId="276" priority="29" operator="greaterThan">
      <formula>1</formula>
    </cfRule>
  </conditionalFormatting>
  <conditionalFormatting sqref="BH30">
    <cfRule type="containsBlanks" dxfId="275" priority="24">
      <formula>LEN(TRIM(BH30))=0</formula>
    </cfRule>
    <cfRule type="cellIs" dxfId="274" priority="25" operator="lessThanOrEqual">
      <formula>1</formula>
    </cfRule>
    <cfRule type="cellIs" dxfId="273" priority="26" operator="greaterThan">
      <formula>1</formula>
    </cfRule>
  </conditionalFormatting>
  <pageMargins left="0.70866141732283505" right="0.70866141732283505" top="0.74803149606299202" bottom="0.74803149606299202" header="0.31496062992126" footer="0.31496062992126"/>
  <pageSetup paperSize="5" scale="36" fitToHeight="10" orientation="landscape" r:id="rId1"/>
  <rowBreaks count="1" manualBreakCount="1">
    <brk id="28" min="1" max="42"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N40"/>
  <sheetViews>
    <sheetView showGridLines="0" tabSelected="1" zoomScale="70" zoomScaleNormal="70" workbookViewId="0">
      <pane xSplit="24" ySplit="2" topLeftCell="AJ24" activePane="bottomRight" state="frozen"/>
      <selection pane="topRight" activeCell="Y1" sqref="Y1"/>
      <selection pane="bottomLeft" activeCell="A3" sqref="A3"/>
      <selection pane="bottomRight" activeCell="AT28" sqref="AT28"/>
    </sheetView>
  </sheetViews>
  <sheetFormatPr defaultRowHeight="15" outlineLevelCol="2"/>
  <cols>
    <col min="1" max="1" width="5" style="352" customWidth="1"/>
    <col min="2" max="2" width="13.5703125" style="352" customWidth="1"/>
    <col min="3" max="3" width="31.28515625" style="351" customWidth="1"/>
    <col min="4" max="4" width="15" style="352" hidden="1" customWidth="1" outlineLevel="2"/>
    <col min="5" max="5" width="13.7109375" style="352" hidden="1" customWidth="1" outlineLevel="2"/>
    <col min="6" max="6" width="13.7109375" style="353" hidden="1" customWidth="1" outlineLevel="2" collapsed="1"/>
    <col min="7" max="7" width="2.28515625" style="354" hidden="1" customWidth="1" outlineLevel="1"/>
    <col min="8" max="8" width="13.7109375" style="31" hidden="1" customWidth="1" outlineLevel="1"/>
    <col min="9" max="9" width="15" style="352" hidden="1" customWidth="1" outlineLevel="2"/>
    <col min="10" max="10" width="13.7109375" style="352" hidden="1" customWidth="1" outlineLevel="2"/>
    <col min="11" max="11" width="2.28515625" style="354" hidden="1" customWidth="1" outlineLevel="2"/>
    <col min="12" max="12" width="13.7109375" style="31" hidden="1" customWidth="1" outlineLevel="1"/>
    <col min="13" max="13" width="15" style="352" hidden="1" customWidth="1" outlineLevel="2"/>
    <col min="14" max="14" width="13.7109375" style="352" hidden="1" customWidth="1" outlineLevel="2"/>
    <col min="15" max="15" width="2.28515625" style="354" hidden="1" customWidth="1" outlineLevel="1"/>
    <col min="16" max="16" width="13.28515625" style="31" hidden="1" customWidth="1" outlineLevel="1"/>
    <col min="17" max="17" width="15" style="352" hidden="1" customWidth="1" outlineLevel="2"/>
    <col min="18" max="18" width="13.7109375" style="352" hidden="1" customWidth="1" outlineLevel="2"/>
    <col min="19" max="19" width="2.28515625" style="354" hidden="1" customWidth="1" outlineLevel="1"/>
    <col min="20" max="20" width="17" style="355" hidden="1" customWidth="1" collapsed="1"/>
    <col min="21" max="21" width="27" style="355" hidden="1" customWidth="1"/>
    <col min="22" max="22" width="22.7109375" style="355" hidden="1" customWidth="1"/>
    <col min="23" max="24" width="9.85546875" style="355" hidden="1" customWidth="1"/>
    <col min="25" max="25" width="42.140625" style="355" hidden="1" customWidth="1"/>
    <col min="26" max="26" width="14.42578125" style="356" customWidth="1"/>
    <col min="27" max="27" width="43.28515625" style="357" customWidth="1"/>
    <col min="28" max="28" width="11.85546875" style="83" hidden="1" customWidth="1"/>
    <col min="29" max="29" width="12.5703125" style="353" hidden="1" customWidth="1"/>
    <col min="30" max="30" width="9.140625" style="353" hidden="1" customWidth="1"/>
    <col min="31" max="31" width="41.7109375" style="353" hidden="1" customWidth="1"/>
    <col min="32" max="32" width="17.42578125" style="353" hidden="1" customWidth="1"/>
    <col min="33" max="33" width="18" style="353" hidden="1" customWidth="1"/>
    <col min="34" max="34" width="18.7109375" style="353" hidden="1" customWidth="1"/>
    <col min="35" max="35" width="9.140625" style="353" hidden="1" customWidth="1"/>
    <col min="36" max="36" width="38.42578125" style="353" customWidth="1"/>
    <col min="37" max="37" width="16.42578125" style="353" hidden="1" customWidth="1"/>
    <col min="38" max="38" width="27.7109375" style="353" hidden="1" customWidth="1"/>
    <col min="39" max="39" width="51" style="353" hidden="1" customWidth="1"/>
    <col min="40" max="40" width="29.5703125" style="353" hidden="1" customWidth="1"/>
    <col min="41" max="41" width="18.7109375" style="353" hidden="1" customWidth="1"/>
    <col min="42" max="42" width="19.5703125" style="353" hidden="1" customWidth="1"/>
    <col min="43" max="43" width="16.28515625" style="353" hidden="1" customWidth="1"/>
    <col min="44" max="44" width="14.5703125" style="353" customWidth="1"/>
    <col min="45" max="45" width="14.28515625" style="353" customWidth="1"/>
    <col min="46" max="47" width="10.85546875" style="353" customWidth="1" outlineLevel="1"/>
    <col min="48" max="48" width="10.85546875" style="353" customWidth="1"/>
    <col min="49" max="50" width="10.85546875" style="353" customWidth="1" outlineLevel="1"/>
    <col min="51" max="51" width="10.85546875" style="353" customWidth="1"/>
    <col min="52" max="53" width="10.85546875" style="353" customWidth="1" outlineLevel="1"/>
    <col min="54" max="54" width="10.85546875" style="353" customWidth="1"/>
    <col min="55" max="56" width="10.85546875" style="353" customWidth="1" outlineLevel="1"/>
    <col min="57" max="60" width="10.85546875" style="353" customWidth="1"/>
    <col min="61" max="69" width="9.140625" style="353" hidden="1" customWidth="1"/>
    <col min="70" max="70" width="16.85546875" style="353" hidden="1" customWidth="1"/>
    <col min="71" max="71" width="17.28515625" style="353" hidden="1" customWidth="1"/>
    <col min="72" max="72" width="18.28515625" style="353" hidden="1" customWidth="1"/>
    <col min="73" max="73" width="12.85546875" style="353" hidden="1" customWidth="1"/>
    <col min="74" max="74" width="47.5703125" style="353" hidden="1" customWidth="1"/>
    <col min="75" max="75" width="23.5703125" style="363" hidden="1" customWidth="1"/>
    <col min="76" max="76" width="0" style="352" hidden="1" customWidth="1"/>
    <col min="77" max="77" width="30.7109375" style="353" hidden="1" customWidth="1"/>
    <col min="78" max="82" width="0" style="353" hidden="1" customWidth="1"/>
    <col min="83" max="92" width="9.140625" style="353"/>
    <col min="93" max="16384" width="9.140625" style="352"/>
  </cols>
  <sheetData>
    <row r="1" spans="2:77" ht="15.75" thickBot="1">
      <c r="B1" s="350">
        <v>42401</v>
      </c>
      <c r="W1" s="452" t="s">
        <v>76</v>
      </c>
      <c r="X1" s="453"/>
      <c r="AC1" s="450" t="s">
        <v>308</v>
      </c>
      <c r="AD1" s="451"/>
      <c r="AE1" s="451"/>
      <c r="AF1" s="451"/>
      <c r="AG1" s="451"/>
      <c r="AH1" s="451"/>
      <c r="AI1" s="451"/>
      <c r="AJ1" s="451"/>
      <c r="AK1" s="451"/>
      <c r="AL1" s="451"/>
      <c r="AM1" s="451"/>
      <c r="AN1" s="451"/>
      <c r="AO1" s="451"/>
      <c r="AP1" s="451"/>
      <c r="AQ1" s="451"/>
      <c r="AR1" s="451"/>
      <c r="AS1" s="451"/>
      <c r="AT1" s="451"/>
      <c r="AU1" s="451"/>
      <c r="AV1" s="451"/>
      <c r="AW1" s="451"/>
      <c r="AX1" s="451"/>
      <c r="AY1" s="451"/>
      <c r="AZ1" s="451"/>
      <c r="BA1" s="451"/>
      <c r="BB1" s="451"/>
      <c r="BC1" s="451"/>
      <c r="BD1" s="451"/>
      <c r="BE1" s="451"/>
      <c r="BF1" s="451"/>
      <c r="BG1" s="451"/>
      <c r="BH1" s="358"/>
      <c r="BI1" s="358"/>
      <c r="BJ1" s="358"/>
      <c r="BK1" s="358"/>
      <c r="BL1" s="358"/>
      <c r="BM1" s="358"/>
      <c r="BN1" s="358"/>
      <c r="BO1" s="358"/>
      <c r="BP1" s="358"/>
      <c r="BQ1" s="358"/>
      <c r="BR1" s="359" t="s">
        <v>270</v>
      </c>
      <c r="BS1" s="360">
        <v>0.5</v>
      </c>
      <c r="BT1" s="361"/>
      <c r="BU1" s="362"/>
    </row>
    <row r="2" spans="2:77" s="45" customFormat="1" ht="60.75" customHeight="1" thickBot="1">
      <c r="B2" s="239"/>
      <c r="C2" s="284" t="s">
        <v>1</v>
      </c>
      <c r="D2" s="240" t="s">
        <v>77</v>
      </c>
      <c r="E2" s="43" t="s">
        <v>78</v>
      </c>
      <c r="F2" s="44" t="s">
        <v>64</v>
      </c>
      <c r="G2" s="47"/>
      <c r="H2" s="44" t="s">
        <v>58</v>
      </c>
      <c r="I2" s="42" t="s">
        <v>79</v>
      </c>
      <c r="J2" s="43" t="s">
        <v>80</v>
      </c>
      <c r="K2" s="47"/>
      <c r="L2" s="44" t="s">
        <v>96</v>
      </c>
      <c r="M2" s="42" t="s">
        <v>79</v>
      </c>
      <c r="N2" s="43" t="s">
        <v>80</v>
      </c>
      <c r="O2" s="47"/>
      <c r="P2" s="44" t="s">
        <v>97</v>
      </c>
      <c r="Q2" s="42" t="s">
        <v>79</v>
      </c>
      <c r="R2" s="43" t="s">
        <v>80</v>
      </c>
      <c r="S2" s="47"/>
      <c r="T2" s="44" t="s">
        <v>27</v>
      </c>
      <c r="U2" s="44" t="s">
        <v>90</v>
      </c>
      <c r="V2" s="44" t="s">
        <v>70</v>
      </c>
      <c r="W2" s="44" t="s">
        <v>38</v>
      </c>
      <c r="X2" s="44" t="s">
        <v>39</v>
      </c>
      <c r="Y2" s="285" t="s">
        <v>326</v>
      </c>
      <c r="Z2" s="364" t="s">
        <v>142</v>
      </c>
      <c r="AA2" s="180" t="s">
        <v>258</v>
      </c>
      <c r="AB2" s="60"/>
      <c r="AC2" s="365" t="s">
        <v>130</v>
      </c>
      <c r="AD2" s="365" t="s">
        <v>131</v>
      </c>
      <c r="AE2" s="366" t="s">
        <v>132</v>
      </c>
      <c r="AF2" s="365" t="s">
        <v>64</v>
      </c>
      <c r="AG2" s="365" t="s">
        <v>133</v>
      </c>
      <c r="AH2" s="365" t="s">
        <v>134</v>
      </c>
      <c r="AI2" s="365" t="s">
        <v>135</v>
      </c>
      <c r="AJ2" s="367" t="s">
        <v>136</v>
      </c>
      <c r="AK2" s="367" t="s">
        <v>137</v>
      </c>
      <c r="AL2" s="366" t="s">
        <v>138</v>
      </c>
      <c r="AM2" s="366" t="s">
        <v>139</v>
      </c>
      <c r="AN2" s="366" t="s">
        <v>140</v>
      </c>
      <c r="AO2" s="77" t="s">
        <v>77</v>
      </c>
      <c r="AP2" s="78" t="s">
        <v>78</v>
      </c>
      <c r="AQ2" s="368" t="s">
        <v>141</v>
      </c>
      <c r="AR2" s="77" t="s">
        <v>79</v>
      </c>
      <c r="AS2" s="80" t="s">
        <v>80</v>
      </c>
      <c r="AT2" s="369">
        <v>42035</v>
      </c>
      <c r="AU2" s="365">
        <v>42063</v>
      </c>
      <c r="AV2" s="365">
        <v>42094</v>
      </c>
      <c r="AW2" s="365">
        <v>42124</v>
      </c>
      <c r="AX2" s="365">
        <v>42155</v>
      </c>
      <c r="AY2" s="365">
        <v>42185</v>
      </c>
      <c r="AZ2" s="365">
        <v>42216</v>
      </c>
      <c r="BA2" s="365">
        <v>42247</v>
      </c>
      <c r="BB2" s="365">
        <v>42277</v>
      </c>
      <c r="BC2" s="365">
        <v>42308</v>
      </c>
      <c r="BD2" s="365">
        <v>42338</v>
      </c>
      <c r="BE2" s="365">
        <v>42369</v>
      </c>
      <c r="BF2" s="365">
        <v>42400</v>
      </c>
      <c r="BG2" s="370">
        <v>42401</v>
      </c>
      <c r="BH2" s="370">
        <v>42430</v>
      </c>
      <c r="BI2" s="370">
        <v>42461</v>
      </c>
      <c r="BJ2" s="370">
        <v>42491</v>
      </c>
      <c r="BK2" s="370">
        <v>42522</v>
      </c>
      <c r="BL2" s="370">
        <v>42552</v>
      </c>
      <c r="BM2" s="370">
        <v>42583</v>
      </c>
      <c r="BN2" s="370">
        <v>42614</v>
      </c>
      <c r="BO2" s="370">
        <v>42644</v>
      </c>
      <c r="BP2" s="370">
        <v>42675</v>
      </c>
      <c r="BQ2" s="370">
        <v>42705</v>
      </c>
      <c r="BR2" s="371" t="s">
        <v>271</v>
      </c>
      <c r="BS2" s="371" t="s">
        <v>272</v>
      </c>
      <c r="BT2" s="371" t="s">
        <v>273</v>
      </c>
      <c r="BU2" s="372" t="s">
        <v>274</v>
      </c>
      <c r="BV2" s="83" t="s">
        <v>259</v>
      </c>
      <c r="BW2" s="210" t="s">
        <v>276</v>
      </c>
    </row>
    <row r="3" spans="2:77" s="353" customFormat="1" ht="57.75" customHeight="1">
      <c r="B3" s="447" t="s">
        <v>0</v>
      </c>
      <c r="C3" s="338" t="s">
        <v>10</v>
      </c>
      <c r="D3" s="325">
        <v>0.11</v>
      </c>
      <c r="E3" s="287">
        <v>0.105</v>
      </c>
      <c r="F3" s="288" t="s">
        <v>95</v>
      </c>
      <c r="G3" s="289"/>
      <c r="H3" s="290" t="s">
        <v>54</v>
      </c>
      <c r="I3" s="286"/>
      <c r="J3" s="287"/>
      <c r="K3" s="289"/>
      <c r="L3" s="290" t="s">
        <v>54</v>
      </c>
      <c r="M3" s="286"/>
      <c r="N3" s="287"/>
      <c r="O3" s="289"/>
      <c r="P3" s="290" t="s">
        <v>54</v>
      </c>
      <c r="Q3" s="286"/>
      <c r="R3" s="287"/>
      <c r="S3" s="289"/>
      <c r="T3" s="291" t="s">
        <v>71</v>
      </c>
      <c r="U3" s="291"/>
      <c r="V3" s="291"/>
      <c r="W3" s="291"/>
      <c r="X3" s="291"/>
      <c r="Y3" s="373"/>
      <c r="Z3" s="84" t="s">
        <v>151</v>
      </c>
      <c r="AA3" s="88"/>
      <c r="AB3" s="374"/>
      <c r="AC3" s="84" t="s">
        <v>143</v>
      </c>
      <c r="AD3" s="85" t="s">
        <v>318</v>
      </c>
      <c r="AE3" s="84" t="s">
        <v>145</v>
      </c>
      <c r="AF3" s="86" t="s">
        <v>446</v>
      </c>
      <c r="AG3" s="86" t="s">
        <v>146</v>
      </c>
      <c r="AH3" s="86" t="s">
        <v>147</v>
      </c>
      <c r="AI3" s="86" t="s">
        <v>148</v>
      </c>
      <c r="AJ3" s="86" t="s">
        <v>455</v>
      </c>
      <c r="AK3" s="87"/>
      <c r="AL3" s="88" t="s">
        <v>149</v>
      </c>
      <c r="AM3" s="89" t="s">
        <v>150</v>
      </c>
      <c r="AN3" s="88"/>
      <c r="AO3" s="90">
        <v>0.1208</v>
      </c>
      <c r="AP3" s="190">
        <v>0.106</v>
      </c>
      <c r="AQ3" s="91"/>
      <c r="AR3" s="90">
        <v>0.13009999999999999</v>
      </c>
      <c r="AS3" s="190">
        <v>0.1101</v>
      </c>
      <c r="AT3" s="92">
        <v>0.25492001237487899</v>
      </c>
      <c r="AU3" s="92">
        <v>0.25474324371517088</v>
      </c>
      <c r="AV3" s="92">
        <v>0.2620364924573983</v>
      </c>
      <c r="AW3" s="92">
        <v>0.2614004377442079</v>
      </c>
      <c r="AX3" s="92">
        <v>0.25799632155091168</v>
      </c>
      <c r="AY3" s="93">
        <v>0.25688004643261048</v>
      </c>
      <c r="AZ3" s="93">
        <v>0.25789999974938532</v>
      </c>
      <c r="BA3" s="93">
        <v>0.26036566170979902</v>
      </c>
      <c r="BB3" s="93">
        <v>0.27249536248736506</v>
      </c>
      <c r="BC3" s="93">
        <v>0.27384730407947383</v>
      </c>
      <c r="BD3" s="93">
        <v>0.27888294901432192</v>
      </c>
      <c r="BE3" s="93">
        <v>0.27612172940898244</v>
      </c>
      <c r="BF3" s="93">
        <v>0.28124164279917196</v>
      </c>
      <c r="BG3" s="93">
        <v>0.28191391303799795</v>
      </c>
      <c r="BH3" s="93">
        <v>0.28207302406799167</v>
      </c>
      <c r="BI3" s="93"/>
      <c r="BJ3" s="93"/>
      <c r="BK3" s="93"/>
      <c r="BL3" s="93"/>
      <c r="BM3" s="93"/>
      <c r="BN3" s="93"/>
      <c r="BO3" s="93"/>
      <c r="BP3" s="93"/>
      <c r="BQ3" s="93"/>
      <c r="BR3" s="199">
        <f>+IFERROR(AVERAGE(AT3:BQ3),"")</f>
        <v>0.26752120937531121</v>
      </c>
      <c r="BS3" s="375">
        <f>+IFERROR(VAR(AT3:BQ3),"")</f>
        <v>1.1516536999701241E-4</v>
      </c>
      <c r="BT3" s="376">
        <f>+IFERROR(STDEV(AT3:BQ3)*(1-$BS$1),"")</f>
        <v>5.3657564703639971E-3</v>
      </c>
      <c r="BU3" s="377" t="str">
        <f ca="1">+IF(OR(BT3="",OFFSET(AT3,0,MATCH($B$1,AT$2:BQ$2,0)-1)=""),"",IFERROR(IF(ABS(OFFSET(AT3,0,MATCH($B$1,AT$2:BQ$2,0)-1)-OFFSET(AT3,0,MATCH($B$1,AT$2:BQ$2,0)-2))&gt;BT3,"N","µ"),""))</f>
        <v>µ</v>
      </c>
      <c r="BV3" s="94"/>
      <c r="BW3" s="378"/>
      <c r="BY3" s="95"/>
    </row>
    <row r="4" spans="2:77" s="353" customFormat="1" ht="57.75" customHeight="1">
      <c r="B4" s="448"/>
      <c r="C4" s="338" t="s">
        <v>2</v>
      </c>
      <c r="D4" s="325">
        <v>0.125</v>
      </c>
      <c r="E4" s="287">
        <v>0.12</v>
      </c>
      <c r="F4" s="288" t="s">
        <v>95</v>
      </c>
      <c r="G4" s="289"/>
      <c r="H4" s="290" t="s">
        <v>54</v>
      </c>
      <c r="I4" s="286"/>
      <c r="J4" s="287"/>
      <c r="K4" s="289"/>
      <c r="L4" s="290" t="s">
        <v>54</v>
      </c>
      <c r="M4" s="286"/>
      <c r="N4" s="287"/>
      <c r="O4" s="289"/>
      <c r="P4" s="290" t="s">
        <v>54</v>
      </c>
      <c r="Q4" s="286"/>
      <c r="R4" s="287"/>
      <c r="S4" s="289"/>
      <c r="T4" s="291"/>
      <c r="U4" s="291"/>
      <c r="V4" s="291"/>
      <c r="W4" s="291"/>
      <c r="X4" s="291"/>
      <c r="Y4" s="373"/>
      <c r="Z4" s="84" t="s">
        <v>151</v>
      </c>
      <c r="AA4" s="88"/>
      <c r="AB4" s="374"/>
      <c r="AC4" s="84" t="s">
        <v>143</v>
      </c>
      <c r="AD4" s="85" t="s">
        <v>319</v>
      </c>
      <c r="AE4" s="84" t="s">
        <v>153</v>
      </c>
      <c r="AF4" s="86" t="s">
        <v>446</v>
      </c>
      <c r="AG4" s="86" t="s">
        <v>146</v>
      </c>
      <c r="AH4" s="86" t="s">
        <v>147</v>
      </c>
      <c r="AI4" s="86" t="s">
        <v>148</v>
      </c>
      <c r="AJ4" s="86" t="s">
        <v>455</v>
      </c>
      <c r="AK4" s="93"/>
      <c r="AL4" s="88" t="s">
        <v>149</v>
      </c>
      <c r="AM4" s="89" t="s">
        <v>150</v>
      </c>
      <c r="AN4" s="88"/>
      <c r="AO4" s="90">
        <v>0.152</v>
      </c>
      <c r="AP4" s="190">
        <v>0.14080000000000001</v>
      </c>
      <c r="AQ4" s="91"/>
      <c r="AR4" s="90">
        <v>0.15820000000000001</v>
      </c>
      <c r="AS4" s="190">
        <v>0.13819999999999999</v>
      </c>
      <c r="AT4" s="92">
        <v>0.27363202698521999</v>
      </c>
      <c r="AU4" s="92">
        <v>0.27345180425357835</v>
      </c>
      <c r="AV4" s="92">
        <v>0.28120995224428391</v>
      </c>
      <c r="AW4" s="92">
        <v>0.2804829068325162</v>
      </c>
      <c r="AX4" s="92">
        <v>0.27679900649761241</v>
      </c>
      <c r="AY4" s="93">
        <v>0.27556269548278456</v>
      </c>
      <c r="AZ4" s="93">
        <v>0.27669609717832983</v>
      </c>
      <c r="BA4" s="93">
        <v>0.27931027425683563</v>
      </c>
      <c r="BB4" s="93">
        <v>0.29228715994616306</v>
      </c>
      <c r="BC4" s="93">
        <v>0.29373165668472168</v>
      </c>
      <c r="BD4" s="93">
        <v>0.29914097778656745</v>
      </c>
      <c r="BE4" s="93">
        <v>0.29627738481714788</v>
      </c>
      <c r="BF4" s="93">
        <v>0.28124164279917196</v>
      </c>
      <c r="BG4" s="93">
        <v>0.28191391303799795</v>
      </c>
      <c r="BH4" s="93">
        <v>0.28207302406799167</v>
      </c>
      <c r="BI4" s="93"/>
      <c r="BJ4" s="93"/>
      <c r="BK4" s="93"/>
      <c r="BL4" s="93"/>
      <c r="BM4" s="93"/>
      <c r="BN4" s="93"/>
      <c r="BO4" s="93"/>
      <c r="BP4" s="93"/>
      <c r="BQ4" s="93"/>
      <c r="BR4" s="199">
        <f t="shared" ref="BR4:BR22" si="0">+IFERROR(AVERAGE(AT4:BQ4),"")</f>
        <v>0.2829207015247282</v>
      </c>
      <c r="BS4" s="375">
        <f t="shared" ref="BS4:BS22" si="1">+IFERROR(VAR(AT4:BQ4),"")</f>
        <v>6.9918739091888362E-5</v>
      </c>
      <c r="BT4" s="376">
        <f t="shared" ref="BT4:BT22" si="2">+IFERROR(STDEV(AT4:BQ4)*(1-$BS$1),"")</f>
        <v>4.1808712935191023E-3</v>
      </c>
      <c r="BU4" s="377" t="str">
        <f t="shared" ref="BU4:BU21" ca="1" si="3">+IF(OR(BT4="",OFFSET(AT4,0,MATCH($B$1,AT$2:BQ$2,0)-1)=""),"",IFERROR(IF(ABS(OFFSET(AT4,0,MATCH($B$1,AT$2:BQ$2,0)-1)-OFFSET(AT4,0,MATCH($B$1,AT$2:BQ$2,0)-2))&gt;BT4,"N","µ"),""))</f>
        <v>µ</v>
      </c>
      <c r="BV4" s="94"/>
      <c r="BW4" s="378"/>
      <c r="BY4" s="95"/>
    </row>
    <row r="5" spans="2:77" s="353" customFormat="1" ht="57.75" customHeight="1">
      <c r="B5" s="448"/>
      <c r="C5" s="346" t="s">
        <v>3</v>
      </c>
      <c r="D5" s="325">
        <v>0.14499999999999999</v>
      </c>
      <c r="E5" s="287">
        <v>0.14000000000000001</v>
      </c>
      <c r="F5" s="288" t="s">
        <v>95</v>
      </c>
      <c r="G5" s="289"/>
      <c r="H5" s="290" t="s">
        <v>54</v>
      </c>
      <c r="I5" s="286"/>
      <c r="J5" s="287"/>
      <c r="K5" s="289"/>
      <c r="L5" s="290" t="s">
        <v>54</v>
      </c>
      <c r="M5" s="286"/>
      <c r="N5" s="287"/>
      <c r="O5" s="289"/>
      <c r="P5" s="290" t="s">
        <v>54</v>
      </c>
      <c r="Q5" s="286"/>
      <c r="R5" s="287"/>
      <c r="S5" s="289"/>
      <c r="T5" s="292" t="s">
        <v>49</v>
      </c>
      <c r="U5" s="292" t="s">
        <v>59</v>
      </c>
      <c r="V5" s="292" t="s">
        <v>31</v>
      </c>
      <c r="W5" s="292" t="s">
        <v>37</v>
      </c>
      <c r="X5" s="292" t="s">
        <v>40</v>
      </c>
      <c r="Y5" s="373"/>
      <c r="Z5" s="84" t="s">
        <v>151</v>
      </c>
      <c r="AA5" s="88"/>
      <c r="AB5" s="374"/>
      <c r="AC5" s="84" t="s">
        <v>143</v>
      </c>
      <c r="AD5" s="85" t="s">
        <v>320</v>
      </c>
      <c r="AE5" s="84" t="s">
        <v>155</v>
      </c>
      <c r="AF5" s="86" t="s">
        <v>446</v>
      </c>
      <c r="AG5" s="86" t="s">
        <v>146</v>
      </c>
      <c r="AH5" s="86" t="s">
        <v>147</v>
      </c>
      <c r="AI5" s="86" t="s">
        <v>148</v>
      </c>
      <c r="AJ5" s="86" t="s">
        <v>455</v>
      </c>
      <c r="AK5" s="87"/>
      <c r="AL5" s="88" t="s">
        <v>156</v>
      </c>
      <c r="AM5" s="89" t="s">
        <v>157</v>
      </c>
      <c r="AN5" s="88"/>
      <c r="AO5" s="90">
        <v>0.17100000000000001</v>
      </c>
      <c r="AP5" s="190">
        <v>0.1608</v>
      </c>
      <c r="AQ5" s="91"/>
      <c r="AR5" s="90">
        <v>0.17829999999999999</v>
      </c>
      <c r="AS5" s="190">
        <v>0.1583</v>
      </c>
      <c r="AT5" s="92">
        <v>0.2862139856092133</v>
      </c>
      <c r="AU5" s="92">
        <v>0.28603892378381884</v>
      </c>
      <c r="AV5" s="92">
        <v>0.29380031724525835</v>
      </c>
      <c r="AW5" s="92">
        <v>0.29307324528682094</v>
      </c>
      <c r="AX5" s="92">
        <v>0.28939239122741589</v>
      </c>
      <c r="AY5" s="93">
        <v>0.28815181171875393</v>
      </c>
      <c r="AZ5" s="93">
        <v>0.28929198860204652</v>
      </c>
      <c r="BA5" s="93">
        <v>0.29190971950242206</v>
      </c>
      <c r="BB5" s="93">
        <v>0.30490211225747083</v>
      </c>
      <c r="BC5" s="93">
        <v>0.30635689496554702</v>
      </c>
      <c r="BD5" s="93">
        <v>0.3117724334682121</v>
      </c>
      <c r="BE5" s="93">
        <v>0.30890288736482274</v>
      </c>
      <c r="BF5" s="93">
        <v>0.29387059513785363</v>
      </c>
      <c r="BG5" s="93">
        <v>0.29454605224288016</v>
      </c>
      <c r="BH5" s="93">
        <v>0.29471424484238584</v>
      </c>
      <c r="BI5" s="93"/>
      <c r="BJ5" s="93"/>
      <c r="BK5" s="93"/>
      <c r="BL5" s="93"/>
      <c r="BM5" s="93"/>
      <c r="BN5" s="93"/>
      <c r="BO5" s="93"/>
      <c r="BP5" s="93"/>
      <c r="BQ5" s="93"/>
      <c r="BR5" s="199">
        <f t="shared" si="0"/>
        <v>0.29552917355032815</v>
      </c>
      <c r="BS5" s="375">
        <f t="shared" si="1"/>
        <v>7.0151381927481462E-5</v>
      </c>
      <c r="BT5" s="376">
        <f t="shared" si="2"/>
        <v>4.1878210900025761E-3</v>
      </c>
      <c r="BU5" s="377" t="str">
        <f t="shared" ca="1" si="3"/>
        <v>µ</v>
      </c>
      <c r="BV5" s="94"/>
      <c r="BW5" s="378"/>
      <c r="BY5" s="95"/>
    </row>
    <row r="6" spans="2:77" s="353" customFormat="1" ht="57.75" customHeight="1">
      <c r="B6" s="448"/>
      <c r="C6" s="338" t="s">
        <v>18</v>
      </c>
      <c r="D6" s="325">
        <v>0.10249999999999999</v>
      </c>
      <c r="E6" s="287">
        <v>9.7500000000000003E-2</v>
      </c>
      <c r="F6" s="288" t="s">
        <v>95</v>
      </c>
      <c r="G6" s="289"/>
      <c r="H6" s="290" t="s">
        <v>54</v>
      </c>
      <c r="I6" s="286"/>
      <c r="J6" s="287"/>
      <c r="K6" s="289"/>
      <c r="L6" s="290" t="s">
        <v>54</v>
      </c>
      <c r="M6" s="286"/>
      <c r="N6" s="287"/>
      <c r="O6" s="289"/>
      <c r="P6" s="290" t="s">
        <v>54</v>
      </c>
      <c r="Q6" s="286"/>
      <c r="R6" s="287"/>
      <c r="S6" s="289"/>
      <c r="T6" s="291"/>
      <c r="U6" s="291"/>
      <c r="V6" s="291"/>
      <c r="W6" s="291"/>
      <c r="X6" s="291"/>
      <c r="Y6" s="373"/>
      <c r="Z6" s="84" t="s">
        <v>151</v>
      </c>
      <c r="AA6" s="88"/>
      <c r="AB6" s="374"/>
      <c r="AC6" s="84" t="s">
        <v>143</v>
      </c>
      <c r="AD6" s="85" t="s">
        <v>321</v>
      </c>
      <c r="AE6" s="84" t="s">
        <v>159</v>
      </c>
      <c r="AF6" s="86" t="s">
        <v>446</v>
      </c>
      <c r="AG6" s="86" t="s">
        <v>146</v>
      </c>
      <c r="AH6" s="86" t="s">
        <v>147</v>
      </c>
      <c r="AI6" s="86" t="s">
        <v>148</v>
      </c>
      <c r="AJ6" s="86" t="s">
        <v>455</v>
      </c>
      <c r="AK6" s="87"/>
      <c r="AL6" s="88" t="s">
        <v>149</v>
      </c>
      <c r="AM6" s="89" t="s">
        <v>150</v>
      </c>
      <c r="AN6" s="88"/>
      <c r="AO6" s="90">
        <v>8.8999999999999996E-2</v>
      </c>
      <c r="AP6" s="190">
        <v>8.1199999999999994E-2</v>
      </c>
      <c r="AQ6" s="91"/>
      <c r="AR6" s="90">
        <v>0.108</v>
      </c>
      <c r="AS6" s="190">
        <v>8.7999999999999995E-2</v>
      </c>
      <c r="AT6" s="92">
        <v>0.19390500908750169</v>
      </c>
      <c r="AU6" s="92">
        <v>0.19493904987152016</v>
      </c>
      <c r="AV6" s="92">
        <v>0.19397339221094362</v>
      </c>
      <c r="AW6" s="92">
        <v>0.19221896809544406</v>
      </c>
      <c r="AX6" s="92">
        <v>0.1935680333245382</v>
      </c>
      <c r="AY6" s="93">
        <v>0.19460351034578691</v>
      </c>
      <c r="AZ6" s="93">
        <v>0.19585050316551686</v>
      </c>
      <c r="BA6" s="93">
        <v>0.19561484655090111</v>
      </c>
      <c r="BB6" s="93">
        <v>0.19617923991894734</v>
      </c>
      <c r="BC6" s="93">
        <v>0.19803413715995563</v>
      </c>
      <c r="BD6" s="93">
        <v>0.19815898853249619</v>
      </c>
      <c r="BE6" s="93">
        <v>0.19774003192653311</v>
      </c>
      <c r="BF6" s="93">
        <v>0.1867331869327927</v>
      </c>
      <c r="BG6" s="93">
        <v>0.18662467396942092</v>
      </c>
      <c r="BH6" s="93">
        <v>0.18638304157886612</v>
      </c>
      <c r="BI6" s="93"/>
      <c r="BJ6" s="93"/>
      <c r="BK6" s="93"/>
      <c r="BL6" s="93"/>
      <c r="BM6" s="93"/>
      <c r="BN6" s="93"/>
      <c r="BO6" s="93"/>
      <c r="BP6" s="93"/>
      <c r="BQ6" s="93"/>
      <c r="BR6" s="199">
        <f t="shared" si="0"/>
        <v>0.19363510751141097</v>
      </c>
      <c r="BS6" s="375">
        <f t="shared" si="1"/>
        <v>1.615555495717034E-5</v>
      </c>
      <c r="BT6" s="376">
        <f t="shared" si="2"/>
        <v>2.0096986687791244E-3</v>
      </c>
      <c r="BU6" s="377" t="str">
        <f t="shared" ca="1" si="3"/>
        <v>µ</v>
      </c>
      <c r="BV6" s="94"/>
      <c r="BW6" s="378"/>
      <c r="BY6" s="95"/>
    </row>
    <row r="7" spans="2:77" s="353" customFormat="1" ht="57.75" customHeight="1">
      <c r="B7" s="448"/>
      <c r="C7" s="338" t="s">
        <v>510</v>
      </c>
      <c r="D7" s="326"/>
      <c r="E7" s="293"/>
      <c r="F7" s="294"/>
      <c r="G7" s="293"/>
      <c r="H7" s="295"/>
      <c r="I7" s="293"/>
      <c r="J7" s="204"/>
      <c r="K7" s="204"/>
      <c r="L7" s="295"/>
      <c r="M7" s="293"/>
      <c r="N7" s="293"/>
      <c r="O7" s="293"/>
      <c r="P7" s="295"/>
      <c r="Q7" s="286"/>
      <c r="R7" s="287"/>
      <c r="S7" s="289"/>
      <c r="T7" s="291"/>
      <c r="U7" s="291"/>
      <c r="V7" s="291"/>
      <c r="W7" s="291"/>
      <c r="X7" s="291"/>
      <c r="Y7" s="373"/>
      <c r="Z7" s="84" t="s">
        <v>151</v>
      </c>
      <c r="AA7" s="88"/>
      <c r="AB7" s="374"/>
      <c r="AC7" s="84" t="s">
        <v>166</v>
      </c>
      <c r="AD7" s="85"/>
      <c r="AE7" s="84" t="s">
        <v>491</v>
      </c>
      <c r="AF7" s="86" t="s">
        <v>29</v>
      </c>
      <c r="AG7" s="86"/>
      <c r="AH7" s="86"/>
      <c r="AI7" s="86"/>
      <c r="AJ7" s="88" t="s">
        <v>450</v>
      </c>
      <c r="AK7" s="96"/>
      <c r="AL7" s="88"/>
      <c r="AM7" s="89"/>
      <c r="AN7" s="88"/>
      <c r="AO7" s="90" t="s">
        <v>29</v>
      </c>
      <c r="AP7" s="190" t="s">
        <v>29</v>
      </c>
      <c r="AQ7" s="91" t="s">
        <v>357</v>
      </c>
      <c r="AR7" s="90" t="s">
        <v>504</v>
      </c>
      <c r="AS7" s="190" t="s">
        <v>505</v>
      </c>
      <c r="AT7" s="134" t="s">
        <v>357</v>
      </c>
      <c r="AU7" s="134" t="s">
        <v>357</v>
      </c>
      <c r="AV7" s="134" t="s">
        <v>357</v>
      </c>
      <c r="AW7" s="134" t="s">
        <v>357</v>
      </c>
      <c r="AX7" s="134" t="s">
        <v>357</v>
      </c>
      <c r="AY7" s="134" t="s">
        <v>357</v>
      </c>
      <c r="AZ7" s="134" t="s">
        <v>357</v>
      </c>
      <c r="BA7" s="134" t="s">
        <v>357</v>
      </c>
      <c r="BB7" s="134" t="s">
        <v>357</v>
      </c>
      <c r="BC7" s="134" t="s">
        <v>357</v>
      </c>
      <c r="BD7" s="134" t="s">
        <v>357</v>
      </c>
      <c r="BE7" s="134" t="s">
        <v>357</v>
      </c>
      <c r="BF7" s="134" t="s">
        <v>357</v>
      </c>
      <c r="BG7" s="134" t="s">
        <v>357</v>
      </c>
      <c r="BH7" s="134" t="s">
        <v>357</v>
      </c>
      <c r="BI7" s="93"/>
      <c r="BJ7" s="93"/>
      <c r="BK7" s="93"/>
      <c r="BL7" s="93"/>
      <c r="BM7" s="93"/>
      <c r="BN7" s="93"/>
      <c r="BO7" s="93"/>
      <c r="BP7" s="93"/>
      <c r="BQ7" s="93"/>
      <c r="BR7" s="199" t="s">
        <v>345</v>
      </c>
      <c r="BS7" s="375" t="s">
        <v>345</v>
      </c>
      <c r="BT7" s="376" t="s">
        <v>345</v>
      </c>
      <c r="BU7" s="377" t="s">
        <v>345</v>
      </c>
      <c r="BV7" s="94"/>
      <c r="BW7" s="378"/>
      <c r="BY7" s="95"/>
    </row>
    <row r="8" spans="2:77" s="353" customFormat="1" ht="57.75" customHeight="1">
      <c r="B8" s="448"/>
      <c r="C8" s="339" t="s">
        <v>125</v>
      </c>
      <c r="D8" s="326"/>
      <c r="E8" s="293"/>
      <c r="F8" s="294"/>
      <c r="G8" s="293"/>
      <c r="H8" s="295"/>
      <c r="I8" s="293"/>
      <c r="J8" s="204"/>
      <c r="K8" s="204"/>
      <c r="L8" s="295"/>
      <c r="M8" s="293"/>
      <c r="N8" s="293"/>
      <c r="O8" s="293"/>
      <c r="P8" s="295" t="s">
        <v>54</v>
      </c>
      <c r="Q8" s="286"/>
      <c r="R8" s="287"/>
      <c r="S8" s="289"/>
      <c r="T8" s="291"/>
      <c r="U8" s="291"/>
      <c r="V8" s="291"/>
      <c r="W8" s="291"/>
      <c r="X8" s="291"/>
      <c r="Y8" s="373"/>
      <c r="Z8" s="85" t="s">
        <v>151</v>
      </c>
      <c r="AA8" s="88"/>
      <c r="AB8" s="374"/>
      <c r="AC8" s="84" t="s">
        <v>166</v>
      </c>
      <c r="AD8" s="85"/>
      <c r="AE8" s="85"/>
      <c r="AF8" s="86" t="s">
        <v>29</v>
      </c>
      <c r="AG8" s="88"/>
      <c r="AH8" s="88"/>
      <c r="AI8" s="88" t="s">
        <v>148</v>
      </c>
      <c r="AJ8" s="88" t="s">
        <v>474</v>
      </c>
      <c r="AK8" s="99"/>
      <c r="AL8" s="88"/>
      <c r="AM8" s="89"/>
      <c r="AN8" s="88"/>
      <c r="AO8" s="90"/>
      <c r="AP8" s="190"/>
      <c r="AQ8" s="91"/>
      <c r="AR8" s="90">
        <v>9.2999999999999999E-2</v>
      </c>
      <c r="AS8" s="190">
        <v>4.4999999999999998E-2</v>
      </c>
      <c r="AT8" s="105" t="s">
        <v>357</v>
      </c>
      <c r="AU8" s="105" t="s">
        <v>357</v>
      </c>
      <c r="AV8" s="105" t="s">
        <v>357</v>
      </c>
      <c r="AW8" s="105" t="s">
        <v>357</v>
      </c>
      <c r="AX8" s="105" t="s">
        <v>357</v>
      </c>
      <c r="AY8" s="105" t="s">
        <v>357</v>
      </c>
      <c r="AZ8" s="105" t="s">
        <v>357</v>
      </c>
      <c r="BA8" s="105" t="s">
        <v>357</v>
      </c>
      <c r="BB8" s="105" t="s">
        <v>357</v>
      </c>
      <c r="BC8" s="105" t="s">
        <v>357</v>
      </c>
      <c r="BD8" s="105" t="s">
        <v>357</v>
      </c>
      <c r="BE8" s="105" t="s">
        <v>357</v>
      </c>
      <c r="BF8" s="105" t="s">
        <v>357</v>
      </c>
      <c r="BG8" s="105" t="s">
        <v>357</v>
      </c>
      <c r="BH8" s="105" t="s">
        <v>357</v>
      </c>
      <c r="BI8" s="165"/>
      <c r="BJ8" s="165"/>
      <c r="BK8" s="165"/>
      <c r="BL8" s="165"/>
      <c r="BM8" s="165"/>
      <c r="BN8" s="165"/>
      <c r="BO8" s="165"/>
      <c r="BP8" s="165"/>
      <c r="BQ8" s="165"/>
      <c r="BR8" s="199" t="str">
        <f t="shared" si="0"/>
        <v/>
      </c>
      <c r="BS8" s="375" t="str">
        <f t="shared" si="1"/>
        <v/>
      </c>
      <c r="BT8" s="376" t="str">
        <f t="shared" si="2"/>
        <v/>
      </c>
      <c r="BU8" s="377" t="str">
        <f t="shared" ca="1" si="3"/>
        <v/>
      </c>
      <c r="BV8" s="102"/>
      <c r="BW8" s="378"/>
      <c r="BY8" s="95"/>
    </row>
    <row r="9" spans="2:77" s="353" customFormat="1" ht="57.75" customHeight="1">
      <c r="B9" s="448"/>
      <c r="C9" s="339" t="s">
        <v>126</v>
      </c>
      <c r="D9" s="326"/>
      <c r="E9" s="293"/>
      <c r="F9" s="294"/>
      <c r="G9" s="293"/>
      <c r="H9" s="295"/>
      <c r="I9" s="293"/>
      <c r="J9" s="204"/>
      <c r="K9" s="204"/>
      <c r="L9" s="295"/>
      <c r="M9" s="293"/>
      <c r="N9" s="293"/>
      <c r="O9" s="293"/>
      <c r="P9" s="295" t="s">
        <v>54</v>
      </c>
      <c r="Q9" s="286"/>
      <c r="R9" s="287"/>
      <c r="S9" s="289"/>
      <c r="T9" s="291"/>
      <c r="U9" s="291"/>
      <c r="V9" s="291"/>
      <c r="W9" s="291"/>
      <c r="X9" s="291"/>
      <c r="Y9" s="373"/>
      <c r="Z9" s="85" t="s">
        <v>151</v>
      </c>
      <c r="AA9" s="88"/>
      <c r="AB9" s="374"/>
      <c r="AC9" s="84" t="s">
        <v>166</v>
      </c>
      <c r="AD9" s="85"/>
      <c r="AE9" s="85"/>
      <c r="AF9" s="86" t="s">
        <v>29</v>
      </c>
      <c r="AG9" s="88"/>
      <c r="AH9" s="88"/>
      <c r="AI9" s="88" t="s">
        <v>148</v>
      </c>
      <c r="AJ9" s="88" t="s">
        <v>474</v>
      </c>
      <c r="AK9" s="99"/>
      <c r="AL9" s="88"/>
      <c r="AM9" s="89"/>
      <c r="AN9" s="88"/>
      <c r="AO9" s="90"/>
      <c r="AP9" s="190"/>
      <c r="AQ9" s="91"/>
      <c r="AR9" s="90">
        <v>0.1075</v>
      </c>
      <c r="AS9" s="190">
        <v>0.06</v>
      </c>
      <c r="AT9" s="105" t="s">
        <v>357</v>
      </c>
      <c r="AU9" s="105" t="s">
        <v>357</v>
      </c>
      <c r="AV9" s="105" t="s">
        <v>357</v>
      </c>
      <c r="AW9" s="105" t="s">
        <v>357</v>
      </c>
      <c r="AX9" s="105" t="s">
        <v>357</v>
      </c>
      <c r="AY9" s="105" t="s">
        <v>357</v>
      </c>
      <c r="AZ9" s="105" t="s">
        <v>357</v>
      </c>
      <c r="BA9" s="105" t="s">
        <v>357</v>
      </c>
      <c r="BB9" s="105" t="s">
        <v>357</v>
      </c>
      <c r="BC9" s="105" t="s">
        <v>357</v>
      </c>
      <c r="BD9" s="105" t="s">
        <v>357</v>
      </c>
      <c r="BE9" s="105" t="s">
        <v>357</v>
      </c>
      <c r="BF9" s="105" t="s">
        <v>357</v>
      </c>
      <c r="BG9" s="105" t="s">
        <v>357</v>
      </c>
      <c r="BH9" s="105" t="s">
        <v>357</v>
      </c>
      <c r="BI9" s="165"/>
      <c r="BJ9" s="165"/>
      <c r="BK9" s="165"/>
      <c r="BL9" s="165"/>
      <c r="BM9" s="165"/>
      <c r="BN9" s="165"/>
      <c r="BO9" s="165"/>
      <c r="BP9" s="165"/>
      <c r="BQ9" s="165"/>
      <c r="BR9" s="199" t="str">
        <f t="shared" si="0"/>
        <v/>
      </c>
      <c r="BS9" s="375" t="str">
        <f t="shared" si="1"/>
        <v/>
      </c>
      <c r="BT9" s="376" t="str">
        <f t="shared" si="2"/>
        <v/>
      </c>
      <c r="BU9" s="377" t="str">
        <f t="shared" ca="1" si="3"/>
        <v/>
      </c>
      <c r="BV9" s="102"/>
      <c r="BW9" s="378"/>
      <c r="BY9" s="95"/>
    </row>
    <row r="10" spans="2:77" s="353" customFormat="1" ht="57.75" customHeight="1">
      <c r="B10" s="448"/>
      <c r="C10" s="339" t="s">
        <v>127</v>
      </c>
      <c r="D10" s="326"/>
      <c r="E10" s="293"/>
      <c r="F10" s="294"/>
      <c r="G10" s="293"/>
      <c r="H10" s="295"/>
      <c r="I10" s="293"/>
      <c r="J10" s="204"/>
      <c r="K10" s="204"/>
      <c r="L10" s="295"/>
      <c r="M10" s="293"/>
      <c r="N10" s="293"/>
      <c r="O10" s="293"/>
      <c r="P10" s="295" t="s">
        <v>54</v>
      </c>
      <c r="Q10" s="286"/>
      <c r="R10" s="287"/>
      <c r="S10" s="289"/>
      <c r="T10" s="291"/>
      <c r="U10" s="291"/>
      <c r="V10" s="291"/>
      <c r="W10" s="291"/>
      <c r="X10" s="291"/>
      <c r="Y10" s="373"/>
      <c r="Z10" s="85" t="s">
        <v>151</v>
      </c>
      <c r="AA10" s="88"/>
      <c r="AB10" s="374"/>
      <c r="AC10" s="84" t="s">
        <v>166</v>
      </c>
      <c r="AD10" s="85"/>
      <c r="AE10" s="85"/>
      <c r="AF10" s="86" t="s">
        <v>29</v>
      </c>
      <c r="AG10" s="88"/>
      <c r="AH10" s="88"/>
      <c r="AI10" s="88" t="s">
        <v>148</v>
      </c>
      <c r="AJ10" s="88" t="s">
        <v>474</v>
      </c>
      <c r="AK10" s="99"/>
      <c r="AL10" s="88"/>
      <c r="AM10" s="89"/>
      <c r="AN10" s="88"/>
      <c r="AO10" s="90"/>
      <c r="AP10" s="190"/>
      <c r="AQ10" s="91"/>
      <c r="AR10" s="90">
        <v>0.1215</v>
      </c>
      <c r="AS10" s="190">
        <v>0.08</v>
      </c>
      <c r="AT10" s="105" t="s">
        <v>357</v>
      </c>
      <c r="AU10" s="105" t="s">
        <v>357</v>
      </c>
      <c r="AV10" s="105" t="s">
        <v>357</v>
      </c>
      <c r="AW10" s="105" t="s">
        <v>357</v>
      </c>
      <c r="AX10" s="105" t="s">
        <v>357</v>
      </c>
      <c r="AY10" s="105" t="s">
        <v>357</v>
      </c>
      <c r="AZ10" s="105" t="s">
        <v>357</v>
      </c>
      <c r="BA10" s="105" t="s">
        <v>357</v>
      </c>
      <c r="BB10" s="105" t="s">
        <v>357</v>
      </c>
      <c r="BC10" s="105" t="s">
        <v>357</v>
      </c>
      <c r="BD10" s="105" t="s">
        <v>357</v>
      </c>
      <c r="BE10" s="105" t="s">
        <v>357</v>
      </c>
      <c r="BF10" s="105" t="s">
        <v>357</v>
      </c>
      <c r="BG10" s="105" t="s">
        <v>357</v>
      </c>
      <c r="BH10" s="105" t="s">
        <v>357</v>
      </c>
      <c r="BI10" s="165"/>
      <c r="BJ10" s="165"/>
      <c r="BK10" s="165"/>
      <c r="BL10" s="165"/>
      <c r="BM10" s="165"/>
      <c r="BN10" s="165"/>
      <c r="BO10" s="165"/>
      <c r="BP10" s="165"/>
      <c r="BQ10" s="165"/>
      <c r="BR10" s="199" t="str">
        <f t="shared" si="0"/>
        <v/>
      </c>
      <c r="BS10" s="375" t="str">
        <f t="shared" si="1"/>
        <v/>
      </c>
      <c r="BT10" s="376" t="str">
        <f t="shared" si="2"/>
        <v/>
      </c>
      <c r="BU10" s="377" t="str">
        <f t="shared" ca="1" si="3"/>
        <v/>
      </c>
      <c r="BV10" s="102"/>
      <c r="BW10" s="378"/>
      <c r="BY10" s="95"/>
    </row>
    <row r="11" spans="2:77" s="353" customFormat="1" ht="57.75" customHeight="1" thickBot="1">
      <c r="B11" s="448"/>
      <c r="C11" s="339" t="s">
        <v>128</v>
      </c>
      <c r="D11" s="326"/>
      <c r="E11" s="293"/>
      <c r="F11" s="294"/>
      <c r="G11" s="293"/>
      <c r="H11" s="295"/>
      <c r="I11" s="293"/>
      <c r="J11" s="204"/>
      <c r="K11" s="204"/>
      <c r="L11" s="295"/>
      <c r="M11" s="293"/>
      <c r="N11" s="293"/>
      <c r="O11" s="293"/>
      <c r="P11" s="295" t="s">
        <v>54</v>
      </c>
      <c r="Q11" s="286"/>
      <c r="R11" s="287"/>
      <c r="S11" s="289"/>
      <c r="T11" s="291"/>
      <c r="U11" s="291"/>
      <c r="V11" s="291"/>
      <c r="W11" s="291"/>
      <c r="X11" s="291"/>
      <c r="Y11" s="373"/>
      <c r="Z11" s="85" t="s">
        <v>151</v>
      </c>
      <c r="AA11" s="88"/>
      <c r="AB11" s="374"/>
      <c r="AC11" s="84" t="s">
        <v>166</v>
      </c>
      <c r="AD11" s="85"/>
      <c r="AE11" s="85"/>
      <c r="AF11" s="86" t="s">
        <v>29</v>
      </c>
      <c r="AG11" s="88"/>
      <c r="AH11" s="88"/>
      <c r="AI11" s="88" t="s">
        <v>148</v>
      </c>
      <c r="AJ11" s="88" t="s">
        <v>474</v>
      </c>
      <c r="AK11" s="99"/>
      <c r="AL11" s="88"/>
      <c r="AM11" s="89"/>
      <c r="AN11" s="88"/>
      <c r="AO11" s="90"/>
      <c r="AP11" s="190"/>
      <c r="AQ11" s="91"/>
      <c r="AR11" s="90">
        <v>6.8000000000000005E-2</v>
      </c>
      <c r="AS11" s="190">
        <v>0.04</v>
      </c>
      <c r="AT11" s="105" t="s">
        <v>357</v>
      </c>
      <c r="AU11" s="105" t="s">
        <v>357</v>
      </c>
      <c r="AV11" s="105" t="s">
        <v>357</v>
      </c>
      <c r="AW11" s="105" t="s">
        <v>357</v>
      </c>
      <c r="AX11" s="105" t="s">
        <v>357</v>
      </c>
      <c r="AY11" s="105" t="s">
        <v>357</v>
      </c>
      <c r="AZ11" s="105" t="s">
        <v>357</v>
      </c>
      <c r="BA11" s="105" t="s">
        <v>357</v>
      </c>
      <c r="BB11" s="105" t="s">
        <v>357</v>
      </c>
      <c r="BC11" s="105" t="s">
        <v>357</v>
      </c>
      <c r="BD11" s="105" t="s">
        <v>357</v>
      </c>
      <c r="BE11" s="105" t="s">
        <v>357</v>
      </c>
      <c r="BF11" s="105" t="s">
        <v>357</v>
      </c>
      <c r="BG11" s="105" t="s">
        <v>357</v>
      </c>
      <c r="BH11" s="105" t="s">
        <v>357</v>
      </c>
      <c r="BI11" s="165"/>
      <c r="BJ11" s="165"/>
      <c r="BK11" s="165"/>
      <c r="BL11" s="165"/>
      <c r="BM11" s="165"/>
      <c r="BN11" s="165"/>
      <c r="BO11" s="165"/>
      <c r="BP11" s="165"/>
      <c r="BQ11" s="165"/>
      <c r="BR11" s="199" t="str">
        <f t="shared" si="0"/>
        <v/>
      </c>
      <c r="BS11" s="375" t="str">
        <f t="shared" si="1"/>
        <v/>
      </c>
      <c r="BT11" s="376" t="str">
        <f t="shared" si="2"/>
        <v/>
      </c>
      <c r="BU11" s="377" t="str">
        <f t="shared" ca="1" si="3"/>
        <v/>
      </c>
      <c r="BV11" s="102"/>
      <c r="BW11" s="378"/>
      <c r="BY11" s="95"/>
    </row>
    <row r="12" spans="2:77" s="353" customFormat="1" ht="57.75" customHeight="1">
      <c r="B12" s="457" t="s">
        <v>9</v>
      </c>
      <c r="C12" s="340" t="s">
        <v>509</v>
      </c>
      <c r="D12" s="327" t="s">
        <v>29</v>
      </c>
      <c r="E12" s="297" t="s">
        <v>29</v>
      </c>
      <c r="F12" s="298" t="s">
        <v>29</v>
      </c>
      <c r="G12" s="299"/>
      <c r="H12" s="290" t="s">
        <v>54</v>
      </c>
      <c r="I12" s="296"/>
      <c r="J12" s="297"/>
      <c r="K12" s="299"/>
      <c r="L12" s="290" t="s">
        <v>54</v>
      </c>
      <c r="M12" s="296"/>
      <c r="N12" s="297"/>
      <c r="O12" s="299"/>
      <c r="P12" s="290" t="s">
        <v>54</v>
      </c>
      <c r="Q12" s="296"/>
      <c r="R12" s="297"/>
      <c r="S12" s="299"/>
      <c r="T12" s="291" t="s">
        <v>32</v>
      </c>
      <c r="U12" s="291"/>
      <c r="V12" s="291"/>
      <c r="W12" s="291"/>
      <c r="X12" s="291"/>
      <c r="Y12" s="373"/>
      <c r="Z12" s="84" t="s">
        <v>151</v>
      </c>
      <c r="AA12" s="86"/>
      <c r="AB12" s="374"/>
      <c r="AC12" s="84" t="s">
        <v>166</v>
      </c>
      <c r="AD12" s="85"/>
      <c r="AE12" s="84" t="s">
        <v>532</v>
      </c>
      <c r="AF12" s="86" t="s">
        <v>454</v>
      </c>
      <c r="AG12" s="86"/>
      <c r="AH12" s="86"/>
      <c r="AI12" s="86"/>
      <c r="AJ12" s="86" t="s">
        <v>450</v>
      </c>
      <c r="AK12" s="96"/>
      <c r="AL12" s="88"/>
      <c r="AM12" s="89"/>
      <c r="AN12" s="88"/>
      <c r="AO12" s="103" t="s">
        <v>29</v>
      </c>
      <c r="AP12" s="104" t="s">
        <v>29</v>
      </c>
      <c r="AQ12" s="114" t="s">
        <v>357</v>
      </c>
      <c r="AR12" s="278" t="s">
        <v>506</v>
      </c>
      <c r="AS12" s="279" t="s">
        <v>507</v>
      </c>
      <c r="AT12" s="105" t="s">
        <v>357</v>
      </c>
      <c r="AU12" s="105" t="s">
        <v>357</v>
      </c>
      <c r="AV12" s="105" t="s">
        <v>357</v>
      </c>
      <c r="AW12" s="105" t="s">
        <v>357</v>
      </c>
      <c r="AX12" s="105" t="s">
        <v>357</v>
      </c>
      <c r="AY12" s="105" t="s">
        <v>357</v>
      </c>
      <c r="AZ12" s="105" t="s">
        <v>357</v>
      </c>
      <c r="BA12" s="105" t="s">
        <v>357</v>
      </c>
      <c r="BB12" s="105" t="s">
        <v>357</v>
      </c>
      <c r="BC12" s="105" t="s">
        <v>357</v>
      </c>
      <c r="BD12" s="105" t="s">
        <v>357</v>
      </c>
      <c r="BE12" s="105" t="s">
        <v>357</v>
      </c>
      <c r="BF12" s="105" t="s">
        <v>357</v>
      </c>
      <c r="BG12" s="105" t="s">
        <v>357</v>
      </c>
      <c r="BH12" s="105" t="s">
        <v>357</v>
      </c>
      <c r="BI12" s="161"/>
      <c r="BJ12" s="161"/>
      <c r="BK12" s="161"/>
      <c r="BL12" s="161"/>
      <c r="BM12" s="161"/>
      <c r="BN12" s="161"/>
      <c r="BO12" s="161"/>
      <c r="BP12" s="161"/>
      <c r="BQ12" s="161"/>
      <c r="BR12" s="199" t="str">
        <f t="shared" si="0"/>
        <v/>
      </c>
      <c r="BS12" s="375" t="str">
        <f t="shared" si="1"/>
        <v/>
      </c>
      <c r="BT12" s="376" t="str">
        <f t="shared" si="2"/>
        <v/>
      </c>
      <c r="BU12" s="377" t="str">
        <f t="shared" ca="1" si="3"/>
        <v/>
      </c>
      <c r="BV12" s="94"/>
      <c r="BW12" s="378"/>
      <c r="BY12" s="95"/>
    </row>
    <row r="13" spans="2:77" s="353" customFormat="1" ht="57.75" customHeight="1">
      <c r="B13" s="458"/>
      <c r="C13" s="338" t="s">
        <v>99</v>
      </c>
      <c r="D13" s="328" t="s">
        <v>81</v>
      </c>
      <c r="E13" s="300" t="s">
        <v>81</v>
      </c>
      <c r="F13" s="298" t="s">
        <v>29</v>
      </c>
      <c r="G13" s="299"/>
      <c r="H13" s="290" t="s">
        <v>55</v>
      </c>
      <c r="I13" s="286"/>
      <c r="J13" s="297"/>
      <c r="K13" s="299"/>
      <c r="L13" s="290" t="s">
        <v>54</v>
      </c>
      <c r="M13" s="300"/>
      <c r="N13" s="300"/>
      <c r="O13" s="299"/>
      <c r="P13" s="290" t="s">
        <v>54</v>
      </c>
      <c r="Q13" s="286"/>
      <c r="R13" s="297"/>
      <c r="S13" s="299"/>
      <c r="T13" s="291"/>
      <c r="U13" s="291"/>
      <c r="V13" s="291"/>
      <c r="W13" s="291"/>
      <c r="X13" s="291"/>
      <c r="Y13" s="379" t="s">
        <v>372</v>
      </c>
      <c r="Z13" s="84" t="s">
        <v>151</v>
      </c>
      <c r="AA13" s="86"/>
      <c r="AB13" s="374"/>
      <c r="AC13" s="84" t="s">
        <v>143</v>
      </c>
      <c r="AD13" s="85"/>
      <c r="AE13" s="84" t="s">
        <v>174</v>
      </c>
      <c r="AF13" s="86" t="s">
        <v>453</v>
      </c>
      <c r="AG13" s="86" t="s">
        <v>175</v>
      </c>
      <c r="AH13" s="86" t="s">
        <v>176</v>
      </c>
      <c r="AI13" s="86"/>
      <c r="AJ13" s="86" t="s">
        <v>451</v>
      </c>
      <c r="AK13" s="112">
        <f>20060117.7740878/1278275057.73207</f>
        <v>1.5693115228015704E-2</v>
      </c>
      <c r="AL13" s="88" t="s">
        <v>177</v>
      </c>
      <c r="AM13" s="113" t="s">
        <v>178</v>
      </c>
      <c r="AN13" s="88"/>
      <c r="AO13" s="107"/>
      <c r="AP13" s="108"/>
      <c r="AQ13" s="114" t="s">
        <v>354</v>
      </c>
      <c r="AR13" s="278">
        <v>1.7000000000000001E-2</v>
      </c>
      <c r="AS13" s="279">
        <v>1.9E-2</v>
      </c>
      <c r="AT13" s="117">
        <f>21001300.1/1458562170.45083</f>
        <v>1.4398632108707897E-2</v>
      </c>
      <c r="AU13" s="117">
        <f>21353526.28/1453095106.3375</f>
        <v>1.4695202115036488E-2</v>
      </c>
      <c r="AV13" s="117">
        <f>20655365.18/1447822382.40583</f>
        <v>1.426650494632996E-2</v>
      </c>
      <c r="AW13" s="117">
        <f>19656496.58/1442278059.75417</f>
        <v>1.3628784302071657E-2</v>
      </c>
      <c r="AX13" s="117">
        <f>19571143.83/1436216140.8325</f>
        <v>1.3626879181747409E-2</v>
      </c>
      <c r="AY13" s="117">
        <f>20402700.95/1429643604.5925</f>
        <v>1.4271179813248285E-2</v>
      </c>
      <c r="AZ13" s="117">
        <f>21304105.16/1423587766.20667</f>
        <v>1.4965080247048967E-2</v>
      </c>
      <c r="BA13" s="117">
        <f>20565865.8/1416677120.80917</f>
        <v>1.4516974614690819E-2</v>
      </c>
      <c r="BB13" s="117">
        <f>20836772.33/1409519546.70917</f>
        <v>1.4782889941929486E-2</v>
      </c>
      <c r="BC13" s="117">
        <f>21365311.1/1402023201.61333</f>
        <v>1.5238914074613462E-2</v>
      </c>
      <c r="BD13" s="117">
        <f>21748987.87/1394176527.56417</f>
        <v>1.5599880961988839E-2</v>
      </c>
      <c r="BE13" s="117">
        <f>22556113.5/1386576381.79333</f>
        <v>1.6267487169244168E-2</v>
      </c>
      <c r="BF13" s="117">
        <f>22438996.53/1379092174.40333</f>
        <v>1.627084610186286E-2</v>
      </c>
      <c r="BG13" s="117">
        <f>22258933.34/1371357488.51667</f>
        <v>1.6231313517000148E-2</v>
      </c>
      <c r="BH13" s="117">
        <f>22364873.26/1362968240.25833</f>
        <v>1.6408946738011354E-2</v>
      </c>
      <c r="BI13" s="265"/>
      <c r="BJ13" s="93"/>
      <c r="BK13" s="93"/>
      <c r="BL13" s="93"/>
      <c r="BM13" s="93"/>
      <c r="BN13" s="93"/>
      <c r="BO13" s="93"/>
      <c r="BP13" s="93"/>
      <c r="BQ13" s="93"/>
      <c r="BR13" s="199">
        <f t="shared" si="0"/>
        <v>1.5011301055568785E-2</v>
      </c>
      <c r="BS13" s="375">
        <f t="shared" si="1"/>
        <v>9.0778290950558778E-7</v>
      </c>
      <c r="BT13" s="376">
        <f t="shared" si="2"/>
        <v>4.7638821078653591E-4</v>
      </c>
      <c r="BU13" s="377" t="str">
        <f t="shared" ca="1" si="3"/>
        <v>µ</v>
      </c>
      <c r="BV13" s="118" t="s">
        <v>179</v>
      </c>
      <c r="BW13" s="378"/>
      <c r="BY13" s="95"/>
    </row>
    <row r="14" spans="2:77" s="353" customFormat="1" ht="57.75" customHeight="1">
      <c r="B14" s="458"/>
      <c r="C14" s="338" t="s">
        <v>98</v>
      </c>
      <c r="D14" s="328" t="s">
        <v>81</v>
      </c>
      <c r="E14" s="300" t="s">
        <v>81</v>
      </c>
      <c r="F14" s="298" t="s">
        <v>29</v>
      </c>
      <c r="G14" s="299"/>
      <c r="H14" s="290" t="s">
        <v>55</v>
      </c>
      <c r="I14" s="286"/>
      <c r="J14" s="297"/>
      <c r="K14" s="299"/>
      <c r="L14" s="290" t="s">
        <v>54</v>
      </c>
      <c r="M14" s="300"/>
      <c r="N14" s="300"/>
      <c r="O14" s="299"/>
      <c r="P14" s="290" t="s">
        <v>54</v>
      </c>
      <c r="Q14" s="286"/>
      <c r="R14" s="297"/>
      <c r="S14" s="299"/>
      <c r="T14" s="291"/>
      <c r="U14" s="291"/>
      <c r="V14" s="291"/>
      <c r="W14" s="291"/>
      <c r="X14" s="291"/>
      <c r="Y14" s="271"/>
      <c r="Z14" s="84" t="s">
        <v>151</v>
      </c>
      <c r="AA14" s="86"/>
      <c r="AB14" s="374"/>
      <c r="AC14" s="84" t="s">
        <v>143</v>
      </c>
      <c r="AD14" s="85"/>
      <c r="AE14" s="84" t="s">
        <v>180</v>
      </c>
      <c r="AF14" s="86" t="s">
        <v>453</v>
      </c>
      <c r="AG14" s="86" t="s">
        <v>181</v>
      </c>
      <c r="AH14" s="86" t="s">
        <v>176</v>
      </c>
      <c r="AI14" s="110"/>
      <c r="AJ14" s="86" t="s">
        <v>451</v>
      </c>
      <c r="AK14" s="119">
        <f>9841038.63514543/1826186084.21375</f>
        <v>5.3888476756093623E-3</v>
      </c>
      <c r="AL14" s="88" t="s">
        <v>177</v>
      </c>
      <c r="AM14" s="120" t="s">
        <v>182</v>
      </c>
      <c r="AN14" s="88"/>
      <c r="AO14" s="107"/>
      <c r="AP14" s="108"/>
      <c r="AQ14" s="114" t="s">
        <v>354</v>
      </c>
      <c r="AR14" s="278">
        <v>5.0000000000000001E-3</v>
      </c>
      <c r="AS14" s="279">
        <v>6.0000000000000001E-3</v>
      </c>
      <c r="AT14" s="117">
        <f>5192599.46/2846044996.57083</f>
        <v>1.8244966141633422E-3</v>
      </c>
      <c r="AU14" s="117">
        <f>5439071.96/2764554958.61083</f>
        <v>1.9674313013958301E-3</v>
      </c>
      <c r="AV14" s="117">
        <f>4684676.98/2689804141.36917</f>
        <v>1.7416424147578997E-3</v>
      </c>
      <c r="AW14" s="117">
        <f>4907338.01/2625953584.28667</f>
        <v>1.8687832257831239E-3</v>
      </c>
      <c r="AX14" s="117">
        <f>4674975.06/2582158105.69583</f>
        <v>1.8104914062728183E-3</v>
      </c>
      <c r="AY14" s="117">
        <f>5512214.9/2550936900.76417</f>
        <v>2.1608589763034659E-3</v>
      </c>
      <c r="AZ14" s="117">
        <f>5612158.96/2517666533.7</f>
        <v>2.2291113159264536E-3</v>
      </c>
      <c r="BA14" s="117">
        <f>6126246.17/2487822750.26917</f>
        <v>2.4624930250103914E-3</v>
      </c>
      <c r="BB14" s="117">
        <f>5290289.24/2448634870.89917</f>
        <v>2.1605055546960084E-3</v>
      </c>
      <c r="BC14" s="117">
        <f>5514186.35/2411773404.39</f>
        <v>2.2863617037831466E-3</v>
      </c>
      <c r="BD14" s="117">
        <f>6765650.66/2378558269.705</f>
        <v>2.8444334310292548E-3</v>
      </c>
      <c r="BE14" s="117">
        <f>5699008.93/2358337502.21083</f>
        <v>2.4165366172812191E-3</v>
      </c>
      <c r="BF14" s="117">
        <f>5988769.71/2344983292.485</f>
        <v>2.5538645538295698E-3</v>
      </c>
      <c r="BG14" s="117">
        <f>6935964.59/2330533830.445</f>
        <v>2.9761269711650667E-3</v>
      </c>
      <c r="BH14" s="117">
        <f>7429278.09/2316835030.11</f>
        <v>3.2066495859427971E-3</v>
      </c>
      <c r="BI14" s="93"/>
      <c r="BJ14" s="93"/>
      <c r="BK14" s="93"/>
      <c r="BL14" s="93"/>
      <c r="BM14" s="93"/>
      <c r="BN14" s="93"/>
      <c r="BO14" s="93"/>
      <c r="BP14" s="93"/>
      <c r="BQ14" s="93"/>
      <c r="BR14" s="199">
        <f t="shared" si="0"/>
        <v>2.3006524464893592E-3</v>
      </c>
      <c r="BS14" s="375">
        <f t="shared" si="1"/>
        <v>1.9986141512267447E-7</v>
      </c>
      <c r="BT14" s="376">
        <f t="shared" si="2"/>
        <v>2.235293130233004E-4</v>
      </c>
      <c r="BU14" s="377" t="str">
        <f t="shared" ca="1" si="3"/>
        <v>N</v>
      </c>
      <c r="BV14" s="118" t="s">
        <v>183</v>
      </c>
      <c r="BW14" s="378"/>
      <c r="BY14" s="95"/>
    </row>
    <row r="15" spans="2:77" s="353" customFormat="1" ht="57.75" customHeight="1">
      <c r="B15" s="458"/>
      <c r="C15" s="338" t="s">
        <v>100</v>
      </c>
      <c r="D15" s="328" t="s">
        <v>81</v>
      </c>
      <c r="E15" s="300" t="s">
        <v>81</v>
      </c>
      <c r="F15" s="298" t="s">
        <v>29</v>
      </c>
      <c r="G15" s="299"/>
      <c r="H15" s="290" t="s">
        <v>55</v>
      </c>
      <c r="I15" s="286"/>
      <c r="J15" s="297"/>
      <c r="K15" s="299"/>
      <c r="L15" s="290" t="s">
        <v>54</v>
      </c>
      <c r="M15" s="300"/>
      <c r="N15" s="300"/>
      <c r="O15" s="299"/>
      <c r="P15" s="290" t="s">
        <v>54</v>
      </c>
      <c r="Q15" s="286"/>
      <c r="R15" s="297"/>
      <c r="S15" s="299"/>
      <c r="T15" s="291"/>
      <c r="U15" s="291"/>
      <c r="V15" s="291"/>
      <c r="W15" s="291"/>
      <c r="X15" s="291"/>
      <c r="Y15" s="271"/>
      <c r="Z15" s="84" t="s">
        <v>151</v>
      </c>
      <c r="AA15" s="86"/>
      <c r="AB15" s="374"/>
      <c r="AC15" s="84" t="s">
        <v>143</v>
      </c>
      <c r="AD15" s="85"/>
      <c r="AE15" s="84" t="s">
        <v>184</v>
      </c>
      <c r="AF15" s="86" t="s">
        <v>453</v>
      </c>
      <c r="AG15" s="86" t="s">
        <v>185</v>
      </c>
      <c r="AH15" s="86" t="s">
        <v>176</v>
      </c>
      <c r="AI15" s="86"/>
      <c r="AJ15" s="86" t="s">
        <v>451</v>
      </c>
      <c r="AK15" s="121">
        <f>12885320.0264068/243323603.487228</f>
        <v>5.2955487432123069E-2</v>
      </c>
      <c r="AL15" s="88" t="s">
        <v>177</v>
      </c>
      <c r="AM15" s="113" t="s">
        <v>186</v>
      </c>
      <c r="AN15" s="88"/>
      <c r="AO15" s="107"/>
      <c r="AP15" s="108"/>
      <c r="AQ15" s="114" t="s">
        <v>354</v>
      </c>
      <c r="AR15" s="278">
        <v>5.3999999999999999E-2</v>
      </c>
      <c r="AS15" s="279">
        <v>0.06</v>
      </c>
      <c r="AT15" s="117">
        <f>11900742.26/267263911.540833</f>
        <v>4.4528055401829983E-2</v>
      </c>
      <c r="AU15" s="117">
        <f>12011720.34/267487328.2075</f>
        <v>4.4905754678150792E-2</v>
      </c>
      <c r="AV15" s="117">
        <f>12276309.94/267731166.666667</f>
        <v>4.5853122342249968E-2</v>
      </c>
      <c r="AW15" s="117">
        <f>12451267.6/267956333.333333</f>
        <v>4.6467524932545037E-2</v>
      </c>
      <c r="AX15" s="117">
        <f>12578459.62/268305083.333333</f>
        <v>4.6881182658671264E-2</v>
      </c>
      <c r="AY15" s="117">
        <f>12310548.87/268616750.949167</f>
        <v>4.5829416171926096E-2</v>
      </c>
      <c r="AZ15" s="117">
        <f>12178575.37/268901000.949167</f>
        <v>4.5290182360839315E-2</v>
      </c>
      <c r="BA15" s="117">
        <f>12114629.17/268876500.949167</f>
        <v>4.5056481794555764E-2</v>
      </c>
      <c r="BB15" s="117">
        <f>11983748.41/268800917.615833</f>
        <v>4.4582245166019219E-2</v>
      </c>
      <c r="BC15" s="117">
        <f>11844779.7/268531750.949167</f>
        <v>4.4109419679917897E-2</v>
      </c>
      <c r="BD15" s="117">
        <f>11829246.07/268045917.615833</f>
        <v>4.4131416643896935E-2</v>
      </c>
      <c r="BE15" s="117">
        <f>12110431.5/267291799.794167</f>
        <v>4.5307905103433257E-2</v>
      </c>
      <c r="BF15" s="117">
        <f>11860979.58/266336299.794167</f>
        <v>4.4533845327003996E-2</v>
      </c>
      <c r="BG15" s="117">
        <f>11903712.79/265031049.794167</f>
        <v>4.4914408327797313E-2</v>
      </c>
      <c r="BH15" s="117">
        <f>11834996.41/263558883.1275</f>
        <v>4.4904562766244036E-2</v>
      </c>
      <c r="BI15" s="93"/>
      <c r="BJ15" s="93"/>
      <c r="BK15" s="93"/>
      <c r="BL15" s="93"/>
      <c r="BM15" s="93"/>
      <c r="BN15" s="93"/>
      <c r="BO15" s="93"/>
      <c r="BP15" s="93"/>
      <c r="BQ15" s="93"/>
      <c r="BR15" s="199">
        <f t="shared" si="0"/>
        <v>4.5153034890338728E-2</v>
      </c>
      <c r="BS15" s="375">
        <f t="shared" si="1"/>
        <v>6.518979029533058E-7</v>
      </c>
      <c r="BT15" s="376">
        <f t="shared" si="2"/>
        <v>4.0370097316990263E-4</v>
      </c>
      <c r="BU15" s="377" t="str">
        <f t="shared" ca="1" si="3"/>
        <v>µ</v>
      </c>
      <c r="BV15" s="118" t="s">
        <v>187</v>
      </c>
      <c r="BW15" s="378"/>
      <c r="BY15" s="95"/>
    </row>
    <row r="16" spans="2:77" s="353" customFormat="1" ht="57.75" customHeight="1">
      <c r="B16" s="458"/>
      <c r="C16" s="338" t="s">
        <v>101</v>
      </c>
      <c r="D16" s="328" t="s">
        <v>81</v>
      </c>
      <c r="E16" s="300" t="s">
        <v>81</v>
      </c>
      <c r="F16" s="298" t="s">
        <v>29</v>
      </c>
      <c r="G16" s="299"/>
      <c r="H16" s="290" t="s">
        <v>55</v>
      </c>
      <c r="I16" s="286"/>
      <c r="J16" s="297"/>
      <c r="K16" s="299"/>
      <c r="L16" s="290" t="s">
        <v>54</v>
      </c>
      <c r="M16" s="300"/>
      <c r="N16" s="300"/>
      <c r="O16" s="299"/>
      <c r="P16" s="290" t="s">
        <v>54</v>
      </c>
      <c r="Q16" s="286"/>
      <c r="R16" s="297"/>
      <c r="S16" s="299"/>
      <c r="T16" s="291"/>
      <c r="U16" s="291"/>
      <c r="V16" s="291"/>
      <c r="W16" s="291"/>
      <c r="X16" s="291"/>
      <c r="Y16" s="271"/>
      <c r="Z16" s="84" t="s">
        <v>151</v>
      </c>
      <c r="AA16" s="86"/>
      <c r="AB16" s="374"/>
      <c r="AC16" s="84" t="s">
        <v>143</v>
      </c>
      <c r="AD16" s="85"/>
      <c r="AE16" s="84" t="s">
        <v>188</v>
      </c>
      <c r="AF16" s="86" t="s">
        <v>453</v>
      </c>
      <c r="AG16" s="86" t="s">
        <v>189</v>
      </c>
      <c r="AH16" s="86" t="s">
        <v>176</v>
      </c>
      <c r="AI16" s="86"/>
      <c r="AJ16" s="86" t="s">
        <v>451</v>
      </c>
      <c r="AK16" s="121">
        <f>15036935.4473544/238217331.128349</f>
        <v>6.3122760112078735E-2</v>
      </c>
      <c r="AL16" s="88" t="s">
        <v>177</v>
      </c>
      <c r="AM16" s="113" t="s">
        <v>190</v>
      </c>
      <c r="AN16" s="88"/>
      <c r="AO16" s="107"/>
      <c r="AP16" s="108"/>
      <c r="AQ16" s="114" t="s">
        <v>354</v>
      </c>
      <c r="AR16" s="278">
        <v>6.4000000000000001E-2</v>
      </c>
      <c r="AS16" s="279">
        <v>7.3999999999999996E-2</v>
      </c>
      <c r="AT16" s="117">
        <f>14750662.42/236314072.244167</f>
        <v>6.2419737766438048E-2</v>
      </c>
      <c r="AU16" s="117">
        <f>14710669.36/237209988.910833</f>
        <v>6.2015387410728838E-2</v>
      </c>
      <c r="AV16" s="117">
        <f>14881019.21/237847655.5775</f>
        <v>6.2565339035478479E-2</v>
      </c>
      <c r="AW16" s="117">
        <f>15070394.47/238436572.244167</f>
        <v>6.3205045803826659E-2</v>
      </c>
      <c r="AX16" s="423">
        <f>15373030.78/238889405.5775</f>
        <v>6.4352082683770226E-2</v>
      </c>
      <c r="AY16" s="423">
        <f>15201929.06/239183518.864167</f>
        <v>6.3557594320005045E-2</v>
      </c>
      <c r="AZ16" s="117">
        <f>15193929.08/239299685.530833</f>
        <v>6.3493309848258489E-2</v>
      </c>
      <c r="BA16" s="117">
        <f>14831436.24/239444435.530833</f>
        <v>6.1941035326712246E-2</v>
      </c>
      <c r="BB16" s="117">
        <f>15127496.74/239363509.728333</f>
        <v>6.3198842451671275E-2</v>
      </c>
      <c r="BC16" s="117">
        <f>14987897.0205/239135343.061667</f>
        <v>6.2675373822241739E-2</v>
      </c>
      <c r="BD16" s="117">
        <f>14795608.4407/238787926.395</f>
        <v>6.1961292030424053E-2</v>
      </c>
      <c r="BE16" s="423">
        <f>15175513.0107/238161839.78</f>
        <v>6.371933062290018E-2</v>
      </c>
      <c r="BF16" s="423">
        <f>15236139.3807/237438006.446667</f>
        <v>6.4168915535947779E-2</v>
      </c>
      <c r="BG16" s="117">
        <f>15022513.4007/236594673.113333</f>
        <v>6.3494723710469811E-2</v>
      </c>
      <c r="BH16" s="117">
        <f>14667857.8107/235718756.446667</f>
        <v>6.2226095334160243E-2</v>
      </c>
      <c r="BI16" s="93"/>
      <c r="BJ16" s="93"/>
      <c r="BK16" s="93"/>
      <c r="BL16" s="93"/>
      <c r="BM16" s="93"/>
      <c r="BN16" s="93"/>
      <c r="BO16" s="93"/>
      <c r="BP16" s="93"/>
      <c r="BQ16" s="93"/>
      <c r="BR16" s="199">
        <f t="shared" si="0"/>
        <v>6.2999607046868883E-2</v>
      </c>
      <c r="BS16" s="375">
        <f t="shared" si="1"/>
        <v>6.4230374314221651E-7</v>
      </c>
      <c r="BT16" s="376">
        <f t="shared" si="2"/>
        <v>4.0071927303981039E-4</v>
      </c>
      <c r="BU16" s="377" t="str">
        <f t="shared" ca="1" si="3"/>
        <v>N</v>
      </c>
      <c r="BV16" s="118" t="s">
        <v>187</v>
      </c>
      <c r="BW16" s="378"/>
      <c r="BY16" s="95"/>
    </row>
    <row r="17" spans="1:77" s="95" customFormat="1" ht="57.75" customHeight="1">
      <c r="B17" s="458"/>
      <c r="C17" s="338" t="s">
        <v>122</v>
      </c>
      <c r="D17" s="329"/>
      <c r="E17" s="301"/>
      <c r="F17" s="293"/>
      <c r="G17" s="301"/>
      <c r="H17" s="295"/>
      <c r="I17" s="293"/>
      <c r="J17" s="301"/>
      <c r="K17" s="301"/>
      <c r="L17" s="295"/>
      <c r="M17" s="301"/>
      <c r="N17" s="301"/>
      <c r="O17" s="301"/>
      <c r="P17" s="295" t="s">
        <v>54</v>
      </c>
      <c r="Q17" s="293"/>
      <c r="R17" s="301"/>
      <c r="S17" s="299"/>
      <c r="T17" s="302"/>
      <c r="U17" s="302"/>
      <c r="V17" s="302"/>
      <c r="W17" s="302"/>
      <c r="X17" s="302"/>
      <c r="Y17" s="380"/>
      <c r="Z17" s="85" t="s">
        <v>151</v>
      </c>
      <c r="AA17" s="86"/>
      <c r="AB17" s="381"/>
      <c r="AC17" s="84" t="s">
        <v>143</v>
      </c>
      <c r="AD17" s="85" t="s">
        <v>191</v>
      </c>
      <c r="AE17" s="84" t="s">
        <v>192</v>
      </c>
      <c r="AF17" s="86" t="s">
        <v>453</v>
      </c>
      <c r="AG17" s="86" t="s">
        <v>170</v>
      </c>
      <c r="AH17" s="86" t="s">
        <v>171</v>
      </c>
      <c r="AI17" s="86" t="s">
        <v>137</v>
      </c>
      <c r="AJ17" s="86" t="s">
        <v>451</v>
      </c>
      <c r="AK17" s="112">
        <v>1.6E-2</v>
      </c>
      <c r="AL17" s="122"/>
      <c r="AM17" s="122"/>
      <c r="AN17" s="122"/>
      <c r="AO17" s="123">
        <v>1.4E-2</v>
      </c>
      <c r="AP17" s="124">
        <v>1.6E-2</v>
      </c>
      <c r="AQ17" s="114" t="s">
        <v>354</v>
      </c>
      <c r="AR17" s="278">
        <v>1.7000000000000001E-2</v>
      </c>
      <c r="AS17" s="279">
        <v>1.7999999999999999E-2</v>
      </c>
      <c r="AT17" s="424">
        <f>52845304.24/4808185150.80667</f>
        <v>1.0990696610577513E-2</v>
      </c>
      <c r="AU17" s="424">
        <f>53514987.94/4722347382.06667</f>
        <v>1.1332285325561945E-2</v>
      </c>
      <c r="AV17" s="424">
        <f>52497371.31/4643205346.01917</f>
        <v>1.1306278184532238E-2</v>
      </c>
      <c r="AW17" s="424">
        <f>52085496.66/4574624549.61833</f>
        <v>1.1385742391546775E-2</v>
      </c>
      <c r="AX17" s="424">
        <f>52197609.29/4525568735.43917</f>
        <v>1.1533933598499337E-2</v>
      </c>
      <c r="AY17" s="424">
        <f>53427393.78/4488380775.17</f>
        <v>1.1903489578148905E-2</v>
      </c>
      <c r="AZ17" s="424">
        <f>54288768.57/4449454986.38667</f>
        <v>1.2201217617910329E-2</v>
      </c>
      <c r="BA17" s="424">
        <f>53638177.38/4412820807.55833</f>
        <v>1.2155077153399913E-2</v>
      </c>
      <c r="BB17" s="424">
        <f>53238306.72/4366318844.9525</f>
        <v>1.2192949853294362E-2</v>
      </c>
      <c r="BC17" s="424">
        <f>53712174.1705/4321463700.01417</f>
        <v>1.2429162408635733E-2</v>
      </c>
      <c r="BD17" s="424">
        <f>55139493.0407/4279568641.28</f>
        <v>1.2884357668395295E-2</v>
      </c>
      <c r="BE17" s="424">
        <f>55541066.9407/4250367523.57833</f>
        <v>1.3067356324504543E-2</v>
      </c>
      <c r="BF17" s="424">
        <f>55524885.2007/4227849773.12917</f>
        <v>1.3133126336133796E-2</v>
      </c>
      <c r="BG17" s="424">
        <f>56121124.1207/4203517041.86917</f>
        <v>1.3350992409857038E-2</v>
      </c>
      <c r="BH17" s="424">
        <f>56297005.5707/4179080909.9425</f>
        <v>1.3471145159396923E-2</v>
      </c>
      <c r="BI17" s="382"/>
      <c r="BJ17" s="280"/>
      <c r="BK17" s="280"/>
      <c r="BL17" s="280"/>
      <c r="BM17" s="280"/>
      <c r="BN17" s="280"/>
      <c r="BO17" s="280"/>
      <c r="BP17" s="280"/>
      <c r="BQ17" s="280"/>
      <c r="BR17" s="199">
        <f t="shared" si="0"/>
        <v>1.222252070802631E-2</v>
      </c>
      <c r="BS17" s="375">
        <f t="shared" si="1"/>
        <v>6.6340057865557889E-7</v>
      </c>
      <c r="BT17" s="376">
        <f t="shared" si="2"/>
        <v>4.0724703149795302E-4</v>
      </c>
      <c r="BU17" s="377" t="str">
        <f t="shared" ca="1" si="3"/>
        <v>µ</v>
      </c>
      <c r="BV17" s="125" t="s">
        <v>193</v>
      </c>
      <c r="BW17" s="137"/>
    </row>
    <row r="18" spans="1:77" s="353" customFormat="1" ht="57.75" customHeight="1">
      <c r="B18" s="458"/>
      <c r="C18" s="338" t="s">
        <v>102</v>
      </c>
      <c r="D18" s="328" t="s">
        <v>81</v>
      </c>
      <c r="E18" s="300" t="s">
        <v>81</v>
      </c>
      <c r="F18" s="298" t="s">
        <v>29</v>
      </c>
      <c r="G18" s="299"/>
      <c r="H18" s="290" t="s">
        <v>55</v>
      </c>
      <c r="I18" s="286"/>
      <c r="J18" s="297"/>
      <c r="K18" s="299"/>
      <c r="L18" s="290" t="s">
        <v>54</v>
      </c>
      <c r="M18" s="300"/>
      <c r="N18" s="300"/>
      <c r="O18" s="299"/>
      <c r="P18" s="290" t="s">
        <v>54</v>
      </c>
      <c r="Q18" s="286"/>
      <c r="R18" s="297"/>
      <c r="S18" s="299"/>
      <c r="T18" s="291"/>
      <c r="U18" s="291"/>
      <c r="V18" s="291"/>
      <c r="W18" s="291"/>
      <c r="X18" s="291"/>
      <c r="Y18" s="373" t="s">
        <v>323</v>
      </c>
      <c r="Z18" s="84" t="s">
        <v>151</v>
      </c>
      <c r="AA18" s="86"/>
      <c r="AB18" s="374"/>
      <c r="AC18" s="84" t="s">
        <v>143</v>
      </c>
      <c r="AD18" s="85"/>
      <c r="AE18" s="84" t="s">
        <v>194</v>
      </c>
      <c r="AF18" s="86" t="s">
        <v>453</v>
      </c>
      <c r="AG18" s="86" t="s">
        <v>195</v>
      </c>
      <c r="AH18" s="86" t="s">
        <v>176</v>
      </c>
      <c r="AI18" s="86"/>
      <c r="AJ18" s="86" t="s">
        <v>452</v>
      </c>
      <c r="AK18" s="106">
        <f>126.249963851156/1297.64620955215</f>
        <v>9.7291513605027996E-2</v>
      </c>
      <c r="AL18" s="88"/>
      <c r="AM18" s="89"/>
      <c r="AN18" s="88"/>
      <c r="AO18" s="107"/>
      <c r="AP18" s="108"/>
      <c r="AQ18" s="114" t="s">
        <v>354</v>
      </c>
      <c r="AR18" s="278">
        <v>0.106</v>
      </c>
      <c r="AS18" s="279">
        <v>0.12</v>
      </c>
      <c r="AT18" s="117">
        <f>135528625.18/1425653488.68</f>
        <v>9.5064211785070407E-2</v>
      </c>
      <c r="AU18" s="117">
        <f>132504856.2/1418464230.64</f>
        <v>9.3414309178748087E-2</v>
      </c>
      <c r="AV18" s="117">
        <f>132409704.94/1419735773.83</f>
        <v>9.3263625091872068E-2</v>
      </c>
      <c r="AW18" s="117">
        <f>134792740.47/1413157453</f>
        <v>9.5384091973507779E-2</v>
      </c>
      <c r="AX18" s="117">
        <f>133821996.92/1400898510.29</f>
        <v>9.5525832840165928E-2</v>
      </c>
      <c r="AY18" s="117">
        <f>132546435.15/1389975612.59</f>
        <v>9.5358820650831899E-2</v>
      </c>
      <c r="AZ18" s="117">
        <f>135227944.09/1390882444.19</f>
        <v>9.7224567507394125E-2</v>
      </c>
      <c r="BA18" s="117">
        <f>132998905.85/1372450098.04</f>
        <v>9.6906187000850616E-2</v>
      </c>
      <c r="BB18" s="117">
        <f>129996579.14/1363384266.34</f>
        <v>9.5348451899753356E-2</v>
      </c>
      <c r="BC18" s="117">
        <f>128809994.53/1355941168.45</f>
        <v>9.4996742872882123E-2</v>
      </c>
      <c r="BD18" s="117">
        <f>132068871.11/1346281050.71</f>
        <v>9.8099034403217433E-2</v>
      </c>
      <c r="BE18" s="117">
        <f>127596797.49/1342092484.76</f>
        <v>9.5073028825444564E-2</v>
      </c>
      <c r="BF18" s="117">
        <f>127308962.19/1335843000</f>
        <v>9.5302338815264967E-2</v>
      </c>
      <c r="BG18" s="117">
        <f>123254702.18/1325648000</f>
        <v>9.2976945750304768E-2</v>
      </c>
      <c r="BH18" s="117">
        <f>110803287.35/1319064794.73</f>
        <v>8.4001398409454461E-2</v>
      </c>
      <c r="BI18" s="93"/>
      <c r="BJ18" s="93"/>
      <c r="BK18" s="93"/>
      <c r="BL18" s="93"/>
      <c r="BM18" s="93"/>
      <c r="BN18" s="93"/>
      <c r="BO18" s="93"/>
      <c r="BP18" s="93"/>
      <c r="BQ18" s="93"/>
      <c r="BR18" s="199">
        <f t="shared" si="0"/>
        <v>9.4529305800317515E-2</v>
      </c>
      <c r="BS18" s="375">
        <f t="shared" si="1"/>
        <v>1.044496003205751E-5</v>
      </c>
      <c r="BT18" s="376">
        <f t="shared" si="2"/>
        <v>1.6159331694146194E-3</v>
      </c>
      <c r="BU18" s="377" t="str">
        <f t="shared" ca="1" si="3"/>
        <v>N</v>
      </c>
      <c r="BV18" s="94" t="s">
        <v>196</v>
      </c>
      <c r="BW18" s="378"/>
      <c r="BY18" s="95"/>
    </row>
    <row r="19" spans="1:77" s="353" customFormat="1" ht="57.75" customHeight="1">
      <c r="B19" s="458"/>
      <c r="C19" s="338" t="s">
        <v>103</v>
      </c>
      <c r="D19" s="328" t="s">
        <v>81</v>
      </c>
      <c r="E19" s="300" t="s">
        <v>81</v>
      </c>
      <c r="F19" s="298" t="s">
        <v>29</v>
      </c>
      <c r="G19" s="299"/>
      <c r="H19" s="290" t="s">
        <v>55</v>
      </c>
      <c r="I19" s="286"/>
      <c r="J19" s="297"/>
      <c r="K19" s="299"/>
      <c r="L19" s="290" t="s">
        <v>54</v>
      </c>
      <c r="M19" s="300"/>
      <c r="N19" s="300"/>
      <c r="O19" s="299"/>
      <c r="P19" s="290" t="s">
        <v>54</v>
      </c>
      <c r="Q19" s="286"/>
      <c r="R19" s="297"/>
      <c r="S19" s="299"/>
      <c r="T19" s="291"/>
      <c r="U19" s="291"/>
      <c r="V19" s="291"/>
      <c r="W19" s="291"/>
      <c r="X19" s="291"/>
      <c r="Y19" s="271"/>
      <c r="Z19" s="84" t="s">
        <v>151</v>
      </c>
      <c r="AA19" s="86"/>
      <c r="AB19" s="374"/>
      <c r="AC19" s="84" t="s">
        <v>143</v>
      </c>
      <c r="AD19" s="85"/>
      <c r="AE19" s="84" t="s">
        <v>197</v>
      </c>
      <c r="AF19" s="86" t="s">
        <v>453</v>
      </c>
      <c r="AG19" s="86" t="s">
        <v>195</v>
      </c>
      <c r="AH19" s="86" t="s">
        <v>176</v>
      </c>
      <c r="AI19" s="86"/>
      <c r="AJ19" s="86" t="s">
        <v>452</v>
      </c>
      <c r="AK19" s="106">
        <f>2.92728882971842/243.309059327228</f>
        <v>1.2031154276838865E-2</v>
      </c>
      <c r="AL19" s="88"/>
      <c r="AM19" s="89"/>
      <c r="AN19" s="88"/>
      <c r="AO19" s="107"/>
      <c r="AP19" s="108"/>
      <c r="AQ19" s="114" t="s">
        <v>354</v>
      </c>
      <c r="AR19" s="278">
        <v>1.4999999999999999E-2</v>
      </c>
      <c r="AS19" s="279">
        <v>1.7000000000000001E-2</v>
      </c>
      <c r="AT19" s="117">
        <f>3281975.77/267760000</f>
        <v>1.2257154802808486E-2</v>
      </c>
      <c r="AU19" s="117">
        <f>3368994.58/268881000</f>
        <v>1.2529686292449077E-2</v>
      </c>
      <c r="AV19" s="117">
        <f>3184008.85/268031000</f>
        <v>1.1879255944275103E-2</v>
      </c>
      <c r="AW19" s="117">
        <f>3106624.74/269291000</f>
        <v>1.1536311053841385E-2</v>
      </c>
      <c r="AX19" s="117">
        <f>3069150.7/270174000</f>
        <v>1.1359903987800455E-2</v>
      </c>
      <c r="AY19" s="117">
        <f>3106639.83/270540011.39</f>
        <v>1.1483106746534391E-2</v>
      </c>
      <c r="AZ19" s="117">
        <f>3367879.94/269777000</f>
        <v>1.2483940217290577E-2</v>
      </c>
      <c r="BA19" s="117">
        <f>3694288.27/268404000</f>
        <v>1.3763909144424076E-2</v>
      </c>
      <c r="BB19" s="117">
        <f>3185553.77/267138000</f>
        <v>1.1924749642506869E-2</v>
      </c>
      <c r="BC19" s="117">
        <f>3088628.47/265938000</f>
        <v>1.1614092269626756E-2</v>
      </c>
      <c r="BD19" s="117">
        <f>3248285.83/262427000</f>
        <v>1.2377864434680882E-2</v>
      </c>
      <c r="BE19" s="117">
        <f>3433970.14/259140586.14</f>
        <v>1.3251379072457633E-2</v>
      </c>
      <c r="BF19" s="117">
        <f>3569446.67/256294000</f>
        <v>1.3927156585796E-2</v>
      </c>
      <c r="BG19" s="423">
        <f>3735624.25/253218000</f>
        <v>1.4752601513320538E-2</v>
      </c>
      <c r="BH19" s="423">
        <f>3739986.58/250365000</f>
        <v>1.4938136640504864E-2</v>
      </c>
      <c r="BI19" s="93"/>
      <c r="BJ19" s="93"/>
      <c r="BK19" s="93"/>
      <c r="BL19" s="93"/>
      <c r="BM19" s="93"/>
      <c r="BN19" s="93"/>
      <c r="BO19" s="93"/>
      <c r="BP19" s="93"/>
      <c r="BQ19" s="93"/>
      <c r="BR19" s="199">
        <f t="shared" si="0"/>
        <v>1.2671949889887806E-2</v>
      </c>
      <c r="BS19" s="375">
        <f t="shared" si="1"/>
        <v>1.4009086482311466E-6</v>
      </c>
      <c r="BT19" s="376">
        <f t="shared" si="2"/>
        <v>5.9179993414817706E-4</v>
      </c>
      <c r="BU19" s="377" t="str">
        <f t="shared" ca="1" si="3"/>
        <v>N</v>
      </c>
      <c r="BV19" s="94" t="s">
        <v>196</v>
      </c>
      <c r="BW19" s="378"/>
      <c r="BY19" s="95"/>
    </row>
    <row r="20" spans="1:77" s="353" customFormat="1" ht="57.75" customHeight="1">
      <c r="B20" s="458"/>
      <c r="C20" s="338" t="s">
        <v>104</v>
      </c>
      <c r="D20" s="328" t="s">
        <v>81</v>
      </c>
      <c r="E20" s="300" t="s">
        <v>81</v>
      </c>
      <c r="F20" s="298" t="s">
        <v>29</v>
      </c>
      <c r="G20" s="299"/>
      <c r="H20" s="290" t="s">
        <v>55</v>
      </c>
      <c r="I20" s="286"/>
      <c r="J20" s="297"/>
      <c r="K20" s="299"/>
      <c r="L20" s="290" t="s">
        <v>54</v>
      </c>
      <c r="M20" s="300"/>
      <c r="N20" s="300"/>
      <c r="O20" s="299"/>
      <c r="P20" s="290" t="s">
        <v>54</v>
      </c>
      <c r="Q20" s="286"/>
      <c r="R20" s="297"/>
      <c r="S20" s="299"/>
      <c r="T20" s="291"/>
      <c r="U20" s="291"/>
      <c r="V20" s="291"/>
      <c r="W20" s="291"/>
      <c r="X20" s="291"/>
      <c r="Y20" s="271"/>
      <c r="Z20" s="84" t="s">
        <v>151</v>
      </c>
      <c r="AA20" s="86"/>
      <c r="AB20" s="374"/>
      <c r="AC20" s="84" t="s">
        <v>143</v>
      </c>
      <c r="AD20" s="85"/>
      <c r="AE20" s="84" t="s">
        <v>198</v>
      </c>
      <c r="AF20" s="86" t="s">
        <v>453</v>
      </c>
      <c r="AG20" s="86" t="s">
        <v>195</v>
      </c>
      <c r="AH20" s="86" t="s">
        <v>176</v>
      </c>
      <c r="AI20" s="86"/>
      <c r="AJ20" s="86" t="s">
        <v>452</v>
      </c>
      <c r="AK20" s="106">
        <f>11.9094024173571/237.970414168349</f>
        <v>5.0045727150484984E-2</v>
      </c>
      <c r="AL20" s="88"/>
      <c r="AM20" s="89"/>
      <c r="AN20" s="88"/>
      <c r="AO20" s="107"/>
      <c r="AP20" s="108"/>
      <c r="AQ20" s="114" t="s">
        <v>354</v>
      </c>
      <c r="AR20" s="278">
        <v>2.3E-2</v>
      </c>
      <c r="AS20" s="279">
        <v>2.5999999999999999E-2</v>
      </c>
      <c r="AT20" s="423">
        <f>6124188.16/241348000</f>
        <v>2.5374928153537632E-2</v>
      </c>
      <c r="AU20" s="130">
        <f>6154544.16/240428000</f>
        <v>2.5598283727352889E-2</v>
      </c>
      <c r="AV20" s="423">
        <f>5586644.79/237669000</f>
        <v>2.3505988538681948E-2</v>
      </c>
      <c r="AW20" s="117">
        <f>5088717.14/239372000</f>
        <v>2.1258614792039169E-2</v>
      </c>
      <c r="AX20" s="117">
        <f>5063346.41/239138000</f>
        <v>2.1173324231197051E-2</v>
      </c>
      <c r="AY20" s="117">
        <f>4864548.23/239704359.44</f>
        <v>2.0293949769476918E-2</v>
      </c>
      <c r="AZ20" s="117">
        <f>4915238.59/238959000</f>
        <v>2.0569380479496482E-2</v>
      </c>
      <c r="BA20" s="117">
        <f>5214333.41/239065000</f>
        <v>2.1811362641959299E-2</v>
      </c>
      <c r="BB20" s="117">
        <f>5031679.62/237211757.3</f>
        <v>2.1211763182701231E-2</v>
      </c>
      <c r="BC20" s="117">
        <f>5120391.01/235516000</f>
        <v>2.1741159878734352E-2</v>
      </c>
      <c r="BD20" s="423">
        <f>5442722.97/236229000</f>
        <v>2.3040028827959309E-2</v>
      </c>
      <c r="BE20" s="423">
        <f>5358917.61/233301960.62</f>
        <v>2.2969878160297819E-2</v>
      </c>
      <c r="BF20" s="423">
        <f>5495221.35/232662000</f>
        <v>2.3618903602651054E-2</v>
      </c>
      <c r="BG20" s="423">
        <f>5572586.62/230308000</f>
        <v>2.419623556281154E-2</v>
      </c>
      <c r="BH20" s="423">
        <f>5380531.07/227158000</f>
        <v>2.3686293548983529E-2</v>
      </c>
      <c r="BI20" s="265"/>
      <c r="BJ20" s="93"/>
      <c r="BK20" s="93"/>
      <c r="BL20" s="93"/>
      <c r="BM20" s="93"/>
      <c r="BN20" s="93"/>
      <c r="BO20" s="93"/>
      <c r="BP20" s="93"/>
      <c r="BQ20" s="93"/>
      <c r="BR20" s="199">
        <f t="shared" si="0"/>
        <v>2.2670006339858682E-2</v>
      </c>
      <c r="BS20" s="375">
        <f t="shared" si="1"/>
        <v>2.7926137808095062E-6</v>
      </c>
      <c r="BT20" s="376">
        <f t="shared" si="2"/>
        <v>8.3555577025257654E-4</v>
      </c>
      <c r="BU20" s="377" t="str">
        <f t="shared" ca="1" si="3"/>
        <v>µ</v>
      </c>
      <c r="BV20" s="94" t="s">
        <v>196</v>
      </c>
      <c r="BW20" s="378"/>
      <c r="BY20" s="95"/>
    </row>
    <row r="21" spans="1:77" s="95" customFormat="1" ht="57.75" customHeight="1">
      <c r="B21" s="458"/>
      <c r="C21" s="341" t="s">
        <v>353</v>
      </c>
      <c r="D21" s="329"/>
      <c r="E21" s="301"/>
      <c r="F21" s="293"/>
      <c r="G21" s="303"/>
      <c r="H21" s="295"/>
      <c r="I21" s="293"/>
      <c r="J21" s="301"/>
      <c r="K21" s="301"/>
      <c r="L21" s="295"/>
      <c r="M21" s="301"/>
      <c r="N21" s="301"/>
      <c r="O21" s="303"/>
      <c r="P21" s="295" t="s">
        <v>54</v>
      </c>
      <c r="Q21" s="293"/>
      <c r="R21" s="301"/>
      <c r="S21" s="303"/>
      <c r="T21" s="302"/>
      <c r="U21" s="302"/>
      <c r="V21" s="302"/>
      <c r="W21" s="302"/>
      <c r="X21" s="302"/>
      <c r="Y21" s="380"/>
      <c r="Z21" s="84" t="s">
        <v>151</v>
      </c>
      <c r="AA21" s="86"/>
      <c r="AB21" s="381"/>
      <c r="AC21" s="84" t="s">
        <v>143</v>
      </c>
      <c r="AD21" s="85"/>
      <c r="AE21" s="84" t="s">
        <v>199</v>
      </c>
      <c r="AF21" s="86" t="s">
        <v>453</v>
      </c>
      <c r="AG21" s="86" t="s">
        <v>195</v>
      </c>
      <c r="AH21" s="86" t="s">
        <v>176</v>
      </c>
      <c r="AI21" s="86"/>
      <c r="AJ21" s="86" t="s">
        <v>452</v>
      </c>
      <c r="AK21" s="96"/>
      <c r="AL21" s="88"/>
      <c r="AM21" s="89"/>
      <c r="AN21" s="88"/>
      <c r="AO21" s="107"/>
      <c r="AP21" s="108"/>
      <c r="AQ21" s="114" t="s">
        <v>354</v>
      </c>
      <c r="AR21" s="278">
        <v>4.2000000000000003E-2</v>
      </c>
      <c r="AS21" s="279">
        <v>0.05</v>
      </c>
      <c r="AT21" s="117">
        <f>38054535.65/2383182516.71</f>
        <v>1.5967948481988088E-2</v>
      </c>
      <c r="AU21" s="117">
        <f>36338797.18/2367045544.48</f>
        <v>1.5351963659821772E-2</v>
      </c>
      <c r="AV21" s="117">
        <f>34670646.47/2372077073.17</f>
        <v>1.461615512503849E-2</v>
      </c>
      <c r="AW21" s="117">
        <f>34766026.29/2385131202.73</f>
        <v>1.4576148368780347E-2</v>
      </c>
      <c r="AX21" s="117">
        <f>34357712.53/2442673377.98</f>
        <v>1.4065618776429516E-2</v>
      </c>
      <c r="AY21" s="117">
        <f>33551187.93/2480434050.21</f>
        <v>1.3526337427580254E-2</v>
      </c>
      <c r="AZ21" s="117">
        <f>51090472.45/2458006793.4</f>
        <v>2.0785325975169456E-2</v>
      </c>
      <c r="BA21" s="117">
        <f>42035363.2/2427541712.44</f>
        <v>1.731602097075766E-2</v>
      </c>
      <c r="BB21" s="117">
        <f>45809367.39/2272674898.89</f>
        <v>2.0156586149815716E-2</v>
      </c>
      <c r="BC21" s="117">
        <f>42045568.68/2252395762.52</f>
        <v>1.8667043056837869E-2</v>
      </c>
      <c r="BD21" s="117">
        <f>51483463.03/2214467185.8</f>
        <v>2.3248690863486896E-2</v>
      </c>
      <c r="BE21" s="117">
        <f>45016281.34/2244419908.2</f>
        <v>2.0056978275559214E-2</v>
      </c>
      <c r="BF21" s="117">
        <f>42846996.51/2222932000</f>
        <v>1.9274991997056141E-2</v>
      </c>
      <c r="BG21" s="425">
        <f>43308674.27/2193652000</f>
        <v>1.9742727775417433E-2</v>
      </c>
      <c r="BH21" s="425">
        <f>43802749.65/2207691469.15</f>
        <v>1.9840974276566292E-2</v>
      </c>
      <c r="BI21" s="93"/>
      <c r="BJ21" s="93"/>
      <c r="BK21" s="93"/>
      <c r="BL21" s="93"/>
      <c r="BM21" s="93"/>
      <c r="BN21" s="93"/>
      <c r="BO21" s="93"/>
      <c r="BP21" s="93"/>
      <c r="BQ21" s="93"/>
      <c r="BR21" s="199">
        <f t="shared" si="0"/>
        <v>1.7812900745353678E-2</v>
      </c>
      <c r="BS21" s="375">
        <f t="shared" si="1"/>
        <v>8.7454215118609412E-6</v>
      </c>
      <c r="BT21" s="376">
        <f t="shared" si="2"/>
        <v>1.4786329422697289E-3</v>
      </c>
      <c r="BU21" s="377" t="str">
        <f t="shared" ca="1" si="3"/>
        <v>µ</v>
      </c>
      <c r="BV21" s="94" t="s">
        <v>196</v>
      </c>
      <c r="BW21" s="137"/>
    </row>
    <row r="22" spans="1:77" s="95" customFormat="1" ht="57.75" customHeight="1" thickBot="1">
      <c r="B22" s="459"/>
      <c r="C22" s="341" t="s">
        <v>123</v>
      </c>
      <c r="D22" s="329"/>
      <c r="E22" s="301"/>
      <c r="F22" s="293"/>
      <c r="G22" s="304"/>
      <c r="H22" s="295"/>
      <c r="I22" s="293"/>
      <c r="J22" s="301"/>
      <c r="K22" s="301"/>
      <c r="L22" s="295"/>
      <c r="M22" s="301"/>
      <c r="N22" s="301"/>
      <c r="O22" s="304"/>
      <c r="P22" s="295" t="s">
        <v>54</v>
      </c>
      <c r="Q22" s="305"/>
      <c r="R22" s="306"/>
      <c r="S22" s="303"/>
      <c r="T22" s="302"/>
      <c r="U22" s="302"/>
      <c r="V22" s="302"/>
      <c r="W22" s="302"/>
      <c r="X22" s="302"/>
      <c r="Y22" s="380"/>
      <c r="Z22" s="85" t="s">
        <v>151</v>
      </c>
      <c r="AA22" s="86"/>
      <c r="AB22" s="381"/>
      <c r="AC22" s="84"/>
      <c r="AD22" s="85"/>
      <c r="AE22" s="84" t="s">
        <v>200</v>
      </c>
      <c r="AF22" s="86" t="s">
        <v>453</v>
      </c>
      <c r="AG22" s="86" t="s">
        <v>195</v>
      </c>
      <c r="AH22" s="86" t="s">
        <v>176</v>
      </c>
      <c r="AI22" s="86"/>
      <c r="AJ22" s="86" t="s">
        <v>452</v>
      </c>
      <c r="AK22" s="96"/>
      <c r="AL22" s="86"/>
      <c r="AM22" s="128"/>
      <c r="AN22" s="86"/>
      <c r="AO22" s="107"/>
      <c r="AP22" s="108"/>
      <c r="AQ22" s="114" t="s">
        <v>354</v>
      </c>
      <c r="AR22" s="278">
        <v>6.0999999999999999E-2</v>
      </c>
      <c r="AS22" s="279">
        <v>7.0000000000000007E-2</v>
      </c>
      <c r="AT22" s="117">
        <f>182989324.76/4317944005.39</f>
        <v>4.2378809111831513E-2</v>
      </c>
      <c r="AU22" s="117">
        <f>178367192.12/4317944005.39</f>
        <v>4.1308361548308158E-2</v>
      </c>
      <c r="AV22" s="117">
        <f>175851005.05/4297512847</f>
        <v>4.0919250578333413E-2</v>
      </c>
      <c r="AW22" s="117">
        <f>177754108.64/4306951655.73</f>
        <v>4.1271442739208519E-2</v>
      </c>
      <c r="AX22" s="117">
        <f>176312206.56/4352883888.27</f>
        <v>4.0504688635302218E-2</v>
      </c>
      <c r="AY22" s="117">
        <f>174068811.14/4380654033.63</f>
        <v>3.9735804243769282E-2</v>
      </c>
      <c r="AZ22" s="117">
        <f>194601535.07/4357625237.59</f>
        <v>4.4657703326875589E-2</v>
      </c>
      <c r="BA22" s="117">
        <f>183942890.73/4307460810.48</f>
        <v>4.2703323099880369E-2</v>
      </c>
      <c r="BB22" s="117">
        <f>184023179.92/4140408922.53</f>
        <v>4.4445653403614171E-2</v>
      </c>
      <c r="BC22" s="117">
        <f>179064582.69/4109790930.97</f>
        <v>4.3570241332869179E-2</v>
      </c>
      <c r="BD22" s="117">
        <f>192243342.94/4059404236.51</f>
        <v>4.7357526311614079E-2</v>
      </c>
      <c r="BE22" s="117">
        <f>181405966.58/4078954939.72</f>
        <v>4.4473638287470918E-2</v>
      </c>
      <c r="BF22" s="117">
        <f>179220626.72/4047731000</f>
        <v>4.4276812545102427E-2</v>
      </c>
      <c r="BG22" s="117">
        <f>175871587.32/4002826000</f>
        <v>4.3936855441630486E-2</v>
      </c>
      <c r="BH22" s="117">
        <f>163726554.65/4004279263.88</f>
        <v>4.0887896138231621E-2</v>
      </c>
      <c r="BI22" s="93"/>
      <c r="BJ22" s="93"/>
      <c r="BK22" s="93"/>
      <c r="BL22" s="93"/>
      <c r="BM22" s="93"/>
      <c r="BN22" s="93"/>
      <c r="BO22" s="93"/>
      <c r="BP22" s="93"/>
      <c r="BQ22" s="93"/>
      <c r="BR22" s="199">
        <f t="shared" si="0"/>
        <v>4.2828533782936128E-2</v>
      </c>
      <c r="BS22" s="375">
        <f t="shared" si="1"/>
        <v>4.3132252027000492E-6</v>
      </c>
      <c r="BT22" s="376">
        <f t="shared" si="2"/>
        <v>1.0384152833404429E-3</v>
      </c>
      <c r="BU22" s="377" t="str">
        <f ca="1">+IF(OR(BT22="",OFFSET(AT22,0,MATCH($B$1,AR$2:BO$2,0)-1)=""),"",IFERROR(IF(ABS(OFFSET(AT22,0,MATCH($B$1,AR$2:BO$2,0)-1)-OFFSET(AT22,0,MATCH($B$1,AR$2:BO$2,0)-2))&gt;BT22,"N","µ"),""))</f>
        <v/>
      </c>
      <c r="BV22" s="94" t="s">
        <v>218</v>
      </c>
      <c r="BW22" s="137"/>
      <c r="BY22" s="95" t="s">
        <v>219</v>
      </c>
    </row>
    <row r="23" spans="1:77" s="353" customFormat="1" ht="57.75" customHeight="1">
      <c r="B23" s="454" t="s">
        <v>280</v>
      </c>
      <c r="C23" s="342" t="s">
        <v>389</v>
      </c>
      <c r="D23" s="330" t="s">
        <v>21</v>
      </c>
      <c r="E23" s="308" t="s">
        <v>15</v>
      </c>
      <c r="F23" s="298" t="s">
        <v>19</v>
      </c>
      <c r="G23" s="146"/>
      <c r="H23" s="290" t="s">
        <v>54</v>
      </c>
      <c r="I23" s="309"/>
      <c r="J23" s="308"/>
      <c r="K23" s="146"/>
      <c r="L23" s="290" t="s">
        <v>54</v>
      </c>
      <c r="M23" s="307"/>
      <c r="N23" s="308"/>
      <c r="O23" s="146"/>
      <c r="P23" s="290" t="s">
        <v>54</v>
      </c>
      <c r="Q23" s="309"/>
      <c r="R23" s="308"/>
      <c r="S23" s="146"/>
      <c r="T23" s="291"/>
      <c r="U23" s="291"/>
      <c r="V23" s="291"/>
      <c r="W23" s="291"/>
      <c r="X23" s="291"/>
      <c r="Y23" s="373"/>
      <c r="Z23" s="84" t="s">
        <v>151</v>
      </c>
      <c r="AA23" s="102" t="s">
        <v>368</v>
      </c>
      <c r="AB23" s="374"/>
      <c r="AC23" s="84" t="s">
        <v>143</v>
      </c>
      <c r="AD23" s="85" t="s">
        <v>316</v>
      </c>
      <c r="AE23" s="84" t="s">
        <v>217</v>
      </c>
      <c r="AF23" s="111" t="s">
        <v>169</v>
      </c>
      <c r="AG23" s="86" t="s">
        <v>204</v>
      </c>
      <c r="AH23" s="86" t="s">
        <v>176</v>
      </c>
      <c r="AI23" s="111"/>
      <c r="AJ23" s="86" t="s">
        <v>399</v>
      </c>
      <c r="AK23" s="96"/>
      <c r="AL23" s="99"/>
      <c r="AM23" s="139"/>
      <c r="AN23" s="99"/>
      <c r="AO23" s="154"/>
      <c r="AP23" s="155"/>
      <c r="AQ23" s="100" t="s">
        <v>397</v>
      </c>
      <c r="AR23" s="90" t="s">
        <v>398</v>
      </c>
      <c r="AS23" s="156" t="s">
        <v>396</v>
      </c>
      <c r="AT23" s="383">
        <v>37.927290890000002</v>
      </c>
      <c r="AU23" s="383">
        <v>37.927290890000002</v>
      </c>
      <c r="AV23" s="383">
        <v>37.927202020000003</v>
      </c>
      <c r="AW23" s="383">
        <v>37.779458009999999</v>
      </c>
      <c r="AX23" s="383">
        <v>37.779458009999999</v>
      </c>
      <c r="AY23" s="383">
        <v>36.03333997</v>
      </c>
      <c r="AZ23" s="383">
        <v>36.033226310000003</v>
      </c>
      <c r="BA23" s="383">
        <v>36.033226310000003</v>
      </c>
      <c r="BB23" s="383">
        <v>36.033132019999996</v>
      </c>
      <c r="BC23" s="383">
        <v>35.588045940000001</v>
      </c>
      <c r="BD23" s="383">
        <v>35.588045940000001</v>
      </c>
      <c r="BE23" s="383">
        <v>40</v>
      </c>
      <c r="BF23" s="383">
        <v>26</v>
      </c>
      <c r="BG23" s="157">
        <v>26</v>
      </c>
      <c r="BH23" s="157">
        <v>26</v>
      </c>
      <c r="BI23" s="205"/>
      <c r="BJ23" s="205"/>
      <c r="BK23" s="205"/>
      <c r="BL23" s="205"/>
      <c r="BM23" s="205"/>
      <c r="BN23" s="205"/>
      <c r="BO23" s="205"/>
      <c r="BP23" s="205"/>
      <c r="BQ23" s="205"/>
      <c r="BR23" s="208">
        <f>+IFERROR(AVERAGE(AT23:BQ23),"")</f>
        <v>34.843314420666665</v>
      </c>
      <c r="BS23" s="375">
        <f>+IFERROR(VAR(AT23:BQ23),"")</f>
        <v>22.410782586227601</v>
      </c>
      <c r="BT23" s="376">
        <f>+IFERROR(STDEV(AT23:BQ23)*(1-$BS$1),"")</f>
        <v>2.3670014040039984</v>
      </c>
      <c r="BU23" s="377" t="str">
        <f ca="1">+IF(OR(BT23="",OFFSET(AT23,0,MATCH($B$1,AT$2:BQ$2,0)-1)=""),"",IFERROR(IF(ABS(OFFSET(AT23,0,MATCH($B$1,AT$2:BQ$2,0)-1)-OFFSET(AT23,0,MATCH($B$1,AT$2:BQ$2,0)-2))&gt;BT23,"N","µ"),""))</f>
        <v>µ</v>
      </c>
      <c r="BV23" s="94" t="s">
        <v>218</v>
      </c>
      <c r="BW23" s="378" t="s">
        <v>295</v>
      </c>
      <c r="BY23" s="95" t="s">
        <v>219</v>
      </c>
    </row>
    <row r="24" spans="1:77" s="353" customFormat="1" ht="57.75" customHeight="1">
      <c r="B24" s="455"/>
      <c r="C24" s="342" t="s">
        <v>281</v>
      </c>
      <c r="D24" s="330" t="s">
        <v>23</v>
      </c>
      <c r="E24" s="308" t="s">
        <v>17</v>
      </c>
      <c r="F24" s="298" t="s">
        <v>19</v>
      </c>
      <c r="G24" s="146"/>
      <c r="H24" s="290" t="s">
        <v>54</v>
      </c>
      <c r="I24" s="309"/>
      <c r="J24" s="308"/>
      <c r="K24" s="146"/>
      <c r="L24" s="290" t="s">
        <v>54</v>
      </c>
      <c r="M24" s="307"/>
      <c r="N24" s="308"/>
      <c r="O24" s="146"/>
      <c r="P24" s="290" t="s">
        <v>54</v>
      </c>
      <c r="Q24" s="309"/>
      <c r="R24" s="308"/>
      <c r="S24" s="146"/>
      <c r="T24" s="291"/>
      <c r="U24" s="291"/>
      <c r="V24" s="291"/>
      <c r="W24" s="291"/>
      <c r="X24" s="291"/>
      <c r="Y24" s="271" t="s">
        <v>366</v>
      </c>
      <c r="Z24" s="84" t="s">
        <v>151</v>
      </c>
      <c r="AA24" s="88"/>
      <c r="AB24" s="374"/>
      <c r="AC24" s="84" t="s">
        <v>143</v>
      </c>
      <c r="AD24" s="85"/>
      <c r="AE24" s="84" t="s">
        <v>220</v>
      </c>
      <c r="AF24" s="111" t="s">
        <v>169</v>
      </c>
      <c r="AG24" s="86" t="s">
        <v>204</v>
      </c>
      <c r="AH24" s="86" t="s">
        <v>176</v>
      </c>
      <c r="AI24" s="86"/>
      <c r="AJ24" s="86" t="s">
        <v>329</v>
      </c>
      <c r="AK24" s="96"/>
      <c r="AL24" s="99"/>
      <c r="AM24" s="139"/>
      <c r="AN24" s="99"/>
      <c r="AO24" s="151"/>
      <c r="AP24" s="158"/>
      <c r="AQ24" s="149">
        <f t="shared" ref="AQ24" si="4">STDEV(AT24:BE24)+(AVERAGE(AT24:BE24))</f>
        <v>827.25575734788379</v>
      </c>
      <c r="AR24" s="159">
        <f>AQ24+1</f>
        <v>828.25575734788379</v>
      </c>
      <c r="AS24" s="160">
        <f t="shared" ref="AS24" si="5">AQ24*1.2</f>
        <v>992.70690881746054</v>
      </c>
      <c r="AT24" s="384">
        <v>836.27935639999998</v>
      </c>
      <c r="AU24" s="385">
        <v>802.55632721999996</v>
      </c>
      <c r="AV24" s="385">
        <v>800.59971832999997</v>
      </c>
      <c r="AW24" s="385">
        <v>801.34266966999996</v>
      </c>
      <c r="AX24" s="385">
        <v>809.52344798800004</v>
      </c>
      <c r="AY24" s="385">
        <v>806.86273189999997</v>
      </c>
      <c r="AZ24" s="385">
        <v>798.30047001800006</v>
      </c>
      <c r="BA24" s="385">
        <v>790.27427711999997</v>
      </c>
      <c r="BB24" s="385">
        <v>680.28241577799997</v>
      </c>
      <c r="BC24" s="385">
        <v>684.70840747</v>
      </c>
      <c r="BD24" s="385">
        <v>658.98479346800002</v>
      </c>
      <c r="BE24" s="385">
        <v>691.24721718000001</v>
      </c>
      <c r="BF24" s="385">
        <v>689.08853503800003</v>
      </c>
      <c r="BG24" s="385">
        <v>687.32309772799999</v>
      </c>
      <c r="BH24" s="385">
        <v>687.61237321800002</v>
      </c>
      <c r="BI24" s="150"/>
      <c r="BJ24" s="150"/>
      <c r="BK24" s="150"/>
      <c r="BL24" s="150"/>
      <c r="BM24" s="150"/>
      <c r="BN24" s="150"/>
      <c r="BO24" s="150"/>
      <c r="BP24" s="150"/>
      <c r="BQ24" s="150"/>
      <c r="BR24" s="208">
        <f>+IFERROR(AVERAGE(AT24:BQ24),"")</f>
        <v>748.33238923506667</v>
      </c>
      <c r="BS24" s="375">
        <f>+IFERROR(VAR(AT24:BQ24),"")</f>
        <v>4177.3109773831929</v>
      </c>
      <c r="BT24" s="376">
        <f>+IFERROR(STDEV(AT24:BQ24)*(1-$BS$1),"")</f>
        <v>32.316060161254157</v>
      </c>
      <c r="BU24" s="377" t="str">
        <f ca="1">+IF(OR(BT24="",OFFSET(AT24,0,MATCH($B$1,AT$2:BQ$2,0)-1)=""),"",IFERROR(IF(ABS(OFFSET(AT24,0,MATCH($B$1,AT$2:BQ$2,0)-1)-OFFSET(AT24,0,MATCH($B$1,AT$2:BQ$2,0)-2))&gt;BT24,"N","µ"),""))</f>
        <v>µ</v>
      </c>
      <c r="BV24" s="94"/>
      <c r="BW24" s="378" t="s">
        <v>296</v>
      </c>
      <c r="BY24" s="95"/>
    </row>
    <row r="25" spans="1:77" s="353" customFormat="1" ht="57.75" customHeight="1">
      <c r="B25" s="455"/>
      <c r="C25" s="342" t="s">
        <v>124</v>
      </c>
      <c r="D25" s="406" t="s">
        <v>81</v>
      </c>
      <c r="E25" s="4" t="s">
        <v>81</v>
      </c>
      <c r="F25" s="35" t="s">
        <v>19</v>
      </c>
      <c r="G25" s="48"/>
      <c r="H25" s="25" t="s">
        <v>54</v>
      </c>
      <c r="I25" s="33"/>
      <c r="J25" s="37"/>
      <c r="K25" s="48"/>
      <c r="L25" s="28" t="s">
        <v>54</v>
      </c>
      <c r="M25" s="5"/>
      <c r="N25" s="4"/>
      <c r="O25" s="48"/>
      <c r="P25" s="28" t="s">
        <v>54</v>
      </c>
      <c r="Q25" s="33"/>
      <c r="R25" s="37"/>
      <c r="S25" s="48"/>
      <c r="T25" s="20"/>
      <c r="U25" s="20"/>
      <c r="V25" s="20"/>
      <c r="W25" s="20"/>
      <c r="X25" s="213"/>
      <c r="Y25" s="219"/>
      <c r="Z25" s="84" t="s">
        <v>151</v>
      </c>
      <c r="AA25" s="86"/>
      <c r="AB25" s="183"/>
      <c r="AC25" s="84" t="s">
        <v>143</v>
      </c>
      <c r="AD25" s="85"/>
      <c r="AE25" s="138" t="s">
        <v>207</v>
      </c>
      <c r="AF25" s="111" t="s">
        <v>169</v>
      </c>
      <c r="AG25" s="86" t="s">
        <v>204</v>
      </c>
      <c r="AH25" s="86" t="s">
        <v>176</v>
      </c>
      <c r="AI25" s="86"/>
      <c r="AJ25" s="86" t="s">
        <v>260</v>
      </c>
      <c r="AK25" s="96"/>
      <c r="AL25" s="99"/>
      <c r="AM25" s="139"/>
      <c r="AN25" s="99"/>
      <c r="AO25" s="140"/>
      <c r="AP25" s="104"/>
      <c r="AQ25" s="141">
        <f>STDEV(AT25:BE25)+(AVERAGE(AT25:BE25))</f>
        <v>4.2598195577342564</v>
      </c>
      <c r="AR25" s="142">
        <v>5</v>
      </c>
      <c r="AS25" s="143">
        <v>6</v>
      </c>
      <c r="AT25" s="144">
        <v>2</v>
      </c>
      <c r="AU25" s="145">
        <v>5</v>
      </c>
      <c r="AV25" s="145">
        <v>5</v>
      </c>
      <c r="AW25" s="145">
        <v>5</v>
      </c>
      <c r="AX25" s="144">
        <v>4</v>
      </c>
      <c r="AY25" s="144">
        <v>2</v>
      </c>
      <c r="AZ25" s="144">
        <v>1</v>
      </c>
      <c r="BA25" s="144">
        <v>1</v>
      </c>
      <c r="BB25" s="144">
        <v>1</v>
      </c>
      <c r="BC25" s="144">
        <v>1</v>
      </c>
      <c r="BD25" s="144">
        <v>2</v>
      </c>
      <c r="BE25" s="144">
        <v>2</v>
      </c>
      <c r="BF25" s="146">
        <v>2</v>
      </c>
      <c r="BG25" s="146">
        <v>3</v>
      </c>
      <c r="BH25" s="146">
        <v>3</v>
      </c>
      <c r="BI25" s="150"/>
      <c r="BJ25" s="150"/>
      <c r="BK25" s="150"/>
      <c r="BL25" s="150"/>
      <c r="BM25" s="150"/>
      <c r="BN25" s="150"/>
      <c r="BO25" s="150"/>
      <c r="BP25" s="150"/>
      <c r="BQ25" s="150"/>
      <c r="BR25" s="208"/>
      <c r="BS25" s="375"/>
      <c r="BT25" s="376"/>
      <c r="BU25" s="377"/>
      <c r="BV25" s="94"/>
      <c r="BW25" s="378"/>
      <c r="BY25" s="95"/>
    </row>
    <row r="26" spans="1:77" s="353" customFormat="1" ht="57.75" customHeight="1">
      <c r="B26" s="455"/>
      <c r="C26" s="342" t="s">
        <v>284</v>
      </c>
      <c r="D26" s="328" t="s">
        <v>81</v>
      </c>
      <c r="E26" s="300" t="s">
        <v>81</v>
      </c>
      <c r="F26" s="298" t="s">
        <v>19</v>
      </c>
      <c r="G26" s="299"/>
      <c r="H26" s="290" t="s">
        <v>54</v>
      </c>
      <c r="I26" s="309"/>
      <c r="J26" s="297"/>
      <c r="K26" s="299"/>
      <c r="L26" s="290" t="s">
        <v>54</v>
      </c>
      <c r="M26" s="300"/>
      <c r="N26" s="300"/>
      <c r="O26" s="299"/>
      <c r="P26" s="290" t="s">
        <v>54</v>
      </c>
      <c r="Q26" s="309"/>
      <c r="R26" s="297"/>
      <c r="S26" s="299"/>
      <c r="T26" s="291" t="s">
        <v>110</v>
      </c>
      <c r="U26" s="291"/>
      <c r="V26" s="291"/>
      <c r="W26" s="291"/>
      <c r="X26" s="291"/>
      <c r="Y26" s="373" t="s">
        <v>369</v>
      </c>
      <c r="Z26" s="84" t="s">
        <v>151</v>
      </c>
      <c r="AA26" s="102" t="s">
        <v>378</v>
      </c>
      <c r="AB26" s="374"/>
      <c r="AC26" s="84" t="s">
        <v>143</v>
      </c>
      <c r="AD26" s="85"/>
      <c r="AE26" s="84" t="s">
        <v>456</v>
      </c>
      <c r="AF26" s="111" t="s">
        <v>473</v>
      </c>
      <c r="AG26" s="86" t="s">
        <v>204</v>
      </c>
      <c r="AH26" s="86" t="s">
        <v>176</v>
      </c>
      <c r="AI26" s="111" t="s">
        <v>211</v>
      </c>
      <c r="AJ26" s="86" t="s">
        <v>400</v>
      </c>
      <c r="AK26" s="96"/>
      <c r="AL26" s="99"/>
      <c r="AM26" s="139"/>
      <c r="AN26" s="99"/>
      <c r="AO26" s="147"/>
      <c r="AP26" s="148"/>
      <c r="AQ26" s="149">
        <f>AS26*(1-0.2)</f>
        <v>320.32000000000005</v>
      </c>
      <c r="AR26" s="159">
        <f>AQ26+1</f>
        <v>321.32000000000005</v>
      </c>
      <c r="AS26" s="160">
        <f>4004*0.1</f>
        <v>400.40000000000003</v>
      </c>
      <c r="AT26" s="386"/>
      <c r="AU26" s="386"/>
      <c r="AV26" s="386"/>
      <c r="AW26" s="386"/>
      <c r="AX26" s="386"/>
      <c r="AY26" s="385">
        <f>'Industry Exposure OCC'!H43</f>
        <v>314.92500000000001</v>
      </c>
      <c r="AZ26" s="386"/>
      <c r="BA26" s="386"/>
      <c r="BB26" s="385">
        <f>'Industry Exposure OCC'!K43</f>
        <v>296.57499999999999</v>
      </c>
      <c r="BC26" s="386"/>
      <c r="BD26" s="386"/>
      <c r="BE26" s="385">
        <f>'Industry Exposure OCC'!N43</f>
        <v>291.76</v>
      </c>
      <c r="BF26" s="386"/>
      <c r="BG26" s="386"/>
      <c r="BH26" s="385">
        <f>'Industry Exposure OCC'!T43</f>
        <v>290.00799999999998</v>
      </c>
      <c r="BI26" s="150">
        <v>189.74832773</v>
      </c>
      <c r="BJ26" s="150"/>
      <c r="BK26" s="150"/>
      <c r="BL26" s="150"/>
      <c r="BM26" s="150"/>
      <c r="BN26" s="150"/>
      <c r="BO26" s="150"/>
      <c r="BP26" s="150"/>
      <c r="BQ26" s="150"/>
      <c r="BR26" s="208">
        <f>+IFERROR(AVERAGE(AT26:BQ26),"")</f>
        <v>276.60326554599999</v>
      </c>
      <c r="BS26" s="375">
        <f>+IFERROR(VAR(AT26:BQ26),"")</f>
        <v>2455.1548091941222</v>
      </c>
      <c r="BT26" s="376">
        <f>+IFERROR(STDEV(AT26:BQ26)*(1-$BS$1),"")</f>
        <v>24.774759379225674</v>
      </c>
      <c r="BU26" s="377" t="str">
        <f ca="1">+IF(OR(BT26="",OFFSET(AT26,0,MATCH($B$1,AT$2:BQ$2,0)-1)=""),"",IFERROR(IF(ABS(OFFSET(AT26,0,MATCH($B$1,AT$2:BQ$2,0)-1)-OFFSET(AT26,0,MATCH($B$1,AT$2:BQ$2,0)-2))&gt;BT26,"N","µ"),""))</f>
        <v/>
      </c>
      <c r="BV26" s="94" t="s">
        <v>208</v>
      </c>
      <c r="BW26" s="378"/>
      <c r="BY26" s="95" t="s">
        <v>182</v>
      </c>
    </row>
    <row r="27" spans="1:77" s="353" customFormat="1" ht="57.75" customHeight="1">
      <c r="B27" s="455"/>
      <c r="C27" s="342" t="s">
        <v>283</v>
      </c>
      <c r="D27" s="328" t="s">
        <v>81</v>
      </c>
      <c r="E27" s="300" t="s">
        <v>81</v>
      </c>
      <c r="F27" s="298" t="s">
        <v>19</v>
      </c>
      <c r="G27" s="299"/>
      <c r="H27" s="290" t="s">
        <v>54</v>
      </c>
      <c r="I27" s="309"/>
      <c r="J27" s="297"/>
      <c r="K27" s="299"/>
      <c r="L27" s="290" t="s">
        <v>54</v>
      </c>
      <c r="M27" s="300"/>
      <c r="N27" s="300"/>
      <c r="O27" s="299"/>
      <c r="P27" s="290" t="s">
        <v>54</v>
      </c>
      <c r="Q27" s="309"/>
      <c r="R27" s="297"/>
      <c r="S27" s="299"/>
      <c r="T27" s="291"/>
      <c r="U27" s="291"/>
      <c r="V27" s="291"/>
      <c r="W27" s="291"/>
      <c r="X27" s="291"/>
      <c r="Y27" s="373" t="s">
        <v>312</v>
      </c>
      <c r="Z27" s="84" t="s">
        <v>151</v>
      </c>
      <c r="AA27" s="102"/>
      <c r="AB27" s="374"/>
      <c r="AC27" s="84" t="s">
        <v>143</v>
      </c>
      <c r="AD27" s="85"/>
      <c r="AE27" s="310" t="s">
        <v>209</v>
      </c>
      <c r="AF27" s="111" t="s">
        <v>169</v>
      </c>
      <c r="AG27" s="86" t="s">
        <v>210</v>
      </c>
      <c r="AH27" s="86" t="s">
        <v>176</v>
      </c>
      <c r="AI27" s="111" t="s">
        <v>211</v>
      </c>
      <c r="AJ27" s="86" t="s">
        <v>476</v>
      </c>
      <c r="AK27" s="96"/>
      <c r="AL27" s="99"/>
      <c r="AM27" s="139"/>
      <c r="AN27" s="99"/>
      <c r="AO27" s="151"/>
      <c r="AP27" s="104"/>
      <c r="AQ27" s="149">
        <f>AS27*(1-0.2)</f>
        <v>896.89600000000019</v>
      </c>
      <c r="AR27" s="159">
        <f>AQ27+1</f>
        <v>897.89600000000019</v>
      </c>
      <c r="AS27" s="160">
        <f>4004*0.28</f>
        <v>1121.1200000000001</v>
      </c>
      <c r="AT27" s="385">
        <v>559.69855313999994</v>
      </c>
      <c r="AU27" s="385">
        <v>565.73655859999997</v>
      </c>
      <c r="AV27" s="385">
        <v>570.88633700000003</v>
      </c>
      <c r="AW27" s="385">
        <v>583.31505948999995</v>
      </c>
      <c r="AX27" s="385">
        <v>614.11119771000006</v>
      </c>
      <c r="AY27" s="385">
        <v>612.1372695</v>
      </c>
      <c r="AZ27" s="385">
        <v>614.66466301000003</v>
      </c>
      <c r="BA27" s="385">
        <v>607.73760225000001</v>
      </c>
      <c r="BB27" s="385">
        <v>602.40659701000004</v>
      </c>
      <c r="BC27" s="385">
        <v>599.30244130999995</v>
      </c>
      <c r="BD27" s="385">
        <v>598.24646568000003</v>
      </c>
      <c r="BE27" s="385">
        <v>513.56570065999995</v>
      </c>
      <c r="BF27" s="385">
        <v>512.26922278999996</v>
      </c>
      <c r="BG27" s="385">
        <v>510.02835246000001</v>
      </c>
      <c r="BH27" s="385">
        <v>508.19472346999999</v>
      </c>
      <c r="BI27" s="227"/>
      <c r="BJ27" s="227"/>
      <c r="BK27" s="227"/>
      <c r="BL27" s="227"/>
      <c r="BM27" s="227"/>
      <c r="BN27" s="227"/>
      <c r="BO27" s="227"/>
      <c r="BP27" s="227"/>
      <c r="BQ27" s="227"/>
      <c r="BR27" s="208">
        <f>+IFERROR(AVERAGE(AT27:BQ27),"")</f>
        <v>571.48671627199997</v>
      </c>
      <c r="BS27" s="375">
        <f>+IFERROR(VAR(AT27:BQ27),"")</f>
        <v>1717.8907977047513</v>
      </c>
      <c r="BT27" s="376">
        <f>+IFERROR(STDEV(AT27:BQ27)*(1-$BS$1),"")</f>
        <v>20.723723107255314</v>
      </c>
      <c r="BU27" s="377" t="str">
        <f ca="1">+IF(OR(BT27="",OFFSET(AT27,0,MATCH($B$1,AT$2:BQ$2,0)-1)=""),"",IFERROR(IF(ABS(OFFSET(AT27,0,MATCH($B$1,AT$2:BQ$2,0)-1)-OFFSET(AT27,0,MATCH($B$1,AT$2:BQ$2,0)-2))&gt;BT27,"N","µ"),""))</f>
        <v>µ</v>
      </c>
      <c r="BV27" s="228" t="s">
        <v>212</v>
      </c>
      <c r="BW27" s="378"/>
      <c r="BY27" s="95" t="s">
        <v>211</v>
      </c>
    </row>
    <row r="28" spans="1:77" s="353" customFormat="1" ht="57.75" customHeight="1" thickBot="1">
      <c r="B28" s="456"/>
      <c r="C28" s="343" t="s">
        <v>285</v>
      </c>
      <c r="D28" s="328" t="s">
        <v>81</v>
      </c>
      <c r="E28" s="300" t="s">
        <v>81</v>
      </c>
      <c r="F28" s="298" t="s">
        <v>19</v>
      </c>
      <c r="G28" s="299"/>
      <c r="H28" s="290" t="s">
        <v>54</v>
      </c>
      <c r="I28" s="309"/>
      <c r="J28" s="297"/>
      <c r="K28" s="299"/>
      <c r="L28" s="290" t="s">
        <v>54</v>
      </c>
      <c r="M28" s="300"/>
      <c r="N28" s="300"/>
      <c r="O28" s="299"/>
      <c r="P28" s="290" t="s">
        <v>54</v>
      </c>
      <c r="Q28" s="309"/>
      <c r="R28" s="297"/>
      <c r="S28" s="299"/>
      <c r="T28" s="291"/>
      <c r="U28" s="291"/>
      <c r="V28" s="291"/>
      <c r="W28" s="291"/>
      <c r="X28" s="291"/>
      <c r="Y28" s="373" t="s">
        <v>373</v>
      </c>
      <c r="Z28" s="84" t="s">
        <v>151</v>
      </c>
      <c r="AA28" s="102"/>
      <c r="AB28" s="374"/>
      <c r="AC28" s="84" t="s">
        <v>143</v>
      </c>
      <c r="AD28" s="85"/>
      <c r="AE28" s="138" t="s">
        <v>213</v>
      </c>
      <c r="AF28" s="111" t="s">
        <v>169</v>
      </c>
      <c r="AG28" s="86" t="s">
        <v>204</v>
      </c>
      <c r="AH28" s="86" t="s">
        <v>176</v>
      </c>
      <c r="AI28" s="111" t="s">
        <v>211</v>
      </c>
      <c r="AJ28" s="86" t="s">
        <v>477</v>
      </c>
      <c r="AK28" s="96"/>
      <c r="AL28" s="99"/>
      <c r="AM28" s="139"/>
      <c r="AN28" s="99"/>
      <c r="AO28" s="151"/>
      <c r="AP28" s="104"/>
      <c r="AQ28" s="149">
        <f>AS28*(1-0.2)</f>
        <v>448.44800000000009</v>
      </c>
      <c r="AR28" s="159">
        <f>AQ28+1</f>
        <v>449.44800000000009</v>
      </c>
      <c r="AS28" s="160">
        <f>4004*0.14</f>
        <v>560.56000000000006</v>
      </c>
      <c r="AT28" s="384">
        <v>474.77383075</v>
      </c>
      <c r="AU28" s="384">
        <v>471.88535006000001</v>
      </c>
      <c r="AV28" s="384">
        <v>471.47619128000002</v>
      </c>
      <c r="AW28" s="384">
        <v>471.08293206000002</v>
      </c>
      <c r="AX28" s="384">
        <v>468.20172237000003</v>
      </c>
      <c r="AY28" s="384">
        <v>460.37746351999999</v>
      </c>
      <c r="AZ28" s="384">
        <v>456.86937395000001</v>
      </c>
      <c r="BA28" s="384">
        <v>453.97987228</v>
      </c>
      <c r="BB28" s="385">
        <v>326.12960862</v>
      </c>
      <c r="BC28" s="385">
        <v>325.71993012000001</v>
      </c>
      <c r="BD28" s="385">
        <v>321.74298986000002</v>
      </c>
      <c r="BE28" s="385">
        <v>349.69983927999999</v>
      </c>
      <c r="BF28" s="385">
        <v>349.13848865</v>
      </c>
      <c r="BG28" s="385">
        <v>348.58079950000001</v>
      </c>
      <c r="BH28" s="385">
        <v>347.97281254000001</v>
      </c>
      <c r="BI28" s="150"/>
      <c r="BJ28" s="150"/>
      <c r="BK28" s="150"/>
      <c r="BL28" s="150"/>
      <c r="BM28" s="150"/>
      <c r="BN28" s="150"/>
      <c r="BO28" s="150"/>
      <c r="BP28" s="150"/>
      <c r="BQ28" s="150"/>
      <c r="BR28" s="229">
        <f t="shared" ref="BR28:BR33" si="6">+IFERROR(AVERAGE(AT28:BQ28),"")</f>
        <v>406.5087469893333</v>
      </c>
      <c r="BS28" s="389">
        <f t="shared" ref="BS28:BS33" si="7">+IFERROR(VAR(AT28:BQ28),"")</f>
        <v>4449.7108613151859</v>
      </c>
      <c r="BT28" s="387">
        <f t="shared" ref="BT28:BT33" si="8">+IFERROR(STDEV(AT28:BQ28)*(1-$BS$1),"")</f>
        <v>33.353076549679741</v>
      </c>
      <c r="BU28" s="388" t="str">
        <f t="shared" ref="BU28:BU37" ca="1" si="9">+IF(OR(BT28="",OFFSET(AT28,0,MATCH($B$1,AT$2:BQ$2,0)-1)=""),"",IFERROR(IF(ABS(OFFSET(AT28,0,MATCH($B$1,AT$2:BQ$2,0)-1)-OFFSET(AT28,0,MATCH($B$1,AT$2:BQ$2,0)-2))&gt;BT28,"N","µ"),""))</f>
        <v>µ</v>
      </c>
      <c r="BV28" s="94" t="s">
        <v>214</v>
      </c>
      <c r="BW28" s="390"/>
      <c r="BY28" s="95" t="s">
        <v>215</v>
      </c>
    </row>
    <row r="29" spans="1:77" s="353" customFormat="1" ht="57.75" customHeight="1">
      <c r="B29" s="447" t="s">
        <v>5</v>
      </c>
      <c r="C29" s="340" t="s">
        <v>84</v>
      </c>
      <c r="D29" s="331">
        <v>90</v>
      </c>
      <c r="E29" s="308">
        <v>60</v>
      </c>
      <c r="F29" s="298" t="s">
        <v>61</v>
      </c>
      <c r="G29" s="146"/>
      <c r="H29" s="290" t="s">
        <v>54</v>
      </c>
      <c r="I29" s="311"/>
      <c r="J29" s="308"/>
      <c r="K29" s="146"/>
      <c r="L29" s="290" t="s">
        <v>54</v>
      </c>
      <c r="M29" s="311"/>
      <c r="N29" s="308"/>
      <c r="O29" s="146"/>
      <c r="P29" s="290" t="s">
        <v>54</v>
      </c>
      <c r="Q29" s="311"/>
      <c r="R29" s="308"/>
      <c r="S29" s="146"/>
      <c r="T29" s="312"/>
      <c r="U29" s="312"/>
      <c r="V29" s="312"/>
      <c r="W29" s="312"/>
      <c r="X29" s="312"/>
      <c r="Y29" s="373"/>
      <c r="Z29" s="84" t="s">
        <v>151</v>
      </c>
      <c r="AA29" s="86" t="s">
        <v>223</v>
      </c>
      <c r="AB29" s="374"/>
      <c r="AC29" s="84" t="s">
        <v>143</v>
      </c>
      <c r="AD29" s="85"/>
      <c r="AE29" s="84" t="s">
        <v>478</v>
      </c>
      <c r="AF29" s="86" t="s">
        <v>227</v>
      </c>
      <c r="AG29" s="86" t="s">
        <v>228</v>
      </c>
      <c r="AH29" s="86" t="s">
        <v>229</v>
      </c>
      <c r="AI29" s="86" t="s">
        <v>221</v>
      </c>
      <c r="AJ29" s="88" t="s">
        <v>526</v>
      </c>
      <c r="AK29" s="96"/>
      <c r="AL29" s="86" t="s">
        <v>222</v>
      </c>
      <c r="AM29" s="128"/>
      <c r="AN29" s="86"/>
      <c r="AO29" s="140"/>
      <c r="AP29" s="158"/>
      <c r="AQ29" s="100" t="s">
        <v>518</v>
      </c>
      <c r="AR29" s="90" t="s">
        <v>519</v>
      </c>
      <c r="AS29" s="158" t="s">
        <v>520</v>
      </c>
      <c r="AT29" s="101" t="s">
        <v>165</v>
      </c>
      <c r="AU29" s="101" t="s">
        <v>165</v>
      </c>
      <c r="AV29" s="101" t="s">
        <v>165</v>
      </c>
      <c r="AW29" s="101" t="s">
        <v>165</v>
      </c>
      <c r="AX29" s="101" t="s">
        <v>165</v>
      </c>
      <c r="AY29" s="101" t="s">
        <v>165</v>
      </c>
      <c r="AZ29" s="101" t="s">
        <v>165</v>
      </c>
      <c r="BA29" s="101" t="s">
        <v>165</v>
      </c>
      <c r="BB29" s="101" t="s">
        <v>165</v>
      </c>
      <c r="BC29" s="101" t="s">
        <v>165</v>
      </c>
      <c r="BD29" s="101" t="s">
        <v>165</v>
      </c>
      <c r="BE29" s="101" t="s">
        <v>165</v>
      </c>
      <c r="BF29" s="101" t="s">
        <v>165</v>
      </c>
      <c r="BG29" s="101" t="s">
        <v>165</v>
      </c>
      <c r="BH29" s="101" t="s">
        <v>165</v>
      </c>
      <c r="BI29" s="204"/>
      <c r="BJ29" s="204"/>
      <c r="BK29" s="204"/>
      <c r="BL29" s="204"/>
      <c r="BM29" s="204"/>
      <c r="BN29" s="204"/>
      <c r="BO29" s="204"/>
      <c r="BP29" s="204"/>
      <c r="BQ29" s="204"/>
      <c r="BR29" s="234" t="str">
        <f t="shared" si="6"/>
        <v/>
      </c>
      <c r="BS29" s="389" t="str">
        <f t="shared" si="7"/>
        <v/>
      </c>
      <c r="BT29" s="387">
        <f>+IFERROR(STDEV(AT30:BQ30)*(1-$BS$1),"")</f>
        <v>1.0351390758330218E-2</v>
      </c>
      <c r="BU29" s="388" t="str">
        <f ca="1">+IF(OR(BT29="",OFFSET(AT30,0,MATCH($B$1,AT$2:BQ$2,0)-1)=""),"",IFERROR(IF(ABS(OFFSET(AT30,0,MATCH($B$1,AT$2:BQ$2,0)-1)-OFFSET(AT30,0,MATCH($B$1,AT$2:BQ$2,0)-2))&gt;BT29,"N","µ"),""))</f>
        <v>µ</v>
      </c>
      <c r="BV29" s="94"/>
      <c r="BW29" s="390"/>
      <c r="BY29" s="95"/>
    </row>
    <row r="30" spans="1:77" s="353" customFormat="1" ht="57.75" customHeight="1">
      <c r="B30" s="448"/>
      <c r="C30" s="342" t="s">
        <v>86</v>
      </c>
      <c r="D30" s="332">
        <v>1.05</v>
      </c>
      <c r="E30" s="314">
        <v>1</v>
      </c>
      <c r="F30" s="298" t="s">
        <v>61</v>
      </c>
      <c r="G30" s="315"/>
      <c r="H30" s="290" t="s">
        <v>54</v>
      </c>
      <c r="I30" s="313"/>
      <c r="J30" s="314"/>
      <c r="K30" s="315"/>
      <c r="L30" s="290" t="s">
        <v>54</v>
      </c>
      <c r="M30" s="313"/>
      <c r="N30" s="314"/>
      <c r="O30" s="315"/>
      <c r="P30" s="290" t="s">
        <v>54</v>
      </c>
      <c r="Q30" s="313"/>
      <c r="R30" s="314"/>
      <c r="S30" s="315"/>
      <c r="T30" s="312"/>
      <c r="U30" s="312"/>
      <c r="V30" s="312"/>
      <c r="W30" s="312"/>
      <c r="X30" s="312"/>
      <c r="Y30" s="271" t="s">
        <v>314</v>
      </c>
      <c r="Z30" s="84" t="s">
        <v>151</v>
      </c>
      <c r="AA30" s="86"/>
      <c r="AB30" s="374"/>
      <c r="AC30" s="84" t="s">
        <v>143</v>
      </c>
      <c r="AD30" s="85" t="s">
        <v>315</v>
      </c>
      <c r="AE30" s="84" t="s">
        <v>226</v>
      </c>
      <c r="AF30" s="86" t="s">
        <v>227</v>
      </c>
      <c r="AG30" s="86" t="s">
        <v>228</v>
      </c>
      <c r="AH30" s="86" t="s">
        <v>229</v>
      </c>
      <c r="AI30" s="86" t="s">
        <v>221</v>
      </c>
      <c r="AJ30" s="88" t="s">
        <v>526</v>
      </c>
      <c r="AK30" s="96"/>
      <c r="AL30" s="86" t="s">
        <v>230</v>
      </c>
      <c r="AM30" s="128" t="s">
        <v>231</v>
      </c>
      <c r="AN30" s="86"/>
      <c r="AO30" s="164"/>
      <c r="AP30" s="163">
        <v>1</v>
      </c>
      <c r="AQ30" s="409" t="s">
        <v>521</v>
      </c>
      <c r="AR30" s="162" t="s">
        <v>449</v>
      </c>
      <c r="AS30" s="163" t="s">
        <v>522</v>
      </c>
      <c r="AT30" s="101" t="s">
        <v>165</v>
      </c>
      <c r="AU30" s="101" t="s">
        <v>165</v>
      </c>
      <c r="AV30" s="131">
        <v>1.0831</v>
      </c>
      <c r="AW30" s="131">
        <v>1.0804</v>
      </c>
      <c r="AX30" s="131">
        <v>1.0530999999999999</v>
      </c>
      <c r="AY30" s="131">
        <v>1.0391999999999999</v>
      </c>
      <c r="AZ30" s="131">
        <v>1.05</v>
      </c>
      <c r="BA30" s="131">
        <v>1.0567</v>
      </c>
      <c r="BB30" s="93">
        <v>1.09610439484644</v>
      </c>
      <c r="BC30" s="165">
        <v>1.09090095662093</v>
      </c>
      <c r="BD30" s="166">
        <v>1.0969</v>
      </c>
      <c r="BE30" s="166">
        <v>1.0861000000000001</v>
      </c>
      <c r="BF30" s="166">
        <v>1.0885</v>
      </c>
      <c r="BG30" s="166">
        <v>1.089</v>
      </c>
      <c r="BH30" s="411">
        <v>1.1025</v>
      </c>
      <c r="BI30" s="204"/>
      <c r="BJ30" s="204"/>
      <c r="BK30" s="204"/>
      <c r="BL30" s="204"/>
      <c r="BM30" s="204"/>
      <c r="BN30" s="204"/>
      <c r="BO30" s="204"/>
      <c r="BP30" s="204"/>
      <c r="BQ30" s="204"/>
      <c r="BR30" s="235">
        <f t="shared" si="6"/>
        <v>1.0778850270359515</v>
      </c>
      <c r="BS30" s="389">
        <f t="shared" si="7"/>
        <v>4.2860516252657697E-4</v>
      </c>
      <c r="BT30" s="387">
        <f t="shared" si="8"/>
        <v>1.0351390758330218E-2</v>
      </c>
      <c r="BU30" s="388" t="str">
        <f t="shared" ca="1" si="9"/>
        <v>µ</v>
      </c>
      <c r="BV30" s="94"/>
      <c r="BW30" s="390"/>
      <c r="BY30" s="95"/>
    </row>
    <row r="31" spans="1:77" s="2" customFormat="1" ht="81.75" customHeight="1" thickBot="1">
      <c r="A31" s="224"/>
      <c r="B31" s="449"/>
      <c r="C31" s="340" t="s">
        <v>494</v>
      </c>
      <c r="D31" s="262"/>
      <c r="E31" s="84" t="s">
        <v>151</v>
      </c>
      <c r="F31" s="86" t="s">
        <v>223</v>
      </c>
      <c r="G31" s="256"/>
      <c r="H31" s="257"/>
      <c r="I31" s="258"/>
      <c r="J31" s="255"/>
      <c r="K31" s="256"/>
      <c r="L31" s="259"/>
      <c r="M31" s="258"/>
      <c r="N31" s="255"/>
      <c r="O31" s="256"/>
      <c r="P31" s="259"/>
      <c r="Q31" s="258"/>
      <c r="R31" s="255"/>
      <c r="S31" s="256"/>
      <c r="T31" s="260"/>
      <c r="U31" s="260"/>
      <c r="V31" s="260"/>
      <c r="W31" s="260"/>
      <c r="X31" s="261"/>
      <c r="Y31" s="219" t="s">
        <v>359</v>
      </c>
      <c r="Z31" s="84" t="s">
        <v>151</v>
      </c>
      <c r="AA31" s="86"/>
      <c r="AB31" s="401"/>
      <c r="AC31" s="84" t="s">
        <v>143</v>
      </c>
      <c r="AD31" s="85"/>
      <c r="AE31" s="84"/>
      <c r="AF31" s="86" t="s">
        <v>227</v>
      </c>
      <c r="AG31" s="86"/>
      <c r="AH31" s="86"/>
      <c r="AI31" s="86" t="s">
        <v>221</v>
      </c>
      <c r="AJ31" s="88" t="s">
        <v>526</v>
      </c>
      <c r="AK31" s="96"/>
      <c r="AL31" s="88" t="s">
        <v>224</v>
      </c>
      <c r="AM31" s="128"/>
      <c r="AN31" s="86"/>
      <c r="AO31" s="140"/>
      <c r="AP31" s="158"/>
      <c r="AQ31" s="100" t="s">
        <v>261</v>
      </c>
      <c r="AR31" s="162" t="s">
        <v>523</v>
      </c>
      <c r="AS31" s="163" t="s">
        <v>524</v>
      </c>
      <c r="AT31" s="386" t="s">
        <v>165</v>
      </c>
      <c r="AU31" s="386" t="s">
        <v>165</v>
      </c>
      <c r="AV31" s="386" t="s">
        <v>165</v>
      </c>
      <c r="AW31" s="386" t="s">
        <v>165</v>
      </c>
      <c r="AX31" s="386" t="s">
        <v>165</v>
      </c>
      <c r="AY31" s="386" t="s">
        <v>165</v>
      </c>
      <c r="AZ31" s="386" t="s">
        <v>165</v>
      </c>
      <c r="BA31" s="386" t="s">
        <v>165</v>
      </c>
      <c r="BB31" s="386" t="s">
        <v>165</v>
      </c>
      <c r="BC31" s="386" t="s">
        <v>165</v>
      </c>
      <c r="BD31" s="386" t="s">
        <v>165</v>
      </c>
      <c r="BE31" s="438"/>
      <c r="BF31" s="439"/>
      <c r="BG31" s="439"/>
      <c r="BH31" s="269">
        <v>1.6256999999999999</v>
      </c>
      <c r="BI31" s="204"/>
      <c r="BJ31" s="204"/>
      <c r="BK31" s="204"/>
      <c r="BL31" s="204"/>
      <c r="BM31" s="204"/>
      <c r="BN31" s="204"/>
      <c r="BO31" s="204"/>
      <c r="BP31" s="204"/>
      <c r="BQ31" s="204"/>
      <c r="BR31" s="235">
        <f t="shared" si="6"/>
        <v>1.6256999999999999</v>
      </c>
      <c r="BS31" s="230" t="str">
        <f t="shared" si="7"/>
        <v/>
      </c>
      <c r="BT31" s="231" t="str">
        <f t="shared" ref="BT31" si="10">+IFERROR(STDEV(AT31:BQ31)*(1-$CL$1),"")</f>
        <v/>
      </c>
      <c r="BU31" s="400" t="str">
        <f t="shared" ca="1" si="9"/>
        <v/>
      </c>
      <c r="BW31" s="211"/>
    </row>
    <row r="32" spans="1:77" s="353" customFormat="1" ht="57.75" customHeight="1">
      <c r="B32" s="447" t="s">
        <v>6</v>
      </c>
      <c r="C32" s="344" t="s">
        <v>4</v>
      </c>
      <c r="D32" s="333" t="s">
        <v>24</v>
      </c>
      <c r="E32" s="308" t="s">
        <v>12</v>
      </c>
      <c r="F32" s="298" t="s">
        <v>61</v>
      </c>
      <c r="G32" s="146"/>
      <c r="H32" s="290" t="s">
        <v>54</v>
      </c>
      <c r="I32" s="316"/>
      <c r="J32" s="308"/>
      <c r="K32" s="146"/>
      <c r="L32" s="290" t="s">
        <v>54</v>
      </c>
      <c r="M32" s="316"/>
      <c r="N32" s="308"/>
      <c r="O32" s="146"/>
      <c r="P32" s="290" t="s">
        <v>54</v>
      </c>
      <c r="Q32" s="316"/>
      <c r="R32" s="308"/>
      <c r="S32" s="146"/>
      <c r="T32" s="292" t="s">
        <v>28</v>
      </c>
      <c r="U32" s="292"/>
      <c r="V32" s="292" t="s">
        <v>31</v>
      </c>
      <c r="W32" s="292" t="s">
        <v>45</v>
      </c>
      <c r="X32" s="292" t="s">
        <v>46</v>
      </c>
      <c r="Y32" s="373" t="s">
        <v>358</v>
      </c>
      <c r="Z32" s="84" t="s">
        <v>151</v>
      </c>
      <c r="AA32" s="86"/>
      <c r="AB32" s="374"/>
      <c r="AC32" s="84" t="s">
        <v>143</v>
      </c>
      <c r="AD32" s="85" t="s">
        <v>317</v>
      </c>
      <c r="AE32" s="84" t="s">
        <v>233</v>
      </c>
      <c r="AF32" s="86" t="s">
        <v>227</v>
      </c>
      <c r="AG32" s="86" t="s">
        <v>234</v>
      </c>
      <c r="AH32" s="86" t="s">
        <v>229</v>
      </c>
      <c r="AI32" s="420" t="s">
        <v>235</v>
      </c>
      <c r="AJ32" s="88" t="s">
        <v>531</v>
      </c>
      <c r="AK32" s="86"/>
      <c r="AL32" s="86" t="s">
        <v>236</v>
      </c>
      <c r="AM32" s="128" t="s">
        <v>237</v>
      </c>
      <c r="AN32" s="86"/>
      <c r="AO32" s="167" t="s">
        <v>238</v>
      </c>
      <c r="AP32" s="168" t="s">
        <v>239</v>
      </c>
      <c r="AQ32" s="109" t="s">
        <v>512</v>
      </c>
      <c r="AR32" s="417" t="s">
        <v>513</v>
      </c>
      <c r="AS32" s="418" t="s">
        <v>514</v>
      </c>
      <c r="AT32" s="101" t="s">
        <v>165</v>
      </c>
      <c r="AU32" s="101" t="s">
        <v>165</v>
      </c>
      <c r="AV32" s="101" t="s">
        <v>165</v>
      </c>
      <c r="AW32" s="101" t="s">
        <v>165</v>
      </c>
      <c r="AX32" s="101" t="s">
        <v>165</v>
      </c>
      <c r="AY32" s="101" t="s">
        <v>165</v>
      </c>
      <c r="AZ32" s="101" t="s">
        <v>165</v>
      </c>
      <c r="BA32" s="101" t="s">
        <v>165</v>
      </c>
      <c r="BB32" s="101" t="s">
        <v>165</v>
      </c>
      <c r="BC32" s="101" t="s">
        <v>165</v>
      </c>
      <c r="BD32" s="101" t="s">
        <v>165</v>
      </c>
      <c r="BE32" s="101" t="s">
        <v>165</v>
      </c>
      <c r="BF32" s="126">
        <v>1.4800000000000001E-2</v>
      </c>
      <c r="BG32" s="126">
        <v>1.9E-2</v>
      </c>
      <c r="BH32" s="126">
        <v>2.1700000000000001E-2</v>
      </c>
      <c r="BI32" s="204"/>
      <c r="BJ32" s="204"/>
      <c r="BK32" s="204"/>
      <c r="BL32" s="204"/>
      <c r="BM32" s="204"/>
      <c r="BN32" s="204"/>
      <c r="BO32" s="204"/>
      <c r="BP32" s="204"/>
      <c r="BQ32" s="204"/>
      <c r="BR32" s="229">
        <f t="shared" si="6"/>
        <v>1.8499999999999999E-2</v>
      </c>
      <c r="BS32" s="389">
        <f t="shared" si="7"/>
        <v>1.2089999999999999E-5</v>
      </c>
      <c r="BT32" s="387">
        <f t="shared" si="8"/>
        <v>1.7385338650713709E-3</v>
      </c>
      <c r="BU32" s="388" t="str">
        <f t="shared" ca="1" si="9"/>
        <v>N</v>
      </c>
      <c r="BV32" s="94"/>
      <c r="BW32" s="390"/>
      <c r="BY32" s="95"/>
    </row>
    <row r="33" spans="2:77" s="353" customFormat="1" ht="57.75" customHeight="1" thickBot="1">
      <c r="B33" s="449"/>
      <c r="C33" s="344" t="s">
        <v>346</v>
      </c>
      <c r="D33" s="334" t="s">
        <v>25</v>
      </c>
      <c r="E33" s="308" t="s">
        <v>13</v>
      </c>
      <c r="F33" s="298" t="s">
        <v>61</v>
      </c>
      <c r="G33" s="146"/>
      <c r="H33" s="290" t="s">
        <v>54</v>
      </c>
      <c r="I33" s="317"/>
      <c r="J33" s="308"/>
      <c r="K33" s="146"/>
      <c r="L33" s="290" t="s">
        <v>54</v>
      </c>
      <c r="M33" s="317"/>
      <c r="N33" s="308"/>
      <c r="O33" s="146"/>
      <c r="P33" s="295" t="s">
        <v>11</v>
      </c>
      <c r="Q33" s="317"/>
      <c r="R33" s="308"/>
      <c r="S33" s="146"/>
      <c r="T33" s="292" t="s">
        <v>28</v>
      </c>
      <c r="U33" s="292"/>
      <c r="V33" s="292" t="s">
        <v>31</v>
      </c>
      <c r="W33" s="292" t="s">
        <v>45</v>
      </c>
      <c r="X33" s="292" t="s">
        <v>46</v>
      </c>
      <c r="Y33" s="373" t="s">
        <v>374</v>
      </c>
      <c r="Z33" s="84" t="s">
        <v>151</v>
      </c>
      <c r="AA33" s="102"/>
      <c r="AB33" s="374"/>
      <c r="AC33" s="84" t="s">
        <v>143</v>
      </c>
      <c r="AD33" s="85" t="s">
        <v>348</v>
      </c>
      <c r="AE33" s="84" t="s">
        <v>347</v>
      </c>
      <c r="AF33" s="86" t="s">
        <v>227</v>
      </c>
      <c r="AG33" s="86" t="s">
        <v>242</v>
      </c>
      <c r="AH33" s="86" t="s">
        <v>229</v>
      </c>
      <c r="AI33" s="420" t="s">
        <v>235</v>
      </c>
      <c r="AJ33" s="88" t="s">
        <v>531</v>
      </c>
      <c r="AK33" s="86"/>
      <c r="AL33" s="86" t="s">
        <v>243</v>
      </c>
      <c r="AM33" s="128" t="s">
        <v>244</v>
      </c>
      <c r="AN33" s="86"/>
      <c r="AO33" s="171"/>
      <c r="AP33" s="172"/>
      <c r="AQ33" s="109" t="s">
        <v>515</v>
      </c>
      <c r="AR33" s="264" t="s">
        <v>525</v>
      </c>
      <c r="AS33" s="418" t="s">
        <v>517</v>
      </c>
      <c r="AT33" s="101" t="s">
        <v>165</v>
      </c>
      <c r="AU33" s="101" t="s">
        <v>165</v>
      </c>
      <c r="AV33" s="101" t="s">
        <v>165</v>
      </c>
      <c r="AW33" s="101" t="s">
        <v>165</v>
      </c>
      <c r="AX33" s="101" t="s">
        <v>165</v>
      </c>
      <c r="AY33" s="101" t="s">
        <v>165</v>
      </c>
      <c r="AZ33" s="101" t="s">
        <v>165</v>
      </c>
      <c r="BA33" s="101" t="s">
        <v>165</v>
      </c>
      <c r="BB33" s="101" t="s">
        <v>165</v>
      </c>
      <c r="BC33" s="101" t="s">
        <v>165</v>
      </c>
      <c r="BD33" s="101" t="s">
        <v>165</v>
      </c>
      <c r="BE33" s="101" t="s">
        <v>165</v>
      </c>
      <c r="BF33" s="126">
        <v>-2.0500000000000001E-2</v>
      </c>
      <c r="BG33" s="126">
        <v>-1.7500000000000002E-2</v>
      </c>
      <c r="BH33" s="126">
        <v>-1.5699999999999999E-2</v>
      </c>
      <c r="BI33" s="206"/>
      <c r="BJ33" s="206"/>
      <c r="BK33" s="206"/>
      <c r="BL33" s="206"/>
      <c r="BM33" s="206"/>
      <c r="BN33" s="206"/>
      <c r="BO33" s="206"/>
      <c r="BP33" s="206"/>
      <c r="BQ33" s="206"/>
      <c r="BR33" s="229">
        <f t="shared" si="6"/>
        <v>-1.7900000000000003E-2</v>
      </c>
      <c r="BS33" s="389">
        <f t="shared" si="7"/>
        <v>5.8800000000000047E-6</v>
      </c>
      <c r="BT33" s="387">
        <f t="shared" si="8"/>
        <v>1.2124355652982147E-3</v>
      </c>
      <c r="BU33" s="388" t="str">
        <f t="shared" ca="1" si="9"/>
        <v>N</v>
      </c>
      <c r="BV33" s="94" t="s">
        <v>245</v>
      </c>
      <c r="BW33" s="390" t="s">
        <v>287</v>
      </c>
      <c r="BY33" s="95"/>
    </row>
    <row r="34" spans="2:77" s="353" customFormat="1" ht="57.75" customHeight="1">
      <c r="B34" s="447" t="s">
        <v>7</v>
      </c>
      <c r="C34" s="340" t="s">
        <v>502</v>
      </c>
      <c r="D34" s="332">
        <v>0.03</v>
      </c>
      <c r="E34" s="314">
        <v>0.05</v>
      </c>
      <c r="F34" s="298" t="s">
        <v>62</v>
      </c>
      <c r="G34" s="315"/>
      <c r="H34" s="290" t="s">
        <v>54</v>
      </c>
      <c r="I34" s="318"/>
      <c r="J34" s="314"/>
      <c r="K34" s="315"/>
      <c r="L34" s="290" t="s">
        <v>54</v>
      </c>
      <c r="M34" s="313"/>
      <c r="N34" s="314"/>
      <c r="O34" s="315"/>
      <c r="P34" s="290" t="s">
        <v>54</v>
      </c>
      <c r="Q34" s="318"/>
      <c r="R34" s="314"/>
      <c r="S34" s="315"/>
      <c r="T34" s="312"/>
      <c r="U34" s="312"/>
      <c r="V34" s="312"/>
      <c r="W34" s="312"/>
      <c r="X34" s="312"/>
      <c r="Y34" s="271"/>
      <c r="Z34" s="84" t="s">
        <v>151</v>
      </c>
      <c r="AA34" s="443" t="s">
        <v>394</v>
      </c>
      <c r="AB34" s="374"/>
      <c r="AC34" s="132" t="s">
        <v>391</v>
      </c>
      <c r="AD34" s="85"/>
      <c r="AE34" s="84" t="s">
        <v>501</v>
      </c>
      <c r="AF34" s="86" t="s">
        <v>47</v>
      </c>
      <c r="AG34" s="86" t="s">
        <v>246</v>
      </c>
      <c r="AH34" s="86"/>
      <c r="AI34" s="86"/>
      <c r="AJ34" s="88" t="s">
        <v>485</v>
      </c>
      <c r="AK34" s="187">
        <f>1.781092/(261.891872409047+6.4759)</f>
        <v>6.6367581472683455E-3</v>
      </c>
      <c r="AL34" s="86"/>
      <c r="AM34" s="128"/>
      <c r="AN34" s="86"/>
      <c r="AO34" s="103"/>
      <c r="AP34" s="163"/>
      <c r="AQ34" s="109">
        <f>AK34</f>
        <v>6.6367581472683455E-3</v>
      </c>
      <c r="AR34" s="90">
        <v>0.02</v>
      </c>
      <c r="AS34" s="190">
        <v>2.5000000000000001E-2</v>
      </c>
      <c r="AT34" s="134"/>
      <c r="AU34" s="134"/>
      <c r="AV34" s="134"/>
      <c r="AW34" s="134"/>
      <c r="AX34" s="134"/>
      <c r="AY34" s="134"/>
      <c r="AZ34" s="134"/>
      <c r="BA34" s="134"/>
      <c r="BB34" s="134"/>
      <c r="BC34" s="134"/>
      <c r="BD34" s="134"/>
      <c r="BE34" s="134"/>
      <c r="BF34" s="349"/>
      <c r="BG34" s="349"/>
      <c r="BH34" s="349"/>
      <c r="BI34" s="207"/>
      <c r="BJ34" s="207"/>
      <c r="BK34" s="207"/>
      <c r="BL34" s="207"/>
      <c r="BM34" s="207"/>
      <c r="BN34" s="207"/>
      <c r="BO34" s="207"/>
      <c r="BP34" s="207"/>
      <c r="BQ34" s="207"/>
      <c r="BR34" s="235" t="str">
        <f t="shared" ref="BR34:BR37" si="11">+IFERROR(AVERAGE(AT34:BQ34),"")</f>
        <v/>
      </c>
      <c r="BS34" s="389" t="str">
        <f t="shared" ref="BS34:BS37" si="12">+IFERROR(VAR(AT34:BQ34),"")</f>
        <v/>
      </c>
      <c r="BT34" s="387" t="str">
        <f t="shared" ref="BT34:BT37" si="13">+IFERROR(STDEV(AT34:BQ34)*(1-$BS$1),"")</f>
        <v/>
      </c>
      <c r="BU34" s="388" t="str">
        <f t="shared" ca="1" si="9"/>
        <v/>
      </c>
      <c r="BV34" s="94" t="s">
        <v>247</v>
      </c>
      <c r="BW34" s="236"/>
      <c r="BY34" s="95"/>
    </row>
    <row r="35" spans="2:77" s="353" customFormat="1" ht="57.75" customHeight="1" thickBot="1">
      <c r="B35" s="449"/>
      <c r="C35" s="407" t="s">
        <v>390</v>
      </c>
      <c r="D35" s="336">
        <v>9</v>
      </c>
      <c r="E35" s="308">
        <v>16</v>
      </c>
      <c r="F35" s="298" t="s">
        <v>62</v>
      </c>
      <c r="G35" s="146"/>
      <c r="H35" s="290" t="s">
        <v>54</v>
      </c>
      <c r="I35" s="318"/>
      <c r="J35" s="308"/>
      <c r="K35" s="146"/>
      <c r="L35" s="290" t="s">
        <v>54</v>
      </c>
      <c r="M35" s="318"/>
      <c r="N35" s="308"/>
      <c r="O35" s="146"/>
      <c r="P35" s="290" t="s">
        <v>54</v>
      </c>
      <c r="Q35" s="318"/>
      <c r="R35" s="308"/>
      <c r="S35" s="146"/>
      <c r="T35" s="312" t="s">
        <v>74</v>
      </c>
      <c r="U35" s="312"/>
      <c r="V35" s="312"/>
      <c r="W35" s="312"/>
      <c r="X35" s="312"/>
      <c r="Y35" s="373"/>
      <c r="Z35" s="84" t="s">
        <v>151</v>
      </c>
      <c r="AA35" s="443" t="s">
        <v>394</v>
      </c>
      <c r="AB35" s="374"/>
      <c r="AC35" s="132" t="s">
        <v>391</v>
      </c>
      <c r="AD35" s="85"/>
      <c r="AE35" s="435" t="s">
        <v>483</v>
      </c>
      <c r="AF35" s="86" t="s">
        <v>47</v>
      </c>
      <c r="AG35" s="86" t="s">
        <v>248</v>
      </c>
      <c r="AH35" s="86"/>
      <c r="AI35" s="86"/>
      <c r="AJ35" s="88" t="s">
        <v>493</v>
      </c>
      <c r="AK35" s="88"/>
      <c r="AL35" s="86"/>
      <c r="AM35" s="128"/>
      <c r="AN35" s="86"/>
      <c r="AO35" s="173"/>
      <c r="AP35" s="174"/>
      <c r="AQ35" s="175"/>
      <c r="AR35" s="436">
        <v>0</v>
      </c>
      <c r="AS35" s="437">
        <v>0</v>
      </c>
      <c r="AT35" s="105"/>
      <c r="AU35" s="105"/>
      <c r="AV35" s="105"/>
      <c r="AW35" s="105"/>
      <c r="AX35" s="105"/>
      <c r="AY35" s="105"/>
      <c r="AZ35" s="105"/>
      <c r="BA35" s="105"/>
      <c r="BB35" s="105"/>
      <c r="BC35" s="105"/>
      <c r="BD35" s="105"/>
      <c r="BE35" s="105"/>
      <c r="BF35" s="348"/>
      <c r="BG35" s="348"/>
      <c r="BH35" s="348"/>
      <c r="BI35" s="204"/>
      <c r="BJ35" s="204"/>
      <c r="BK35" s="204"/>
      <c r="BL35" s="204"/>
      <c r="BM35" s="204"/>
      <c r="BN35" s="204"/>
      <c r="BO35" s="204"/>
      <c r="BP35" s="204"/>
      <c r="BQ35" s="204"/>
      <c r="BR35" s="234" t="str">
        <f t="shared" si="11"/>
        <v/>
      </c>
      <c r="BS35" s="389" t="str">
        <f t="shared" si="12"/>
        <v/>
      </c>
      <c r="BT35" s="387" t="str">
        <f t="shared" si="13"/>
        <v/>
      </c>
      <c r="BU35" s="388" t="str">
        <f t="shared" ca="1" si="9"/>
        <v/>
      </c>
      <c r="BV35" s="94" t="s">
        <v>247</v>
      </c>
      <c r="BW35" s="390" t="s">
        <v>297</v>
      </c>
      <c r="BY35" s="95"/>
    </row>
    <row r="36" spans="2:77" s="353" customFormat="1" ht="57.75" customHeight="1" thickBot="1">
      <c r="B36" s="283" t="s">
        <v>8</v>
      </c>
      <c r="C36" s="347" t="s">
        <v>290</v>
      </c>
      <c r="D36" s="325" t="s">
        <v>21</v>
      </c>
      <c r="E36" s="323" t="s">
        <v>14</v>
      </c>
      <c r="F36" s="298" t="s">
        <v>63</v>
      </c>
      <c r="G36" s="324"/>
      <c r="H36" s="290" t="s">
        <v>55</v>
      </c>
      <c r="I36" s="286"/>
      <c r="J36" s="323"/>
      <c r="K36" s="324"/>
      <c r="L36" s="290" t="s">
        <v>54</v>
      </c>
      <c r="M36" s="286"/>
      <c r="N36" s="323"/>
      <c r="O36" s="324"/>
      <c r="P36" s="290" t="s">
        <v>54</v>
      </c>
      <c r="Q36" s="286"/>
      <c r="R36" s="323"/>
      <c r="S36" s="324"/>
      <c r="T36" s="189"/>
      <c r="U36" s="189"/>
      <c r="V36" s="189"/>
      <c r="W36" s="189"/>
      <c r="X36" s="189"/>
      <c r="Y36" s="271"/>
      <c r="Z36" s="84" t="s">
        <v>151</v>
      </c>
      <c r="AA36" s="444"/>
      <c r="AB36" s="374"/>
      <c r="AC36" s="84" t="s">
        <v>143</v>
      </c>
      <c r="AD36" s="85"/>
      <c r="AE36" s="189" t="s">
        <v>266</v>
      </c>
      <c r="AF36" s="86" t="s">
        <v>264</v>
      </c>
      <c r="AG36" s="86" t="s">
        <v>265</v>
      </c>
      <c r="AH36" s="86"/>
      <c r="AI36" s="86"/>
      <c r="AJ36" s="189" t="s">
        <v>266</v>
      </c>
      <c r="AK36" s="86"/>
      <c r="AL36" s="86"/>
      <c r="AM36" s="128"/>
      <c r="AN36" s="86"/>
      <c r="AO36" s="133"/>
      <c r="AP36" s="176"/>
      <c r="AQ36" s="100" t="s">
        <v>21</v>
      </c>
      <c r="AR36" s="90" t="s">
        <v>21</v>
      </c>
      <c r="AS36" s="188" t="s">
        <v>263</v>
      </c>
      <c r="AT36" s="144">
        <v>3</v>
      </c>
      <c r="AU36" s="144">
        <v>3</v>
      </c>
      <c r="AV36" s="144">
        <v>3</v>
      </c>
      <c r="AW36" s="144">
        <v>3</v>
      </c>
      <c r="AX36" s="144">
        <v>3</v>
      </c>
      <c r="AY36" s="144">
        <v>3</v>
      </c>
      <c r="AZ36" s="144">
        <v>3</v>
      </c>
      <c r="BA36" s="144">
        <v>3</v>
      </c>
      <c r="BB36" s="144">
        <v>3</v>
      </c>
      <c r="BC36" s="144">
        <v>3</v>
      </c>
      <c r="BD36" s="144">
        <v>3</v>
      </c>
      <c r="BE36" s="144">
        <v>3</v>
      </c>
      <c r="BF36" s="146">
        <v>3</v>
      </c>
      <c r="BG36" s="146">
        <v>2</v>
      </c>
      <c r="BH36" s="146">
        <v>2</v>
      </c>
      <c r="BI36" s="204"/>
      <c r="BJ36" s="204"/>
      <c r="BK36" s="204"/>
      <c r="BL36" s="204"/>
      <c r="BM36" s="204"/>
      <c r="BN36" s="204"/>
      <c r="BO36" s="204"/>
      <c r="BP36" s="204"/>
      <c r="BQ36" s="204"/>
      <c r="BR36" s="234">
        <f t="shared" si="11"/>
        <v>2.8666666666666667</v>
      </c>
      <c r="BS36" s="389">
        <f t="shared" si="12"/>
        <v>0.12380952380952388</v>
      </c>
      <c r="BT36" s="387">
        <f t="shared" si="13"/>
        <v>0.17593288763724926</v>
      </c>
      <c r="BU36" s="388" t="str">
        <f t="shared" ca="1" si="9"/>
        <v>N</v>
      </c>
      <c r="BV36" s="94" t="s">
        <v>249</v>
      </c>
      <c r="BW36" s="390"/>
      <c r="BY36" s="95"/>
    </row>
    <row r="37" spans="2:77" s="353" customFormat="1" ht="57.75" customHeight="1" thickBot="1">
      <c r="B37" s="281" t="s">
        <v>114</v>
      </c>
      <c r="C37" s="282" t="s">
        <v>535</v>
      </c>
      <c r="D37" s="330" t="s">
        <v>21</v>
      </c>
      <c r="E37" s="308">
        <v>0</v>
      </c>
      <c r="F37" s="298" t="s">
        <v>22</v>
      </c>
      <c r="G37" s="146"/>
      <c r="H37" s="290" t="s">
        <v>55</v>
      </c>
      <c r="I37" s="307"/>
      <c r="J37" s="308"/>
      <c r="K37" s="146"/>
      <c r="L37" s="290" t="s">
        <v>54</v>
      </c>
      <c r="M37" s="307"/>
      <c r="N37" s="308"/>
      <c r="O37" s="146"/>
      <c r="P37" s="290" t="s">
        <v>54</v>
      </c>
      <c r="Q37" s="307"/>
      <c r="R37" s="308"/>
      <c r="S37" s="146"/>
      <c r="T37" s="312" t="s">
        <v>53</v>
      </c>
      <c r="U37" s="312"/>
      <c r="V37" s="312"/>
      <c r="W37" s="312"/>
      <c r="X37" s="312"/>
      <c r="Y37" s="271"/>
      <c r="Z37" s="84" t="s">
        <v>151</v>
      </c>
      <c r="AA37" s="86"/>
      <c r="AB37" s="374"/>
      <c r="AC37" s="84" t="s">
        <v>143</v>
      </c>
      <c r="AD37" s="85"/>
      <c r="AE37" s="84" t="s">
        <v>309</v>
      </c>
      <c r="AF37" s="86" t="s">
        <v>250</v>
      </c>
      <c r="AG37" s="86" t="s">
        <v>251</v>
      </c>
      <c r="AH37" s="86"/>
      <c r="AI37" s="86"/>
      <c r="AJ37" s="86" t="s">
        <v>267</v>
      </c>
      <c r="AK37" s="86"/>
      <c r="AL37" s="86"/>
      <c r="AM37" s="128"/>
      <c r="AN37" s="86"/>
      <c r="AO37" s="177">
        <v>0</v>
      </c>
      <c r="AP37" s="176">
        <v>0</v>
      </c>
      <c r="AQ37" s="100">
        <v>0</v>
      </c>
      <c r="AR37" s="178">
        <v>0</v>
      </c>
      <c r="AS37" s="176">
        <v>0</v>
      </c>
      <c r="AT37" s="144">
        <v>0</v>
      </c>
      <c r="AU37" s="144">
        <v>0</v>
      </c>
      <c r="AV37" s="144">
        <v>0</v>
      </c>
      <c r="AW37" s="144">
        <v>0</v>
      </c>
      <c r="AX37" s="144">
        <v>0</v>
      </c>
      <c r="AY37" s="144">
        <v>0</v>
      </c>
      <c r="AZ37" s="144">
        <v>0</v>
      </c>
      <c r="BA37" s="144">
        <v>0</v>
      </c>
      <c r="BB37" s="144">
        <v>0</v>
      </c>
      <c r="BC37" s="144">
        <v>0</v>
      </c>
      <c r="BD37" s="144">
        <v>0</v>
      </c>
      <c r="BE37" s="144">
        <v>0</v>
      </c>
      <c r="BF37" s="144">
        <v>0</v>
      </c>
      <c r="BG37" s="144">
        <v>0</v>
      </c>
      <c r="BH37" s="144">
        <v>0</v>
      </c>
      <c r="BI37" s="161"/>
      <c r="BJ37" s="161"/>
      <c r="BK37" s="161"/>
      <c r="BL37" s="161"/>
      <c r="BM37" s="161"/>
      <c r="BN37" s="161"/>
      <c r="BO37" s="161"/>
      <c r="BP37" s="161"/>
      <c r="BQ37" s="161"/>
      <c r="BR37" s="234">
        <f t="shared" si="11"/>
        <v>0</v>
      </c>
      <c r="BS37" s="389">
        <f t="shared" si="12"/>
        <v>0</v>
      </c>
      <c r="BT37" s="387">
        <f t="shared" si="13"/>
        <v>0</v>
      </c>
      <c r="BU37" s="388" t="str">
        <f t="shared" ca="1" si="9"/>
        <v>µ</v>
      </c>
      <c r="BV37" s="94"/>
      <c r="BW37" s="390"/>
      <c r="BY37" s="95"/>
    </row>
    <row r="40" spans="2:77">
      <c r="B40" s="391"/>
      <c r="C40" s="351" t="s">
        <v>328</v>
      </c>
    </row>
  </sheetData>
  <protectedRanges>
    <protectedRange password="DC35" sqref="AS33" name="BSPR JULY_7"/>
    <protectedRange password="DC35" sqref="AQ33" name="BSPR JULY_7_1"/>
  </protectedRanges>
  <autoFilter ref="B2:CN37"/>
  <mergeCells count="8">
    <mergeCell ref="AC1:BG1"/>
    <mergeCell ref="B3:B11"/>
    <mergeCell ref="B23:B28"/>
    <mergeCell ref="B32:B33"/>
    <mergeCell ref="B34:B35"/>
    <mergeCell ref="W1:X1"/>
    <mergeCell ref="B12:B22"/>
    <mergeCell ref="B29:B31"/>
  </mergeCells>
  <conditionalFormatting sqref="AY3">
    <cfRule type="containsBlanks" dxfId="272" priority="181">
      <formula>LEN(TRIM(AY3))=0</formula>
    </cfRule>
    <cfRule type="cellIs" dxfId="271" priority="182" operator="lessThanOrEqual">
      <formula>0.106</formula>
    </cfRule>
    <cfRule type="cellIs" dxfId="270" priority="183" operator="between">
      <formula>0.1134</formula>
      <formula>0.1061</formula>
    </cfRule>
    <cfRule type="cellIs" dxfId="269" priority="184" operator="between">
      <formula>0.1208</formula>
      <formula>0.1135</formula>
    </cfRule>
    <cfRule type="cellIs" dxfId="268" priority="185" operator="greaterThan">
      <formula>0.1208</formula>
    </cfRule>
  </conditionalFormatting>
  <conditionalFormatting sqref="AZ3:BD3">
    <cfRule type="containsBlanks" dxfId="267" priority="176">
      <formula>LEN(TRIM(AZ3))=0</formula>
    </cfRule>
    <cfRule type="cellIs" dxfId="266" priority="177" operator="lessThanOrEqual">
      <formula>0.106</formula>
    </cfRule>
    <cfRule type="cellIs" dxfId="265" priority="178" operator="between">
      <formula>0.1134</formula>
      <formula>0.1061</formula>
    </cfRule>
    <cfRule type="cellIs" dxfId="264" priority="179" operator="between">
      <formula>0.1208</formula>
      <formula>0.1135</formula>
    </cfRule>
    <cfRule type="cellIs" dxfId="263" priority="180" operator="greaterThan">
      <formula>0.1208</formula>
    </cfRule>
  </conditionalFormatting>
  <conditionalFormatting sqref="BE3:BF3">
    <cfRule type="containsBlanks" dxfId="262" priority="171">
      <formula>LEN(TRIM(BE3))=0</formula>
    </cfRule>
    <cfRule type="cellIs" dxfId="261" priority="172" operator="lessThanOrEqual">
      <formula>0.106</formula>
    </cfRule>
    <cfRule type="cellIs" dxfId="260" priority="173" operator="between">
      <formula>0.1134</formula>
      <formula>0.1061</formula>
    </cfRule>
    <cfRule type="cellIs" dxfId="259" priority="174" operator="between">
      <formula>0.1208</formula>
      <formula>0.1135</formula>
    </cfRule>
    <cfRule type="cellIs" dxfId="258" priority="175" operator="greaterThan">
      <formula>0.1208</formula>
    </cfRule>
  </conditionalFormatting>
  <conditionalFormatting sqref="AY4">
    <cfRule type="containsBlanks" dxfId="257" priority="166">
      <formula>LEN(TRIM(AY4))=0</formula>
    </cfRule>
    <cfRule type="cellIs" dxfId="256" priority="167" operator="lessThanOrEqual">
      <formula>0.1408</formula>
    </cfRule>
    <cfRule type="cellIs" dxfId="255" priority="168" operator="between">
      <formula>0.1464</formula>
      <formula>0.1409</formula>
    </cfRule>
    <cfRule type="cellIs" dxfId="254" priority="169" operator="between">
      <formula>0.152</formula>
      <formula>0.1465</formula>
    </cfRule>
    <cfRule type="cellIs" dxfId="253" priority="170" operator="greaterThan">
      <formula>0.152</formula>
    </cfRule>
  </conditionalFormatting>
  <conditionalFormatting sqref="AZ4:BD4 BF4">
    <cfRule type="containsBlanks" dxfId="252" priority="161">
      <formula>LEN(TRIM(AZ4))=0</formula>
    </cfRule>
    <cfRule type="cellIs" dxfId="251" priority="162" operator="lessThanOrEqual">
      <formula>0.1408</formula>
    </cfRule>
    <cfRule type="cellIs" dxfId="250" priority="163" operator="between">
      <formula>0.1464</formula>
      <formula>0.1409</formula>
    </cfRule>
    <cfRule type="cellIs" dxfId="249" priority="164" operator="between">
      <formula>0.152</formula>
      <formula>0.1465</formula>
    </cfRule>
    <cfRule type="cellIs" dxfId="248" priority="165" operator="greaterThan">
      <formula>0.152</formula>
    </cfRule>
  </conditionalFormatting>
  <conditionalFormatting sqref="BE4">
    <cfRule type="containsBlanks" dxfId="247" priority="156">
      <formula>LEN(TRIM(BE4))=0</formula>
    </cfRule>
    <cfRule type="cellIs" dxfId="246" priority="157" operator="lessThanOrEqual">
      <formula>0.1408</formula>
    </cfRule>
    <cfRule type="cellIs" dxfId="245" priority="158" operator="between">
      <formula>0.1464</formula>
      <formula>0.1409</formula>
    </cfRule>
    <cfRule type="cellIs" dxfId="244" priority="159" operator="between">
      <formula>0.152</formula>
      <formula>0.1465</formula>
    </cfRule>
    <cfRule type="cellIs" dxfId="243" priority="160" operator="greaterThan">
      <formula>0.152</formula>
    </cfRule>
  </conditionalFormatting>
  <conditionalFormatting sqref="AY5">
    <cfRule type="containsBlanks" dxfId="242" priority="151">
      <formula>LEN(TRIM(AY5))=0</formula>
    </cfRule>
    <cfRule type="cellIs" dxfId="241" priority="152" operator="lessThanOrEqual">
      <formula>0.1608</formula>
    </cfRule>
    <cfRule type="cellIs" dxfId="240" priority="153" operator="between">
      <formula>0.1659</formula>
      <formula>0.1609</formula>
    </cfRule>
    <cfRule type="cellIs" dxfId="239" priority="154" operator="between">
      <formula>0.171</formula>
      <formula>0.166</formula>
    </cfRule>
    <cfRule type="cellIs" dxfId="238" priority="155" operator="greaterThan">
      <formula>0.171</formula>
    </cfRule>
  </conditionalFormatting>
  <conditionalFormatting sqref="AZ5:BD5 BF5">
    <cfRule type="containsBlanks" dxfId="237" priority="146">
      <formula>LEN(TRIM(AZ5))=0</formula>
    </cfRule>
    <cfRule type="cellIs" dxfId="236" priority="147" operator="lessThanOrEqual">
      <formula>0.1608</formula>
    </cfRule>
    <cfRule type="cellIs" dxfId="235" priority="148" operator="between">
      <formula>0.1659</formula>
      <formula>0.1609</formula>
    </cfRule>
    <cfRule type="cellIs" dxfId="234" priority="149" operator="between">
      <formula>0.171</formula>
      <formula>0.166</formula>
    </cfRule>
    <cfRule type="cellIs" dxfId="233" priority="150" operator="greaterThan">
      <formula>0.171</formula>
    </cfRule>
  </conditionalFormatting>
  <conditionalFormatting sqref="BE5">
    <cfRule type="containsBlanks" dxfId="232" priority="141">
      <formula>LEN(TRIM(BE5))=0</formula>
    </cfRule>
    <cfRule type="cellIs" dxfId="231" priority="142" operator="lessThanOrEqual">
      <formula>0.1608</formula>
    </cfRule>
    <cfRule type="cellIs" dxfId="230" priority="143" operator="between">
      <formula>0.1659</formula>
      <formula>0.1609</formula>
    </cfRule>
    <cfRule type="cellIs" dxfId="229" priority="144" operator="between">
      <formula>0.171</formula>
      <formula>0.166</formula>
    </cfRule>
    <cfRule type="cellIs" dxfId="228" priority="145" operator="greaterThan">
      <formula>0.171</formula>
    </cfRule>
  </conditionalFormatting>
  <conditionalFormatting sqref="AY6">
    <cfRule type="containsBlanks" dxfId="227" priority="136">
      <formula>LEN(TRIM(AY6))=0</formula>
    </cfRule>
    <cfRule type="cellIs" dxfId="226" priority="137" operator="lessThanOrEqual">
      <formula>0.0812</formula>
    </cfRule>
    <cfRule type="cellIs" dxfId="225" priority="138" operator="between">
      <formula>0.0851</formula>
      <formula>0.0813</formula>
    </cfRule>
    <cfRule type="cellIs" dxfId="224" priority="139" operator="between">
      <formula>0.089</formula>
      <formula>0.0852</formula>
    </cfRule>
    <cfRule type="cellIs" dxfId="223" priority="140" operator="greaterThan">
      <formula>0.089</formula>
    </cfRule>
  </conditionalFormatting>
  <conditionalFormatting sqref="AZ6:BD6">
    <cfRule type="containsBlanks" dxfId="222" priority="131">
      <formula>LEN(TRIM(AZ6))=0</formula>
    </cfRule>
    <cfRule type="cellIs" dxfId="221" priority="132" operator="lessThanOrEqual">
      <formula>0.0812</formula>
    </cfRule>
    <cfRule type="cellIs" dxfId="220" priority="133" operator="between">
      <formula>0.0851</formula>
      <formula>0.0813</formula>
    </cfRule>
    <cfRule type="cellIs" dxfId="219" priority="134" operator="between">
      <formula>0.089</formula>
      <formula>0.0852</formula>
    </cfRule>
    <cfRule type="cellIs" dxfId="218" priority="135" operator="greaterThan">
      <formula>0.089</formula>
    </cfRule>
  </conditionalFormatting>
  <conditionalFormatting sqref="BE6:BQ6">
    <cfRule type="containsBlanks" dxfId="217" priority="126">
      <formula>LEN(TRIM(BE6))=0</formula>
    </cfRule>
    <cfRule type="cellIs" dxfId="216" priority="127" operator="lessThanOrEqual">
      <formula>0.0812</formula>
    </cfRule>
    <cfRule type="cellIs" dxfId="215" priority="128" operator="between">
      <formula>0.0851</formula>
      <formula>0.0813</formula>
    </cfRule>
    <cfRule type="cellIs" dxfId="214" priority="129" operator="between">
      <formula>0.089</formula>
      <formula>0.0852</formula>
    </cfRule>
    <cfRule type="cellIs" dxfId="213" priority="130" operator="greaterThan">
      <formula>0.089</formula>
    </cfRule>
  </conditionalFormatting>
  <conditionalFormatting sqref="BI7:BQ7">
    <cfRule type="containsBlanks" dxfId="212" priority="116">
      <formula>LEN(TRIM(BI7))=0</formula>
    </cfRule>
    <cfRule type="cellIs" dxfId="211" priority="117" operator="lessThanOrEqual">
      <formula>0.08</formula>
    </cfRule>
    <cfRule type="cellIs" dxfId="210" priority="118" operator="between">
      <formula>0.085</formula>
      <formula>0.0801</formula>
    </cfRule>
    <cfRule type="cellIs" dxfId="209" priority="119" operator="between">
      <formula>0.09</formula>
      <formula>0.0851</formula>
    </cfRule>
    <cfRule type="cellIs" dxfId="208" priority="120" operator="greaterThan">
      <formula>0.09</formula>
    </cfRule>
  </conditionalFormatting>
  <conditionalFormatting sqref="BB30:BD30">
    <cfRule type="containsBlanks" dxfId="207" priority="104">
      <formula>LEN(TRIM(BB30))=0</formula>
    </cfRule>
    <cfRule type="cellIs" dxfId="206" priority="105" operator="lessThanOrEqual">
      <formula>1</formula>
    </cfRule>
    <cfRule type="cellIs" dxfId="205" priority="106" operator="greaterThan">
      <formula>1</formula>
    </cfRule>
  </conditionalFormatting>
  <conditionalFormatting sqref="BE30">
    <cfRule type="containsBlanks" dxfId="204" priority="101">
      <formula>LEN(TRIM(BE30))=0</formula>
    </cfRule>
    <cfRule type="cellIs" dxfId="203" priority="102" operator="lessThanOrEqual">
      <formula>1</formula>
    </cfRule>
    <cfRule type="cellIs" dxfId="202" priority="103" operator="greaterThan">
      <formula>1</formula>
    </cfRule>
  </conditionalFormatting>
  <conditionalFormatting sqref="BG3:BQ5">
    <cfRule type="containsBlanks" dxfId="201" priority="66">
      <formula>LEN(TRIM(BG3))=0</formula>
    </cfRule>
    <cfRule type="cellIs" dxfId="200" priority="67" operator="lessThanOrEqual">
      <formula>0.0812</formula>
    </cfRule>
    <cfRule type="cellIs" dxfId="199" priority="68" operator="between">
      <formula>0.0851</formula>
      <formula>0.0813</formula>
    </cfRule>
    <cfRule type="cellIs" dxfId="198" priority="69" operator="between">
      <formula>0.089</formula>
      <formula>0.0852</formula>
    </cfRule>
    <cfRule type="cellIs" dxfId="197" priority="70" operator="greaterThan">
      <formula>0.089</formula>
    </cfRule>
  </conditionalFormatting>
  <conditionalFormatting sqref="BF30">
    <cfRule type="containsBlanks" dxfId="196" priority="63">
      <formula>LEN(TRIM(BF30))=0</formula>
    </cfRule>
    <cfRule type="cellIs" dxfId="195" priority="64" operator="lessThanOrEqual">
      <formula>1</formula>
    </cfRule>
    <cfRule type="cellIs" dxfId="194" priority="65" operator="greaterThan">
      <formula>1</formula>
    </cfRule>
  </conditionalFormatting>
  <conditionalFormatting sqref="BG30">
    <cfRule type="containsBlanks" dxfId="193" priority="50">
      <formula>LEN(TRIM(BG30))=0</formula>
    </cfRule>
    <cfRule type="cellIs" dxfId="192" priority="51" operator="lessThanOrEqual">
      <formula>1</formula>
    </cfRule>
    <cfRule type="cellIs" dxfId="191" priority="52" operator="greaterThan">
      <formula>1</formula>
    </cfRule>
  </conditionalFormatting>
  <pageMargins left="0.70866141732283505" right="0.70866141732283505" top="0.74803149606299202" bottom="0.74803149606299202" header="0.31496062992126" footer="0.31496062992126"/>
  <pageSetup paperSize="5" scale="36" fitToHeight="1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87"/>
  <sheetViews>
    <sheetView zoomScale="60" zoomScaleNormal="60" workbookViewId="0">
      <pane xSplit="24" ySplit="2" topLeftCell="Z15" activePane="bottomRight" state="frozen"/>
      <selection pane="topRight" activeCell="Y1" sqref="Y1"/>
      <selection pane="bottomLeft" activeCell="A3" sqref="A3"/>
      <selection pane="bottomRight" activeCell="AA19" sqref="AA19"/>
    </sheetView>
  </sheetViews>
  <sheetFormatPr defaultRowHeight="15" outlineLevelCol="2"/>
  <cols>
    <col min="1" max="1" width="5" customWidth="1"/>
    <col min="2" max="2" width="15.28515625" customWidth="1"/>
    <col min="3" max="3" width="29.85546875" style="62" customWidth="1"/>
    <col min="4" max="4" width="15" hidden="1" customWidth="1" outlineLevel="2"/>
    <col min="5" max="5" width="13.7109375" hidden="1" customWidth="1" outlineLevel="2"/>
    <col min="6" max="6" width="13.7109375" style="2" hidden="1" customWidth="1" outlineLevel="2" collapsed="1"/>
    <col min="7" max="7" width="2.28515625" style="46" hidden="1" customWidth="1" outlineLevel="1" collapsed="1"/>
    <col min="8" max="8" width="13.7109375" style="31" hidden="1" customWidth="1" outlineLevel="1"/>
    <col min="9" max="9" width="15" hidden="1" customWidth="1" outlineLevel="2"/>
    <col min="10" max="10" width="13.7109375" hidden="1" customWidth="1" outlineLevel="2"/>
    <col min="11" max="11" width="2.28515625" style="46" hidden="1" customWidth="1" outlineLevel="2"/>
    <col min="12" max="12" width="13.7109375" style="31" hidden="1" customWidth="1" outlineLevel="1" collapsed="1"/>
    <col min="13" max="13" width="15" hidden="1" customWidth="1" outlineLevel="2"/>
    <col min="14" max="14" width="13.7109375" hidden="1" customWidth="1" outlineLevel="2"/>
    <col min="15" max="15" width="2.28515625" style="46" hidden="1" customWidth="1" outlineLevel="1" collapsed="1"/>
    <col min="16" max="16" width="13.28515625" style="31" hidden="1" customWidth="1" outlineLevel="1"/>
    <col min="17" max="17" width="15" hidden="1" customWidth="1" outlineLevel="2"/>
    <col min="18" max="18" width="13.7109375" hidden="1" customWidth="1" outlineLevel="2"/>
    <col min="19" max="19" width="2.28515625" style="46" hidden="1" customWidth="1" outlineLevel="1" collapsed="1"/>
    <col min="20" max="20" width="17" style="1" hidden="1" customWidth="1"/>
    <col min="21" max="21" width="27" style="1" hidden="1" customWidth="1"/>
    <col min="22" max="22" width="22.7109375" style="1" hidden="1" customWidth="1"/>
    <col min="23" max="24" width="9.85546875" style="1" hidden="1" customWidth="1"/>
    <col min="25" max="25" width="42.140625" style="1" hidden="1" customWidth="1"/>
    <col min="26" max="26" width="14.42578125" style="186" customWidth="1"/>
    <col min="27" max="27" width="43.28515625" style="185" customWidth="1"/>
    <col min="28" max="28" width="11.85546875" style="61" customWidth="1"/>
    <col min="29" max="30" width="9.140625" style="2" customWidth="1"/>
    <col min="31" max="31" width="41.7109375" style="2" customWidth="1"/>
    <col min="32" max="32" width="17.42578125" style="2" customWidth="1"/>
    <col min="33" max="33" width="18" style="2" customWidth="1"/>
    <col min="34" max="34" width="18.7109375" style="2" customWidth="1"/>
    <col min="35" max="35" width="9.140625" style="2" customWidth="1"/>
    <col min="36" max="36" width="38.42578125" style="2" customWidth="1"/>
    <col min="37" max="37" width="9.140625" style="2" customWidth="1"/>
    <col min="38" max="38" width="20" style="2" customWidth="1"/>
    <col min="39" max="39" width="20.42578125" style="2" customWidth="1"/>
    <col min="40" max="40" width="12.140625" style="2" customWidth="1"/>
    <col min="41" max="42" width="9.140625" style="2" customWidth="1"/>
    <col min="43" max="43" width="11.85546875" style="2" customWidth="1"/>
    <col min="44" max="44" width="12.85546875" style="2" customWidth="1"/>
    <col min="45" max="45" width="14.28515625" style="2" customWidth="1"/>
    <col min="46" max="47" width="9.140625" style="2" customWidth="1" outlineLevel="1"/>
    <col min="48" max="48" width="9.140625" style="2" customWidth="1"/>
    <col min="49" max="50" width="9.140625" style="2" customWidth="1" outlineLevel="1"/>
    <col min="51" max="51" width="9.140625" style="2" customWidth="1"/>
    <col min="52" max="53" width="9.140625" style="2" customWidth="1" outlineLevel="1"/>
    <col min="54" max="54" width="9.140625" style="2" customWidth="1"/>
    <col min="55" max="56" width="9.140625" style="2" customWidth="1" outlineLevel="1"/>
    <col min="57" max="60" width="9.140625" style="2" customWidth="1"/>
    <col min="61" max="69" width="9.140625" style="2" hidden="1" customWidth="1"/>
    <col min="70" max="70" width="16.85546875" style="2" hidden="1" customWidth="1"/>
    <col min="71" max="71" width="17.28515625" style="2" hidden="1" customWidth="1"/>
    <col min="72" max="72" width="18.28515625" style="2" hidden="1" customWidth="1"/>
    <col min="73" max="73" width="12.85546875" style="2" hidden="1" customWidth="1"/>
    <col min="74" max="74" width="47.5703125" style="2" hidden="1" customWidth="1"/>
    <col min="75" max="75" width="23.5703125" style="209" hidden="1" customWidth="1"/>
    <col min="77" max="77" width="30.7109375" style="2" customWidth="1"/>
    <col min="78" max="92" width="9.140625" style="2"/>
  </cols>
  <sheetData>
    <row r="1" spans="1:16384" ht="27" thickBot="1">
      <c r="B1" s="192">
        <v>42401</v>
      </c>
      <c r="W1" s="452" t="s">
        <v>76</v>
      </c>
      <c r="X1" s="453"/>
      <c r="AC1" s="463" t="s">
        <v>129</v>
      </c>
      <c r="AD1" s="464"/>
      <c r="AE1" s="464"/>
      <c r="AF1" s="464"/>
      <c r="AG1" s="464"/>
      <c r="AH1" s="464"/>
      <c r="AI1" s="464"/>
      <c r="AJ1" s="464"/>
      <c r="AK1" s="464"/>
      <c r="AL1" s="464"/>
      <c r="AM1" s="464"/>
      <c r="AN1" s="464"/>
      <c r="AO1" s="464"/>
      <c r="AP1" s="464"/>
      <c r="AQ1" s="464"/>
      <c r="AR1" s="464"/>
      <c r="AS1" s="464"/>
      <c r="AT1" s="464"/>
      <c r="AU1" s="464"/>
      <c r="AV1" s="464"/>
      <c r="AW1" s="464"/>
      <c r="AX1" s="464"/>
      <c r="AY1" s="464"/>
      <c r="AZ1" s="464"/>
      <c r="BA1" s="464"/>
      <c r="BB1" s="464"/>
      <c r="BC1" s="464"/>
      <c r="BD1" s="464"/>
      <c r="BE1" s="464"/>
      <c r="BF1" s="464"/>
      <c r="BG1" s="464"/>
      <c r="BH1" s="254"/>
      <c r="BI1" s="254"/>
      <c r="BJ1" s="254"/>
      <c r="BK1" s="254"/>
      <c r="BL1" s="254"/>
      <c r="BM1" s="254"/>
      <c r="BN1" s="254"/>
      <c r="BO1" s="254"/>
      <c r="BP1" s="254"/>
      <c r="BQ1" s="254"/>
      <c r="BR1" s="193" t="s">
        <v>270</v>
      </c>
      <c r="BS1" s="194">
        <v>0.5</v>
      </c>
      <c r="BT1" s="195"/>
      <c r="BU1" s="196"/>
    </row>
    <row r="2" spans="1:16384" s="45" customFormat="1" ht="60.75" customHeight="1" thickBot="1">
      <c r="B2" s="239"/>
      <c r="C2" s="248" t="s">
        <v>1</v>
      </c>
      <c r="D2" s="240" t="s">
        <v>77</v>
      </c>
      <c r="E2" s="43" t="s">
        <v>78</v>
      </c>
      <c r="F2" s="44" t="s">
        <v>64</v>
      </c>
      <c r="G2" s="47"/>
      <c r="H2" s="44" t="s">
        <v>58</v>
      </c>
      <c r="I2" s="42" t="s">
        <v>79</v>
      </c>
      <c r="J2" s="43" t="s">
        <v>80</v>
      </c>
      <c r="K2" s="47"/>
      <c r="L2" s="44" t="s">
        <v>96</v>
      </c>
      <c r="M2" s="42" t="s">
        <v>79</v>
      </c>
      <c r="N2" s="43" t="s">
        <v>80</v>
      </c>
      <c r="O2" s="47"/>
      <c r="P2" s="44" t="s">
        <v>97</v>
      </c>
      <c r="Q2" s="42" t="s">
        <v>79</v>
      </c>
      <c r="R2" s="43" t="s">
        <v>80</v>
      </c>
      <c r="S2" s="47"/>
      <c r="T2" s="44" t="s">
        <v>27</v>
      </c>
      <c r="U2" s="44" t="s">
        <v>90</v>
      </c>
      <c r="V2" s="44" t="s">
        <v>70</v>
      </c>
      <c r="W2" s="44" t="s">
        <v>38</v>
      </c>
      <c r="X2" s="44" t="s">
        <v>39</v>
      </c>
      <c r="Y2" s="58" t="s">
        <v>115</v>
      </c>
      <c r="Z2" s="181" t="s">
        <v>142</v>
      </c>
      <c r="AA2" s="180" t="s">
        <v>258</v>
      </c>
      <c r="AB2" s="60"/>
      <c r="AC2" s="74" t="s">
        <v>130</v>
      </c>
      <c r="AD2" s="74" t="s">
        <v>131</v>
      </c>
      <c r="AE2" s="75" t="s">
        <v>132</v>
      </c>
      <c r="AF2" s="74" t="s">
        <v>64</v>
      </c>
      <c r="AG2" s="74" t="s">
        <v>133</v>
      </c>
      <c r="AH2" s="74" t="s">
        <v>134</v>
      </c>
      <c r="AI2" s="74" t="s">
        <v>135</v>
      </c>
      <c r="AJ2" s="76" t="s">
        <v>136</v>
      </c>
      <c r="AK2" s="76" t="s">
        <v>137</v>
      </c>
      <c r="AL2" s="75" t="s">
        <v>138</v>
      </c>
      <c r="AM2" s="75" t="s">
        <v>139</v>
      </c>
      <c r="AN2" s="75" t="s">
        <v>140</v>
      </c>
      <c r="AO2" s="77" t="s">
        <v>77</v>
      </c>
      <c r="AP2" s="78" t="s">
        <v>78</v>
      </c>
      <c r="AQ2" s="79" t="s">
        <v>141</v>
      </c>
      <c r="AR2" s="77" t="s">
        <v>79</v>
      </c>
      <c r="AS2" s="80" t="s">
        <v>80</v>
      </c>
      <c r="AT2" s="81">
        <v>42035</v>
      </c>
      <c r="AU2" s="74">
        <v>42063</v>
      </c>
      <c r="AV2" s="74">
        <v>42094</v>
      </c>
      <c r="AW2" s="74">
        <v>42124</v>
      </c>
      <c r="AX2" s="74">
        <v>42155</v>
      </c>
      <c r="AY2" s="74">
        <v>42185</v>
      </c>
      <c r="AZ2" s="74">
        <v>42216</v>
      </c>
      <c r="BA2" s="74">
        <v>42247</v>
      </c>
      <c r="BB2" s="74">
        <v>42277</v>
      </c>
      <c r="BC2" s="74">
        <v>42308</v>
      </c>
      <c r="BD2" s="74">
        <v>42338</v>
      </c>
      <c r="BE2" s="74">
        <v>42369</v>
      </c>
      <c r="BF2" s="74">
        <v>42400</v>
      </c>
      <c r="BG2" s="82">
        <v>42401</v>
      </c>
      <c r="BH2" s="82">
        <v>42430</v>
      </c>
      <c r="BI2" s="82">
        <v>42461</v>
      </c>
      <c r="BJ2" s="82">
        <v>42491</v>
      </c>
      <c r="BK2" s="82">
        <v>42522</v>
      </c>
      <c r="BL2" s="82">
        <v>42552</v>
      </c>
      <c r="BM2" s="82">
        <v>42583</v>
      </c>
      <c r="BN2" s="82">
        <v>42614</v>
      </c>
      <c r="BO2" s="82">
        <v>42644</v>
      </c>
      <c r="BP2" s="82">
        <v>42675</v>
      </c>
      <c r="BQ2" s="82">
        <v>42705</v>
      </c>
      <c r="BR2" s="197" t="s">
        <v>271</v>
      </c>
      <c r="BS2" s="197" t="s">
        <v>272</v>
      </c>
      <c r="BT2" s="197" t="s">
        <v>273</v>
      </c>
      <c r="BU2" s="198" t="s">
        <v>274</v>
      </c>
      <c r="BV2" s="83" t="s">
        <v>259</v>
      </c>
      <c r="BW2" s="210" t="s">
        <v>276</v>
      </c>
    </row>
    <row r="3" spans="1:16384" s="2" customFormat="1" ht="81.75" customHeight="1">
      <c r="A3" s="224"/>
      <c r="B3" s="465"/>
      <c r="C3" s="263" t="s">
        <v>34</v>
      </c>
      <c r="D3" s="6" t="s">
        <v>81</v>
      </c>
      <c r="E3" s="7" t="s">
        <v>81</v>
      </c>
      <c r="F3" s="35" t="s">
        <v>19</v>
      </c>
      <c r="G3" s="49"/>
      <c r="H3" s="25" t="s">
        <v>81</v>
      </c>
      <c r="I3" s="40"/>
      <c r="J3" s="41"/>
      <c r="K3" s="49"/>
      <c r="L3" s="28" t="s">
        <v>81</v>
      </c>
      <c r="M3" s="6"/>
      <c r="N3" s="7"/>
      <c r="O3" s="49"/>
      <c r="P3" s="28" t="s">
        <v>11</v>
      </c>
      <c r="Q3" s="40"/>
      <c r="R3" s="41"/>
      <c r="S3" s="49"/>
      <c r="T3" s="22" t="s">
        <v>111</v>
      </c>
      <c r="U3" s="22" t="s">
        <v>94</v>
      </c>
      <c r="V3" s="22" t="s">
        <v>56</v>
      </c>
      <c r="W3" s="22" t="s">
        <v>41</v>
      </c>
      <c r="X3" s="214" t="s">
        <v>50</v>
      </c>
      <c r="Y3" s="219"/>
      <c r="Z3" s="84" t="s">
        <v>172</v>
      </c>
      <c r="AA3" s="88" t="s">
        <v>375</v>
      </c>
      <c r="AB3" s="183"/>
      <c r="AC3" s="84" t="s">
        <v>182</v>
      </c>
      <c r="AD3" s="85"/>
      <c r="AE3" s="84"/>
      <c r="AF3" s="86"/>
      <c r="AG3" s="86"/>
      <c r="AH3" s="86"/>
      <c r="AI3" s="86"/>
      <c r="AJ3" s="86"/>
      <c r="AK3" s="96"/>
      <c r="AL3" s="99"/>
      <c r="AM3" s="139"/>
      <c r="AN3" s="99"/>
      <c r="AO3" s="152"/>
      <c r="AP3" s="153"/>
      <c r="AQ3" s="100"/>
      <c r="AR3" s="90"/>
      <c r="AS3" s="153"/>
      <c r="AT3" s="386"/>
      <c r="AU3" s="386"/>
      <c r="AV3" s="386"/>
      <c r="AW3" s="386"/>
      <c r="AX3" s="386"/>
      <c r="AY3" s="386"/>
      <c r="AZ3" s="386"/>
      <c r="BA3" s="386"/>
      <c r="BB3" s="386"/>
      <c r="BC3" s="386"/>
      <c r="BD3" s="386"/>
      <c r="BE3" s="386"/>
      <c r="BF3" s="386"/>
      <c r="BG3" s="386"/>
      <c r="BH3" s="386"/>
      <c r="BI3" s="204"/>
      <c r="BJ3" s="204"/>
      <c r="BK3" s="204"/>
      <c r="BL3" s="204"/>
      <c r="BM3" s="204"/>
      <c r="BN3" s="204"/>
      <c r="BO3" s="204"/>
      <c r="BP3" s="204"/>
      <c r="BQ3" s="204"/>
      <c r="BR3" s="199" t="str">
        <f t="shared" ref="BR3:BR5" si="0">+IFERROR(AVERAGE(AT3:BQ3),"")</f>
        <v/>
      </c>
      <c r="BS3" s="200" t="str">
        <f t="shared" ref="BS3:BS5" si="1">+IFERROR(VAR(AT3:BQ3),"")</f>
        <v/>
      </c>
      <c r="BT3" s="201" t="str">
        <f t="shared" ref="BT3:BT5" si="2">+IFERROR(STDEV(AT3:BQ3)*(1-$BS$1),"")</f>
        <v/>
      </c>
      <c r="BU3" s="202" t="str">
        <f t="shared" ref="BU3:BU12" ca="1" si="3">+IF(OR(BT3="",OFFSET(AT3,0,MATCH($B$1,AT$2:BQ$2,0)-1)=""),"",IFERROR(IF(ABS(OFFSET(AT3,0,MATCH($B$1,AT$2:BQ$2,0)-1)-OFFSET(AT3,0,MATCH($B$1,AT$2:BQ$2,0)-2))&gt;BT3,"N","µ"),""))</f>
        <v/>
      </c>
      <c r="BV3" s="94"/>
      <c r="BW3" s="211" t="s">
        <v>286</v>
      </c>
      <c r="BY3" s="95"/>
    </row>
    <row r="4" spans="1:16384" s="2" customFormat="1" ht="81.75" customHeight="1">
      <c r="A4" s="224"/>
      <c r="B4" s="465"/>
      <c r="C4" s="263" t="s">
        <v>35</v>
      </c>
      <c r="D4" s="6" t="s">
        <v>81</v>
      </c>
      <c r="E4" s="7" t="s">
        <v>81</v>
      </c>
      <c r="F4" s="35" t="s">
        <v>19</v>
      </c>
      <c r="G4" s="49"/>
      <c r="H4" s="25" t="s">
        <v>54</v>
      </c>
      <c r="I4" s="40"/>
      <c r="J4" s="41"/>
      <c r="K4" s="49"/>
      <c r="L4" s="28" t="s">
        <v>54</v>
      </c>
      <c r="M4" s="6"/>
      <c r="N4" s="7"/>
      <c r="O4" s="49"/>
      <c r="P4" s="64" t="s">
        <v>11</v>
      </c>
      <c r="Q4" s="40"/>
      <c r="R4" s="41"/>
      <c r="S4" s="49"/>
      <c r="T4" s="22" t="s">
        <v>112</v>
      </c>
      <c r="U4" s="22" t="s">
        <v>60</v>
      </c>
      <c r="V4" s="22" t="s">
        <v>57</v>
      </c>
      <c r="W4" s="22" t="s">
        <v>44</v>
      </c>
      <c r="X4" s="214" t="s">
        <v>43</v>
      </c>
      <c r="Y4" s="219" t="s">
        <v>121</v>
      </c>
      <c r="Z4" s="84" t="s">
        <v>172</v>
      </c>
      <c r="AA4" s="88" t="s">
        <v>375</v>
      </c>
      <c r="AB4" s="394"/>
      <c r="AC4" s="84" t="s">
        <v>182</v>
      </c>
      <c r="AD4" s="85"/>
      <c r="AE4" s="84"/>
      <c r="AF4" s="86"/>
      <c r="AG4" s="86"/>
      <c r="AH4" s="86"/>
      <c r="AI4" s="86"/>
      <c r="AJ4" s="86"/>
      <c r="AK4" s="96"/>
      <c r="AL4" s="99"/>
      <c r="AM4" s="139"/>
      <c r="AN4" s="99"/>
      <c r="AO4" s="152"/>
      <c r="AP4" s="153"/>
      <c r="AQ4" s="100"/>
      <c r="AR4" s="90"/>
      <c r="AS4" s="153"/>
      <c r="AT4" s="386"/>
      <c r="AU4" s="386"/>
      <c r="AV4" s="386"/>
      <c r="AW4" s="386"/>
      <c r="AX4" s="386"/>
      <c r="AY4" s="386"/>
      <c r="AZ4" s="386"/>
      <c r="BA4" s="386"/>
      <c r="BB4" s="386"/>
      <c r="BC4" s="386"/>
      <c r="BD4" s="386"/>
      <c r="BE4" s="386"/>
      <c r="BF4" s="386"/>
      <c r="BG4" s="386"/>
      <c r="BH4" s="386"/>
      <c r="BI4" s="204"/>
      <c r="BJ4" s="204"/>
      <c r="BK4" s="204"/>
      <c r="BL4" s="204"/>
      <c r="BM4" s="204"/>
      <c r="BN4" s="204"/>
      <c r="BO4" s="204"/>
      <c r="BP4" s="204"/>
      <c r="BQ4" s="204"/>
      <c r="BR4" s="395" t="str">
        <f t="shared" si="0"/>
        <v/>
      </c>
      <c r="BS4" s="396" t="str">
        <f t="shared" si="1"/>
        <v/>
      </c>
      <c r="BT4" s="397" t="str">
        <f t="shared" si="2"/>
        <v/>
      </c>
      <c r="BU4" s="398" t="str">
        <f t="shared" ca="1" si="3"/>
        <v/>
      </c>
      <c r="BV4" s="94"/>
      <c r="BW4" s="211" t="s">
        <v>286</v>
      </c>
      <c r="BY4" s="95"/>
    </row>
    <row r="5" spans="1:16384" s="2" customFormat="1" ht="81.75" customHeight="1" thickBot="1">
      <c r="A5" s="224"/>
      <c r="B5" s="466"/>
      <c r="C5" s="250" t="s">
        <v>123</v>
      </c>
      <c r="D5" s="242"/>
      <c r="E5" s="66"/>
      <c r="F5" s="67"/>
      <c r="G5" s="182"/>
      <c r="H5" s="69"/>
      <c r="I5" s="70"/>
      <c r="J5" s="66"/>
      <c r="K5" s="68"/>
      <c r="L5" s="64"/>
      <c r="M5" s="65"/>
      <c r="N5" s="66"/>
      <c r="O5" s="182"/>
      <c r="P5" s="64" t="s">
        <v>54</v>
      </c>
      <c r="Q5" s="57"/>
      <c r="R5" s="56"/>
      <c r="S5" s="73"/>
      <c r="T5" s="71"/>
      <c r="U5" s="71"/>
      <c r="V5" s="71"/>
      <c r="W5" s="71"/>
      <c r="X5" s="215"/>
      <c r="Y5" s="220" t="s">
        <v>275</v>
      </c>
      <c r="Z5" s="85" t="s">
        <v>151</v>
      </c>
      <c r="AA5" s="102" t="s">
        <v>376</v>
      </c>
      <c r="AB5" s="399"/>
      <c r="AC5" s="84"/>
      <c r="AD5" s="85"/>
      <c r="AE5" s="84" t="s">
        <v>200</v>
      </c>
      <c r="AF5" s="111"/>
      <c r="AG5" s="86"/>
      <c r="AH5" s="86"/>
      <c r="AI5" s="86"/>
      <c r="AJ5" s="86" t="s">
        <v>262</v>
      </c>
      <c r="AK5" s="96"/>
      <c r="AL5" s="86"/>
      <c r="AM5" s="128"/>
      <c r="AN5" s="86"/>
      <c r="AO5" s="107"/>
      <c r="AP5" s="108"/>
      <c r="AQ5" s="109">
        <f t="shared" ref="AQ5" si="4">STDEV(AT5:BE5)+(AVERAGE(AT5:BE5))</f>
        <v>4.6380138104174948E-2</v>
      </c>
      <c r="AR5" s="90">
        <f t="shared" ref="AR5" si="5">AQ5+0.0001</f>
        <v>4.6480138104174951E-2</v>
      </c>
      <c r="AS5" s="108">
        <f t="shared" ref="AS5" si="6">AQ5*1.2</f>
        <v>5.5656165725009935E-2</v>
      </c>
      <c r="AT5" s="126">
        <f>182989324.76/4191543000</f>
        <v>4.3656792918502801E-2</v>
      </c>
      <c r="AU5" s="126">
        <f>178367192.12/4168446000</f>
        <v>4.2789853129919397E-2</v>
      </c>
      <c r="AV5" s="126">
        <f>175851005.05/4172064000</f>
        <v>4.2149642251413211E-2</v>
      </c>
      <c r="AW5" s="126">
        <f>177754108.64/4181531000</f>
        <v>4.2509336565961127E-2</v>
      </c>
      <c r="AX5" s="126">
        <f>176312206.56/4227487000</f>
        <v>4.1706149908917522E-2</v>
      </c>
      <c r="AY5" s="126">
        <f>174068811.14/4255324000</f>
        <v>4.0906123984918656E-2</v>
      </c>
      <c r="AZ5" s="126">
        <f>194601535.07/4232319000</f>
        <v>4.5979883621721326E-2</v>
      </c>
      <c r="BA5" s="126">
        <f>183942890.73/4182179000</f>
        <v>4.3982548506412561E-2</v>
      </c>
      <c r="BB5" s="126">
        <f>184023179.92/4015154137</f>
        <v>4.5832158278610063E-2</v>
      </c>
      <c r="BC5" s="126">
        <f>179064582.69/3984909000</f>
        <v>4.4935676746947047E-2</v>
      </c>
      <c r="BD5" s="127">
        <f>192243342.94/3934542000</f>
        <v>4.8860411946295146E-2</v>
      </c>
      <c r="BE5" s="126">
        <f>181405966.58/3954119546.76</f>
        <v>4.5877714225571103E-2</v>
      </c>
      <c r="BF5" s="126">
        <f>179220626.72/3922925000</f>
        <v>4.5685458355691225E-2</v>
      </c>
      <c r="BG5" s="386"/>
      <c r="BH5" s="386"/>
      <c r="BI5" s="93"/>
      <c r="BJ5" s="93"/>
      <c r="BK5" s="93"/>
      <c r="BL5" s="93"/>
      <c r="BM5" s="93"/>
      <c r="BN5" s="93"/>
      <c r="BO5" s="93"/>
      <c r="BP5" s="93"/>
      <c r="BQ5" s="93"/>
      <c r="BR5" s="235">
        <f t="shared" si="0"/>
        <v>4.4220903880067788E-2</v>
      </c>
      <c r="BS5" s="230">
        <f t="shared" si="1"/>
        <v>4.9641922961320616E-6</v>
      </c>
      <c r="BT5" s="231">
        <f t="shared" si="2"/>
        <v>1.1140233723010552E-3</v>
      </c>
      <c r="BU5" s="400" t="str">
        <f t="shared" ca="1" si="3"/>
        <v/>
      </c>
      <c r="BV5" s="94"/>
      <c r="BW5" s="212"/>
      <c r="BX5" s="72"/>
      <c r="BY5" s="95"/>
      <c r="BZ5" s="72"/>
      <c r="CA5" s="72"/>
      <c r="CB5" s="72"/>
      <c r="CC5" s="72"/>
      <c r="CD5" s="72"/>
      <c r="CE5" s="72"/>
      <c r="CF5" s="72"/>
      <c r="CG5" s="72"/>
      <c r="CH5" s="72"/>
      <c r="CI5" s="72"/>
      <c r="CJ5" s="72"/>
      <c r="CK5" s="72"/>
      <c r="CL5" s="72"/>
      <c r="CM5" s="72"/>
      <c r="CN5" s="72"/>
      <c r="CO5" s="72"/>
      <c r="CP5" s="72"/>
      <c r="CQ5" s="72"/>
      <c r="CR5" s="72"/>
      <c r="CS5" s="72"/>
      <c r="CT5" s="72"/>
      <c r="CU5" s="72"/>
      <c r="CV5" s="72"/>
      <c r="CW5" s="72"/>
      <c r="CX5" s="72"/>
      <c r="CY5" s="72"/>
      <c r="CZ5" s="72"/>
      <c r="DA5" s="72"/>
      <c r="DB5" s="72"/>
      <c r="DC5" s="72"/>
      <c r="DD5" s="72"/>
      <c r="DE5" s="72"/>
      <c r="DF5" s="72"/>
      <c r="DG5" s="72"/>
      <c r="DH5" s="72"/>
      <c r="DI5" s="72"/>
      <c r="DJ5" s="72"/>
      <c r="DK5" s="72"/>
      <c r="DL5" s="72"/>
      <c r="DM5" s="72"/>
      <c r="DN5" s="72"/>
      <c r="DO5" s="72"/>
      <c r="DP5" s="72"/>
      <c r="DQ5" s="72"/>
      <c r="DR5" s="72"/>
      <c r="DS5" s="72"/>
      <c r="DT5" s="72"/>
      <c r="DU5" s="72"/>
      <c r="DV5" s="72"/>
      <c r="DW5" s="72"/>
      <c r="DX5" s="72"/>
      <c r="DY5" s="72"/>
      <c r="DZ5" s="72"/>
      <c r="EA5" s="72"/>
      <c r="EB5" s="72"/>
      <c r="EC5" s="72"/>
      <c r="ED5" s="72"/>
      <c r="EE5" s="72"/>
      <c r="EF5" s="72"/>
      <c r="EG5" s="72"/>
      <c r="EH5" s="72"/>
      <c r="EI5" s="72"/>
      <c r="EJ5" s="72"/>
      <c r="EK5" s="72"/>
      <c r="EL5" s="72"/>
      <c r="EM5" s="72"/>
      <c r="EN5" s="72"/>
      <c r="EO5" s="72"/>
      <c r="EP5" s="72"/>
      <c r="EQ5" s="72"/>
      <c r="ER5" s="72"/>
      <c r="ES5" s="72"/>
      <c r="ET5" s="72"/>
      <c r="EU5" s="72"/>
      <c r="EV5" s="72"/>
      <c r="EW5" s="72"/>
      <c r="EX5" s="72"/>
      <c r="EY5" s="72"/>
      <c r="EZ5" s="72"/>
      <c r="FA5" s="72"/>
      <c r="FB5" s="72"/>
      <c r="FC5" s="72"/>
      <c r="FD5" s="72"/>
      <c r="FE5" s="72"/>
      <c r="FF5" s="72"/>
      <c r="FG5" s="72"/>
      <c r="FH5" s="72"/>
      <c r="FI5" s="72"/>
      <c r="FJ5" s="72"/>
      <c r="FK5" s="72"/>
      <c r="FL5" s="72"/>
      <c r="FM5" s="72"/>
      <c r="FN5" s="72"/>
      <c r="FO5" s="72"/>
      <c r="FP5" s="72"/>
      <c r="FQ5" s="72"/>
      <c r="FR5" s="72"/>
      <c r="FS5" s="72"/>
      <c r="FT5" s="72"/>
      <c r="FU5" s="72"/>
      <c r="FV5" s="72"/>
      <c r="FW5" s="72"/>
      <c r="FX5" s="72"/>
      <c r="FY5" s="72"/>
      <c r="FZ5" s="72"/>
      <c r="GA5" s="72"/>
      <c r="GB5" s="72"/>
      <c r="GC5" s="72"/>
      <c r="GD5" s="72"/>
      <c r="GE5" s="72"/>
      <c r="GF5" s="72"/>
      <c r="GG5" s="72"/>
      <c r="GH5" s="72"/>
      <c r="GI5" s="72"/>
      <c r="GJ5" s="72"/>
      <c r="GK5" s="72"/>
      <c r="GL5" s="72"/>
      <c r="GM5" s="72"/>
      <c r="GN5" s="72"/>
      <c r="GO5" s="72"/>
      <c r="GP5" s="72"/>
      <c r="GQ5" s="72"/>
      <c r="GR5" s="72"/>
      <c r="GS5" s="72"/>
      <c r="GT5" s="72"/>
      <c r="GU5" s="72"/>
      <c r="GV5" s="72"/>
      <c r="GW5" s="72"/>
      <c r="GX5" s="72"/>
      <c r="GY5" s="72"/>
      <c r="GZ5" s="72"/>
      <c r="HA5" s="72"/>
      <c r="HB5" s="72"/>
      <c r="HC5" s="72"/>
      <c r="HD5" s="72"/>
      <c r="HE5" s="72"/>
      <c r="HF5" s="72"/>
      <c r="HG5" s="72"/>
      <c r="HH5" s="72"/>
      <c r="HI5" s="72"/>
      <c r="HJ5" s="72"/>
      <c r="HK5" s="72"/>
      <c r="HL5" s="72"/>
      <c r="HM5" s="72"/>
      <c r="HN5" s="72"/>
      <c r="HO5" s="72"/>
      <c r="HP5" s="72"/>
      <c r="HQ5" s="72"/>
      <c r="HR5" s="72"/>
      <c r="HS5" s="72"/>
      <c r="HT5" s="72"/>
      <c r="HU5" s="72"/>
      <c r="HV5" s="72"/>
      <c r="HW5" s="72"/>
      <c r="HX5" s="72"/>
      <c r="HY5" s="72"/>
      <c r="HZ5" s="72"/>
      <c r="IA5" s="72"/>
      <c r="IB5" s="72"/>
      <c r="IC5" s="72"/>
      <c r="ID5" s="72"/>
      <c r="IE5" s="72"/>
      <c r="IF5" s="72"/>
      <c r="IG5" s="72"/>
      <c r="IH5" s="72"/>
      <c r="II5" s="72"/>
      <c r="IJ5" s="72"/>
      <c r="IK5" s="72"/>
      <c r="IL5" s="72"/>
      <c r="IM5" s="72"/>
      <c r="IN5" s="72"/>
      <c r="IO5" s="72"/>
      <c r="IP5" s="72"/>
      <c r="IQ5" s="72"/>
      <c r="IR5" s="72"/>
      <c r="IS5" s="72"/>
      <c r="IT5" s="72"/>
      <c r="IU5" s="72"/>
      <c r="IV5" s="72"/>
      <c r="IW5" s="72"/>
      <c r="IX5" s="72"/>
      <c r="IY5" s="72"/>
      <c r="IZ5" s="72"/>
      <c r="JA5" s="72"/>
      <c r="JB5" s="72"/>
      <c r="JC5" s="72"/>
      <c r="JD5" s="72"/>
      <c r="JE5" s="72"/>
      <c r="JF5" s="72"/>
      <c r="JG5" s="72"/>
      <c r="JH5" s="72"/>
      <c r="JI5" s="72"/>
      <c r="JJ5" s="72"/>
      <c r="JK5" s="72"/>
      <c r="JL5" s="72"/>
      <c r="JM5" s="72"/>
      <c r="JN5" s="72"/>
      <c r="JO5" s="72"/>
      <c r="JP5" s="72"/>
      <c r="JQ5" s="72"/>
      <c r="JR5" s="72"/>
      <c r="JS5" s="72"/>
      <c r="JT5" s="72"/>
      <c r="JU5" s="72"/>
      <c r="JV5" s="72"/>
      <c r="JW5" s="72"/>
      <c r="JX5" s="72"/>
      <c r="JY5" s="72"/>
      <c r="JZ5" s="72"/>
      <c r="KA5" s="72"/>
      <c r="KB5" s="72"/>
      <c r="KC5" s="72"/>
      <c r="KD5" s="72"/>
      <c r="KE5" s="72"/>
      <c r="KF5" s="72"/>
      <c r="KG5" s="72"/>
      <c r="KH5" s="72"/>
      <c r="KI5" s="72"/>
      <c r="KJ5" s="72"/>
      <c r="KK5" s="72"/>
      <c r="KL5" s="72"/>
      <c r="KM5" s="72"/>
      <c r="KN5" s="72"/>
      <c r="KO5" s="72"/>
      <c r="KP5" s="72"/>
      <c r="KQ5" s="72"/>
      <c r="KR5" s="72"/>
      <c r="KS5" s="72"/>
      <c r="KT5" s="72"/>
      <c r="KU5" s="72"/>
      <c r="KV5" s="72"/>
      <c r="KW5" s="72"/>
      <c r="KX5" s="72"/>
      <c r="KY5" s="72"/>
      <c r="KZ5" s="72"/>
      <c r="LA5" s="72"/>
      <c r="LB5" s="72"/>
      <c r="LC5" s="72"/>
      <c r="LD5" s="72"/>
      <c r="LE5" s="72"/>
      <c r="LF5" s="72"/>
      <c r="LG5" s="72"/>
      <c r="LH5" s="72"/>
      <c r="LI5" s="72"/>
      <c r="LJ5" s="72"/>
      <c r="LK5" s="72"/>
      <c r="LL5" s="72"/>
      <c r="LM5" s="72"/>
      <c r="LN5" s="72"/>
      <c r="LO5" s="72"/>
      <c r="LP5" s="72"/>
      <c r="LQ5" s="72"/>
      <c r="LR5" s="72"/>
      <c r="LS5" s="72"/>
      <c r="LT5" s="72"/>
      <c r="LU5" s="72"/>
      <c r="LV5" s="72"/>
      <c r="LW5" s="72"/>
      <c r="LX5" s="72"/>
      <c r="LY5" s="72"/>
      <c r="LZ5" s="72"/>
      <c r="MA5" s="72"/>
      <c r="MB5" s="72"/>
      <c r="MC5" s="72"/>
      <c r="MD5" s="72"/>
      <c r="ME5" s="72"/>
      <c r="MF5" s="72"/>
      <c r="MG5" s="72"/>
      <c r="MH5" s="72"/>
      <c r="MI5" s="72"/>
      <c r="MJ5" s="72"/>
      <c r="MK5" s="72"/>
      <c r="ML5" s="72"/>
      <c r="MM5" s="72"/>
      <c r="MN5" s="72"/>
      <c r="MO5" s="72"/>
      <c r="MP5" s="72"/>
      <c r="MQ5" s="72"/>
      <c r="MR5" s="72"/>
      <c r="MS5" s="72"/>
      <c r="MT5" s="72"/>
      <c r="MU5" s="72"/>
      <c r="MV5" s="72"/>
      <c r="MW5" s="72"/>
      <c r="MX5" s="72"/>
      <c r="MY5" s="72"/>
      <c r="MZ5" s="72"/>
      <c r="NA5" s="72"/>
      <c r="NB5" s="72"/>
      <c r="NC5" s="72"/>
      <c r="ND5" s="72"/>
      <c r="NE5" s="72"/>
      <c r="NF5" s="72"/>
      <c r="NG5" s="72"/>
      <c r="NH5" s="72"/>
      <c r="NI5" s="72"/>
      <c r="NJ5" s="72"/>
      <c r="NK5" s="72"/>
      <c r="NL5" s="72"/>
      <c r="NM5" s="72"/>
      <c r="NN5" s="72"/>
      <c r="NO5" s="72"/>
      <c r="NP5" s="72"/>
      <c r="NQ5" s="72"/>
      <c r="NR5" s="72"/>
      <c r="NS5" s="72"/>
      <c r="NT5" s="72"/>
      <c r="NU5" s="72"/>
      <c r="NV5" s="72"/>
      <c r="NW5" s="72"/>
      <c r="NX5" s="72"/>
      <c r="NY5" s="72"/>
      <c r="NZ5" s="72"/>
      <c r="OA5" s="72"/>
      <c r="OB5" s="72"/>
      <c r="OC5" s="72"/>
      <c r="OD5" s="72"/>
      <c r="OE5" s="72"/>
      <c r="OF5" s="72"/>
      <c r="OG5" s="72"/>
      <c r="OH5" s="72"/>
      <c r="OI5" s="72"/>
      <c r="OJ5" s="72"/>
      <c r="OK5" s="72"/>
      <c r="OL5" s="72"/>
      <c r="OM5" s="72"/>
      <c r="ON5" s="72"/>
      <c r="OO5" s="72"/>
      <c r="OP5" s="72"/>
      <c r="OQ5" s="72"/>
      <c r="OR5" s="72"/>
      <c r="OS5" s="72"/>
      <c r="OT5" s="72"/>
      <c r="OU5" s="72"/>
      <c r="OV5" s="72"/>
      <c r="OW5" s="72"/>
      <c r="OX5" s="72"/>
      <c r="OY5" s="72"/>
      <c r="OZ5" s="72"/>
      <c r="PA5" s="72"/>
      <c r="PB5" s="72"/>
      <c r="PC5" s="72"/>
      <c r="PD5" s="72"/>
      <c r="PE5" s="72"/>
      <c r="PF5" s="72"/>
      <c r="PG5" s="72"/>
      <c r="PH5" s="72"/>
      <c r="PI5" s="72"/>
      <c r="PJ5" s="72"/>
      <c r="PK5" s="72"/>
      <c r="PL5" s="72"/>
      <c r="PM5" s="72"/>
      <c r="PN5" s="72"/>
      <c r="PO5" s="72"/>
      <c r="PP5" s="72"/>
      <c r="PQ5" s="72"/>
      <c r="PR5" s="72"/>
      <c r="PS5" s="72"/>
      <c r="PT5" s="72"/>
      <c r="PU5" s="72"/>
      <c r="PV5" s="72"/>
      <c r="PW5" s="72"/>
      <c r="PX5" s="72"/>
      <c r="PY5" s="72"/>
      <c r="PZ5" s="72"/>
      <c r="QA5" s="72"/>
      <c r="QB5" s="72"/>
      <c r="QC5" s="72"/>
      <c r="QD5" s="72"/>
      <c r="QE5" s="72"/>
      <c r="QF5" s="72"/>
      <c r="QG5" s="72"/>
      <c r="QH5" s="72"/>
      <c r="QI5" s="72"/>
      <c r="QJ5" s="72"/>
      <c r="QK5" s="72"/>
      <c r="QL5" s="72"/>
      <c r="QM5" s="72"/>
      <c r="QN5" s="72"/>
      <c r="QO5" s="72"/>
      <c r="QP5" s="72"/>
      <c r="QQ5" s="72"/>
      <c r="QR5" s="72"/>
      <c r="QS5" s="72"/>
      <c r="QT5" s="72"/>
      <c r="QU5" s="72"/>
      <c r="QV5" s="72"/>
      <c r="QW5" s="72"/>
      <c r="QX5" s="72"/>
      <c r="QY5" s="72"/>
      <c r="QZ5" s="72"/>
      <c r="RA5" s="72"/>
      <c r="RB5" s="72"/>
      <c r="RC5" s="72"/>
      <c r="RD5" s="72"/>
      <c r="RE5" s="72"/>
      <c r="RF5" s="72"/>
      <c r="RG5" s="72"/>
      <c r="RH5" s="72"/>
      <c r="RI5" s="72"/>
      <c r="RJ5" s="72"/>
      <c r="RK5" s="72"/>
      <c r="RL5" s="72"/>
      <c r="RM5" s="72"/>
      <c r="RN5" s="72"/>
      <c r="RO5" s="72"/>
      <c r="RP5" s="72"/>
      <c r="RQ5" s="72"/>
      <c r="RR5" s="72"/>
      <c r="RS5" s="72"/>
      <c r="RT5" s="72"/>
      <c r="RU5" s="72"/>
      <c r="RV5" s="72"/>
      <c r="RW5" s="72"/>
      <c r="RX5" s="72"/>
      <c r="RY5" s="72"/>
      <c r="RZ5" s="72"/>
      <c r="SA5" s="72"/>
      <c r="SB5" s="72"/>
      <c r="SC5" s="72"/>
      <c r="SD5" s="72"/>
      <c r="SE5" s="72"/>
      <c r="SF5" s="72"/>
      <c r="SG5" s="72"/>
      <c r="SH5" s="72"/>
      <c r="SI5" s="72"/>
      <c r="SJ5" s="72"/>
      <c r="SK5" s="72"/>
      <c r="SL5" s="72"/>
      <c r="SM5" s="72"/>
      <c r="SN5" s="72"/>
      <c r="SO5" s="72"/>
      <c r="SP5" s="72"/>
      <c r="SQ5" s="72"/>
      <c r="SR5" s="72"/>
      <c r="SS5" s="72"/>
      <c r="ST5" s="72"/>
      <c r="SU5" s="72"/>
      <c r="SV5" s="72"/>
      <c r="SW5" s="72"/>
      <c r="SX5" s="72"/>
      <c r="SY5" s="72"/>
      <c r="SZ5" s="72"/>
      <c r="TA5" s="72"/>
      <c r="TB5" s="72"/>
      <c r="TC5" s="72"/>
      <c r="TD5" s="72"/>
      <c r="TE5" s="72"/>
      <c r="TF5" s="72"/>
      <c r="TG5" s="72"/>
      <c r="TH5" s="72"/>
      <c r="TI5" s="72"/>
      <c r="TJ5" s="72"/>
      <c r="TK5" s="72"/>
      <c r="TL5" s="72"/>
      <c r="TM5" s="72"/>
      <c r="TN5" s="72"/>
      <c r="TO5" s="72"/>
      <c r="TP5" s="72"/>
      <c r="TQ5" s="72"/>
      <c r="TR5" s="72"/>
      <c r="TS5" s="72"/>
      <c r="TT5" s="72"/>
      <c r="TU5" s="72"/>
      <c r="TV5" s="72"/>
      <c r="TW5" s="72"/>
      <c r="TX5" s="72"/>
      <c r="TY5" s="72"/>
      <c r="TZ5" s="72"/>
      <c r="UA5" s="72"/>
      <c r="UB5" s="72"/>
      <c r="UC5" s="72"/>
      <c r="UD5" s="72"/>
      <c r="UE5" s="72"/>
      <c r="UF5" s="72"/>
      <c r="UG5" s="72"/>
      <c r="UH5" s="72"/>
      <c r="UI5" s="72"/>
      <c r="UJ5" s="72"/>
      <c r="UK5" s="72"/>
      <c r="UL5" s="72"/>
      <c r="UM5" s="72"/>
      <c r="UN5" s="72"/>
      <c r="UO5" s="72"/>
      <c r="UP5" s="72"/>
      <c r="UQ5" s="72"/>
      <c r="UR5" s="72"/>
      <c r="US5" s="72"/>
      <c r="UT5" s="72"/>
      <c r="UU5" s="72"/>
      <c r="UV5" s="72"/>
      <c r="UW5" s="72"/>
      <c r="UX5" s="72"/>
      <c r="UY5" s="72"/>
      <c r="UZ5" s="72"/>
      <c r="VA5" s="72"/>
      <c r="VB5" s="72"/>
      <c r="VC5" s="72"/>
      <c r="VD5" s="72"/>
      <c r="VE5" s="72"/>
      <c r="VF5" s="72"/>
      <c r="VG5" s="72"/>
      <c r="VH5" s="72"/>
      <c r="VI5" s="72"/>
      <c r="VJ5" s="72"/>
      <c r="VK5" s="72"/>
      <c r="VL5" s="72"/>
      <c r="VM5" s="72"/>
      <c r="VN5" s="72"/>
      <c r="VO5" s="72"/>
      <c r="VP5" s="72"/>
      <c r="VQ5" s="72"/>
      <c r="VR5" s="72"/>
      <c r="VS5" s="72"/>
      <c r="VT5" s="72"/>
      <c r="VU5" s="72"/>
      <c r="VV5" s="72"/>
      <c r="VW5" s="72"/>
      <c r="VX5" s="72"/>
      <c r="VY5" s="72"/>
      <c r="VZ5" s="72"/>
      <c r="WA5" s="72"/>
      <c r="WB5" s="72"/>
      <c r="WC5" s="72"/>
      <c r="WD5" s="72"/>
      <c r="WE5" s="72"/>
      <c r="WF5" s="72"/>
      <c r="WG5" s="72"/>
      <c r="WH5" s="72"/>
      <c r="WI5" s="72"/>
      <c r="WJ5" s="72"/>
      <c r="WK5" s="72"/>
      <c r="WL5" s="72"/>
      <c r="WM5" s="72"/>
      <c r="WN5" s="72"/>
      <c r="WO5" s="72"/>
      <c r="WP5" s="72"/>
      <c r="WQ5" s="72"/>
      <c r="WR5" s="72"/>
      <c r="WS5" s="72"/>
      <c r="WT5" s="72"/>
      <c r="WU5" s="72"/>
      <c r="WV5" s="72"/>
      <c r="WW5" s="72"/>
      <c r="WX5" s="72"/>
      <c r="WY5" s="72"/>
      <c r="WZ5" s="72"/>
      <c r="XA5" s="72"/>
      <c r="XB5" s="72"/>
      <c r="XC5" s="72"/>
      <c r="XD5" s="72"/>
      <c r="XE5" s="72"/>
      <c r="XF5" s="72"/>
      <c r="XG5" s="72"/>
      <c r="XH5" s="72"/>
      <c r="XI5" s="72"/>
      <c r="XJ5" s="72"/>
      <c r="XK5" s="72"/>
      <c r="XL5" s="72"/>
      <c r="XM5" s="72"/>
      <c r="XN5" s="72"/>
      <c r="XO5" s="72"/>
      <c r="XP5" s="72"/>
      <c r="XQ5" s="72"/>
      <c r="XR5" s="72"/>
      <c r="XS5" s="72"/>
      <c r="XT5" s="72"/>
      <c r="XU5" s="72"/>
      <c r="XV5" s="72"/>
      <c r="XW5" s="72"/>
      <c r="XX5" s="72"/>
      <c r="XY5" s="72"/>
      <c r="XZ5" s="72"/>
      <c r="YA5" s="72"/>
      <c r="YB5" s="72"/>
      <c r="YC5" s="72"/>
      <c r="YD5" s="72"/>
      <c r="YE5" s="72"/>
      <c r="YF5" s="72"/>
      <c r="YG5" s="72"/>
      <c r="YH5" s="72"/>
      <c r="YI5" s="72"/>
      <c r="YJ5" s="72"/>
      <c r="YK5" s="72"/>
      <c r="YL5" s="72"/>
      <c r="YM5" s="72"/>
      <c r="YN5" s="72"/>
      <c r="YO5" s="72"/>
      <c r="YP5" s="72"/>
      <c r="YQ5" s="72"/>
      <c r="YR5" s="72"/>
      <c r="YS5" s="72"/>
      <c r="YT5" s="72"/>
      <c r="YU5" s="72"/>
      <c r="YV5" s="72"/>
      <c r="YW5" s="72"/>
      <c r="YX5" s="72"/>
      <c r="YY5" s="72"/>
      <c r="YZ5" s="72"/>
      <c r="ZA5" s="72"/>
      <c r="ZB5" s="72"/>
      <c r="ZC5" s="72"/>
      <c r="ZD5" s="72"/>
      <c r="ZE5" s="72"/>
      <c r="ZF5" s="72"/>
      <c r="ZG5" s="72"/>
      <c r="ZH5" s="72"/>
      <c r="ZI5" s="72"/>
      <c r="ZJ5" s="72"/>
      <c r="ZK5" s="72"/>
      <c r="ZL5" s="72"/>
      <c r="ZM5" s="72"/>
      <c r="ZN5" s="72"/>
      <c r="ZO5" s="72"/>
      <c r="ZP5" s="72"/>
      <c r="ZQ5" s="72"/>
      <c r="ZR5" s="72"/>
      <c r="ZS5" s="72"/>
      <c r="ZT5" s="72"/>
      <c r="ZU5" s="72"/>
      <c r="ZV5" s="72"/>
      <c r="ZW5" s="72"/>
      <c r="ZX5" s="72"/>
      <c r="ZY5" s="72"/>
      <c r="ZZ5" s="72"/>
      <c r="AAA5" s="72"/>
      <c r="AAB5" s="72"/>
      <c r="AAC5" s="72"/>
      <c r="AAD5" s="72"/>
      <c r="AAE5" s="72"/>
      <c r="AAF5" s="72"/>
      <c r="AAG5" s="72"/>
      <c r="AAH5" s="72"/>
      <c r="AAI5" s="72"/>
      <c r="AAJ5" s="72"/>
      <c r="AAK5" s="72"/>
      <c r="AAL5" s="72"/>
      <c r="AAM5" s="72"/>
      <c r="AAN5" s="72"/>
      <c r="AAO5" s="72"/>
      <c r="AAP5" s="72"/>
      <c r="AAQ5" s="72"/>
      <c r="AAR5" s="72"/>
      <c r="AAS5" s="72"/>
      <c r="AAT5" s="72"/>
      <c r="AAU5" s="72"/>
      <c r="AAV5" s="72"/>
      <c r="AAW5" s="72"/>
      <c r="AAX5" s="72"/>
      <c r="AAY5" s="72"/>
      <c r="AAZ5" s="72"/>
      <c r="ABA5" s="72"/>
      <c r="ABB5" s="72"/>
      <c r="ABC5" s="72"/>
      <c r="ABD5" s="72"/>
      <c r="ABE5" s="72"/>
      <c r="ABF5" s="72"/>
      <c r="ABG5" s="72"/>
      <c r="ABH5" s="72"/>
      <c r="ABI5" s="72"/>
      <c r="ABJ5" s="72"/>
      <c r="ABK5" s="72"/>
      <c r="ABL5" s="72"/>
      <c r="ABM5" s="72"/>
      <c r="ABN5" s="72"/>
      <c r="ABO5" s="72"/>
      <c r="ABP5" s="72"/>
      <c r="ABQ5" s="72"/>
      <c r="ABR5" s="72"/>
      <c r="ABS5" s="72"/>
      <c r="ABT5" s="72"/>
      <c r="ABU5" s="72"/>
      <c r="ABV5" s="72"/>
      <c r="ABW5" s="72"/>
      <c r="ABX5" s="72"/>
      <c r="ABY5" s="72"/>
      <c r="ABZ5" s="72"/>
      <c r="ACA5" s="72"/>
      <c r="ACB5" s="72"/>
      <c r="ACC5" s="72"/>
      <c r="ACD5" s="72"/>
      <c r="ACE5" s="72"/>
      <c r="ACF5" s="72"/>
      <c r="ACG5" s="72"/>
      <c r="ACH5" s="72"/>
      <c r="ACI5" s="72"/>
      <c r="ACJ5" s="72"/>
      <c r="ACK5" s="72"/>
      <c r="ACL5" s="72"/>
      <c r="ACM5" s="72"/>
      <c r="ACN5" s="72"/>
      <c r="ACO5" s="72"/>
      <c r="ACP5" s="72"/>
      <c r="ACQ5" s="72"/>
      <c r="ACR5" s="72"/>
      <c r="ACS5" s="72"/>
      <c r="ACT5" s="72"/>
      <c r="ACU5" s="72"/>
      <c r="ACV5" s="72"/>
      <c r="ACW5" s="72"/>
      <c r="ACX5" s="72"/>
      <c r="ACY5" s="72"/>
      <c r="ACZ5" s="72"/>
      <c r="ADA5" s="72"/>
      <c r="ADB5" s="72"/>
      <c r="ADC5" s="72"/>
      <c r="ADD5" s="72"/>
      <c r="ADE5" s="72"/>
      <c r="ADF5" s="72"/>
      <c r="ADG5" s="72"/>
      <c r="ADH5" s="72"/>
      <c r="ADI5" s="72"/>
      <c r="ADJ5" s="72"/>
      <c r="ADK5" s="72"/>
      <c r="ADL5" s="72"/>
      <c r="ADM5" s="72"/>
      <c r="ADN5" s="72"/>
      <c r="ADO5" s="72"/>
      <c r="ADP5" s="72"/>
      <c r="ADQ5" s="72"/>
      <c r="ADR5" s="72"/>
      <c r="ADS5" s="72"/>
      <c r="ADT5" s="72"/>
      <c r="ADU5" s="72"/>
      <c r="ADV5" s="72"/>
      <c r="ADW5" s="72"/>
      <c r="ADX5" s="72"/>
      <c r="ADY5" s="72"/>
      <c r="ADZ5" s="72"/>
      <c r="AEA5" s="72"/>
      <c r="AEB5" s="72"/>
      <c r="AEC5" s="72"/>
      <c r="AED5" s="72"/>
      <c r="AEE5" s="72"/>
      <c r="AEF5" s="72"/>
      <c r="AEG5" s="72"/>
      <c r="AEH5" s="72"/>
      <c r="AEI5" s="72"/>
      <c r="AEJ5" s="72"/>
      <c r="AEK5" s="72"/>
      <c r="AEL5" s="72"/>
      <c r="AEM5" s="72"/>
      <c r="AEN5" s="72"/>
      <c r="AEO5" s="72"/>
      <c r="AEP5" s="72"/>
      <c r="AEQ5" s="72"/>
      <c r="AER5" s="72"/>
      <c r="AES5" s="72"/>
      <c r="AET5" s="72"/>
      <c r="AEU5" s="72"/>
      <c r="AEV5" s="72"/>
      <c r="AEW5" s="72"/>
      <c r="AEX5" s="72"/>
      <c r="AEY5" s="72"/>
      <c r="AEZ5" s="72"/>
      <c r="AFA5" s="72"/>
      <c r="AFB5" s="72"/>
      <c r="AFC5" s="72"/>
      <c r="AFD5" s="72"/>
      <c r="AFE5" s="72"/>
      <c r="AFF5" s="72"/>
      <c r="AFG5" s="72"/>
      <c r="AFH5" s="72"/>
      <c r="AFI5" s="72"/>
      <c r="AFJ5" s="72"/>
      <c r="AFK5" s="72"/>
      <c r="AFL5" s="72"/>
      <c r="AFM5" s="72"/>
      <c r="AFN5" s="72"/>
      <c r="AFO5" s="72"/>
      <c r="AFP5" s="72"/>
      <c r="AFQ5" s="72"/>
      <c r="AFR5" s="72"/>
      <c r="AFS5" s="72"/>
      <c r="AFT5" s="72"/>
      <c r="AFU5" s="72"/>
      <c r="AFV5" s="72"/>
      <c r="AFW5" s="72"/>
      <c r="AFX5" s="72"/>
      <c r="AFY5" s="72"/>
      <c r="AFZ5" s="72"/>
      <c r="AGA5" s="72"/>
      <c r="AGB5" s="72"/>
      <c r="AGC5" s="72"/>
      <c r="AGD5" s="72"/>
      <c r="AGE5" s="72"/>
      <c r="AGF5" s="72"/>
      <c r="AGG5" s="72"/>
      <c r="AGH5" s="72"/>
      <c r="AGI5" s="72"/>
      <c r="AGJ5" s="72"/>
      <c r="AGK5" s="72"/>
      <c r="AGL5" s="72"/>
      <c r="AGM5" s="72"/>
      <c r="AGN5" s="72"/>
      <c r="AGO5" s="72"/>
      <c r="AGP5" s="72"/>
      <c r="AGQ5" s="72"/>
      <c r="AGR5" s="72"/>
      <c r="AGS5" s="72"/>
      <c r="AGT5" s="72"/>
      <c r="AGU5" s="72"/>
      <c r="AGV5" s="72"/>
      <c r="AGW5" s="72"/>
      <c r="AGX5" s="72"/>
      <c r="AGY5" s="72"/>
      <c r="AGZ5" s="72"/>
      <c r="AHA5" s="72"/>
      <c r="AHB5" s="72"/>
      <c r="AHC5" s="72"/>
      <c r="AHD5" s="72"/>
      <c r="AHE5" s="72"/>
      <c r="AHF5" s="72"/>
      <c r="AHG5" s="72"/>
      <c r="AHH5" s="72"/>
      <c r="AHI5" s="72"/>
      <c r="AHJ5" s="72"/>
      <c r="AHK5" s="72"/>
      <c r="AHL5" s="72"/>
      <c r="AHM5" s="72"/>
      <c r="AHN5" s="72"/>
      <c r="AHO5" s="72"/>
      <c r="AHP5" s="72"/>
      <c r="AHQ5" s="72"/>
      <c r="AHR5" s="72"/>
      <c r="AHS5" s="72"/>
      <c r="AHT5" s="72"/>
      <c r="AHU5" s="72"/>
      <c r="AHV5" s="72"/>
      <c r="AHW5" s="72"/>
      <c r="AHX5" s="72"/>
      <c r="AHY5" s="72"/>
      <c r="AHZ5" s="72"/>
      <c r="AIA5" s="72"/>
      <c r="AIB5" s="72"/>
      <c r="AIC5" s="72"/>
      <c r="AID5" s="72"/>
      <c r="AIE5" s="72"/>
      <c r="AIF5" s="72"/>
      <c r="AIG5" s="72"/>
      <c r="AIH5" s="72"/>
      <c r="AII5" s="72"/>
      <c r="AIJ5" s="72"/>
      <c r="AIK5" s="72"/>
      <c r="AIL5" s="72"/>
      <c r="AIM5" s="72"/>
      <c r="AIN5" s="72"/>
      <c r="AIO5" s="72"/>
      <c r="AIP5" s="72"/>
      <c r="AIQ5" s="72"/>
      <c r="AIR5" s="72"/>
      <c r="AIS5" s="72"/>
      <c r="AIT5" s="72"/>
      <c r="AIU5" s="72"/>
      <c r="AIV5" s="72"/>
      <c r="AIW5" s="72"/>
      <c r="AIX5" s="72"/>
      <c r="AIY5" s="72"/>
      <c r="AIZ5" s="72"/>
      <c r="AJA5" s="72"/>
      <c r="AJB5" s="72"/>
      <c r="AJC5" s="72"/>
      <c r="AJD5" s="72"/>
      <c r="AJE5" s="72"/>
      <c r="AJF5" s="72"/>
      <c r="AJG5" s="72"/>
      <c r="AJH5" s="72"/>
      <c r="AJI5" s="72"/>
      <c r="AJJ5" s="72"/>
      <c r="AJK5" s="72"/>
      <c r="AJL5" s="72"/>
      <c r="AJM5" s="72"/>
      <c r="AJN5" s="72"/>
      <c r="AJO5" s="72"/>
      <c r="AJP5" s="72"/>
      <c r="AJQ5" s="72"/>
      <c r="AJR5" s="72"/>
      <c r="AJS5" s="72"/>
      <c r="AJT5" s="72"/>
      <c r="AJU5" s="72"/>
      <c r="AJV5" s="72"/>
      <c r="AJW5" s="72"/>
      <c r="AJX5" s="72"/>
      <c r="AJY5" s="72"/>
      <c r="AJZ5" s="72"/>
      <c r="AKA5" s="72"/>
      <c r="AKB5" s="72"/>
      <c r="AKC5" s="72"/>
      <c r="AKD5" s="72"/>
      <c r="AKE5" s="72"/>
      <c r="AKF5" s="72"/>
      <c r="AKG5" s="72"/>
      <c r="AKH5" s="72"/>
      <c r="AKI5" s="72"/>
      <c r="AKJ5" s="72"/>
      <c r="AKK5" s="72"/>
      <c r="AKL5" s="72"/>
      <c r="AKM5" s="72"/>
      <c r="AKN5" s="72"/>
      <c r="AKO5" s="72"/>
      <c r="AKP5" s="72"/>
      <c r="AKQ5" s="72"/>
      <c r="AKR5" s="72"/>
      <c r="AKS5" s="72"/>
      <c r="AKT5" s="72"/>
      <c r="AKU5" s="72"/>
      <c r="AKV5" s="72"/>
      <c r="AKW5" s="72"/>
      <c r="AKX5" s="72"/>
      <c r="AKY5" s="72"/>
      <c r="AKZ5" s="72"/>
      <c r="ALA5" s="72"/>
      <c r="ALB5" s="72"/>
      <c r="ALC5" s="72"/>
      <c r="ALD5" s="72"/>
      <c r="ALE5" s="72"/>
      <c r="ALF5" s="72"/>
      <c r="ALG5" s="72"/>
      <c r="ALH5" s="72"/>
      <c r="ALI5" s="72"/>
      <c r="ALJ5" s="72"/>
      <c r="ALK5" s="72"/>
      <c r="ALL5" s="72"/>
      <c r="ALM5" s="72"/>
      <c r="ALN5" s="72"/>
      <c r="ALO5" s="72"/>
      <c r="ALP5" s="72"/>
      <c r="ALQ5" s="72"/>
      <c r="ALR5" s="72"/>
      <c r="ALS5" s="72"/>
      <c r="ALT5" s="72"/>
      <c r="ALU5" s="72"/>
      <c r="ALV5" s="72"/>
      <c r="ALW5" s="72"/>
      <c r="ALX5" s="72"/>
      <c r="ALY5" s="72"/>
      <c r="ALZ5" s="72"/>
      <c r="AMA5" s="72"/>
      <c r="AMB5" s="72"/>
      <c r="AMC5" s="72"/>
      <c r="AMD5" s="72"/>
      <c r="AME5" s="72"/>
      <c r="AMF5" s="72"/>
      <c r="AMG5" s="72"/>
      <c r="AMH5" s="72"/>
      <c r="AMI5" s="72"/>
      <c r="AMJ5" s="72"/>
      <c r="AMK5" s="72"/>
      <c r="AML5" s="72"/>
      <c r="AMM5" s="72"/>
      <c r="AMN5" s="72"/>
      <c r="AMO5" s="72"/>
      <c r="AMP5" s="72"/>
      <c r="AMQ5" s="72"/>
      <c r="AMR5" s="72"/>
      <c r="AMS5" s="72"/>
      <c r="AMT5" s="72"/>
      <c r="AMU5" s="72"/>
      <c r="AMV5" s="72"/>
      <c r="AMW5" s="72"/>
      <c r="AMX5" s="72"/>
      <c r="AMY5" s="72"/>
      <c r="AMZ5" s="72"/>
      <c r="ANA5" s="72"/>
      <c r="ANB5" s="72"/>
      <c r="ANC5" s="72"/>
      <c r="AND5" s="72"/>
      <c r="ANE5" s="72"/>
      <c r="ANF5" s="72"/>
      <c r="ANG5" s="72"/>
      <c r="ANH5" s="72"/>
      <c r="ANI5" s="72"/>
      <c r="ANJ5" s="72"/>
      <c r="ANK5" s="72"/>
      <c r="ANL5" s="72"/>
      <c r="ANM5" s="72"/>
      <c r="ANN5" s="72"/>
      <c r="ANO5" s="72"/>
      <c r="ANP5" s="72"/>
      <c r="ANQ5" s="72"/>
      <c r="ANR5" s="72"/>
      <c r="ANS5" s="72"/>
      <c r="ANT5" s="72"/>
      <c r="ANU5" s="72"/>
      <c r="ANV5" s="72"/>
      <c r="ANW5" s="72"/>
      <c r="ANX5" s="72"/>
      <c r="ANY5" s="72"/>
      <c r="ANZ5" s="72"/>
      <c r="AOA5" s="72"/>
      <c r="AOB5" s="72"/>
      <c r="AOC5" s="72"/>
      <c r="AOD5" s="72"/>
      <c r="AOE5" s="72"/>
      <c r="AOF5" s="72"/>
      <c r="AOG5" s="72"/>
      <c r="AOH5" s="72"/>
      <c r="AOI5" s="72"/>
      <c r="AOJ5" s="72"/>
      <c r="AOK5" s="72"/>
      <c r="AOL5" s="72"/>
      <c r="AOM5" s="72"/>
      <c r="AON5" s="72"/>
      <c r="AOO5" s="72"/>
      <c r="AOP5" s="72"/>
      <c r="AOQ5" s="72"/>
      <c r="AOR5" s="72"/>
      <c r="AOS5" s="72"/>
      <c r="AOT5" s="72"/>
      <c r="AOU5" s="72"/>
      <c r="AOV5" s="72"/>
      <c r="AOW5" s="72"/>
      <c r="AOX5" s="72"/>
      <c r="AOY5" s="72"/>
      <c r="AOZ5" s="72"/>
      <c r="APA5" s="72"/>
      <c r="APB5" s="72"/>
      <c r="APC5" s="72"/>
      <c r="APD5" s="72"/>
      <c r="APE5" s="72"/>
      <c r="APF5" s="72"/>
      <c r="APG5" s="72"/>
      <c r="APH5" s="72"/>
      <c r="API5" s="72"/>
      <c r="APJ5" s="72"/>
      <c r="APK5" s="72"/>
      <c r="APL5" s="72"/>
      <c r="APM5" s="72"/>
      <c r="APN5" s="72"/>
      <c r="APO5" s="72"/>
      <c r="APP5" s="72"/>
      <c r="APQ5" s="72"/>
      <c r="APR5" s="72"/>
      <c r="APS5" s="72"/>
      <c r="APT5" s="72"/>
      <c r="APU5" s="72"/>
      <c r="APV5" s="72"/>
      <c r="APW5" s="72"/>
      <c r="APX5" s="72"/>
      <c r="APY5" s="72"/>
      <c r="APZ5" s="72"/>
      <c r="AQA5" s="72"/>
      <c r="AQB5" s="72"/>
      <c r="AQC5" s="72"/>
      <c r="AQD5" s="72"/>
      <c r="AQE5" s="72"/>
      <c r="AQF5" s="72"/>
      <c r="AQG5" s="72"/>
      <c r="AQH5" s="72"/>
      <c r="AQI5" s="72"/>
      <c r="AQJ5" s="72"/>
      <c r="AQK5" s="72"/>
      <c r="AQL5" s="72"/>
      <c r="AQM5" s="72"/>
      <c r="AQN5" s="72"/>
      <c r="AQO5" s="72"/>
      <c r="AQP5" s="72"/>
      <c r="AQQ5" s="72"/>
      <c r="AQR5" s="72"/>
      <c r="AQS5" s="72"/>
      <c r="AQT5" s="72"/>
      <c r="AQU5" s="72"/>
      <c r="AQV5" s="72"/>
      <c r="AQW5" s="72"/>
      <c r="AQX5" s="72"/>
      <c r="AQY5" s="72"/>
      <c r="AQZ5" s="72"/>
      <c r="ARA5" s="72"/>
      <c r="ARB5" s="72"/>
      <c r="ARC5" s="72"/>
      <c r="ARD5" s="72"/>
      <c r="ARE5" s="72"/>
      <c r="ARF5" s="72"/>
      <c r="ARG5" s="72"/>
      <c r="ARH5" s="72"/>
      <c r="ARI5" s="72"/>
      <c r="ARJ5" s="72"/>
      <c r="ARK5" s="72"/>
      <c r="ARL5" s="72"/>
      <c r="ARM5" s="72"/>
      <c r="ARN5" s="72"/>
      <c r="ARO5" s="72"/>
      <c r="ARP5" s="72"/>
      <c r="ARQ5" s="72"/>
      <c r="ARR5" s="72"/>
      <c r="ARS5" s="72"/>
      <c r="ART5" s="72"/>
      <c r="ARU5" s="72"/>
      <c r="ARV5" s="72"/>
      <c r="ARW5" s="72"/>
      <c r="ARX5" s="72"/>
      <c r="ARY5" s="72"/>
      <c r="ARZ5" s="72"/>
      <c r="ASA5" s="72"/>
      <c r="ASB5" s="72"/>
      <c r="ASC5" s="72"/>
      <c r="ASD5" s="72"/>
      <c r="ASE5" s="72"/>
      <c r="ASF5" s="72"/>
      <c r="ASG5" s="72"/>
      <c r="ASH5" s="72"/>
      <c r="ASI5" s="72"/>
      <c r="ASJ5" s="72"/>
      <c r="ASK5" s="72"/>
      <c r="ASL5" s="72"/>
      <c r="ASM5" s="72"/>
      <c r="ASN5" s="72"/>
      <c r="ASO5" s="72"/>
      <c r="ASP5" s="72"/>
      <c r="ASQ5" s="72"/>
      <c r="ASR5" s="72"/>
      <c r="ASS5" s="72"/>
      <c r="AST5" s="72"/>
      <c r="ASU5" s="72"/>
      <c r="ASV5" s="72"/>
      <c r="ASW5" s="72"/>
      <c r="ASX5" s="72"/>
      <c r="ASY5" s="72"/>
      <c r="ASZ5" s="72"/>
      <c r="ATA5" s="72"/>
      <c r="ATB5" s="72"/>
      <c r="ATC5" s="72"/>
      <c r="ATD5" s="72"/>
      <c r="ATE5" s="72"/>
      <c r="ATF5" s="72"/>
      <c r="ATG5" s="72"/>
      <c r="ATH5" s="72"/>
      <c r="ATI5" s="72"/>
      <c r="ATJ5" s="72"/>
      <c r="ATK5" s="72"/>
      <c r="ATL5" s="72"/>
      <c r="ATM5" s="72"/>
      <c r="ATN5" s="72"/>
      <c r="ATO5" s="72"/>
      <c r="ATP5" s="72"/>
      <c r="ATQ5" s="72"/>
      <c r="ATR5" s="72"/>
      <c r="ATS5" s="72"/>
      <c r="ATT5" s="72"/>
      <c r="ATU5" s="72"/>
      <c r="ATV5" s="72"/>
      <c r="ATW5" s="72"/>
      <c r="ATX5" s="72"/>
      <c r="ATY5" s="72"/>
      <c r="ATZ5" s="72"/>
      <c r="AUA5" s="72"/>
      <c r="AUB5" s="72"/>
      <c r="AUC5" s="72"/>
      <c r="AUD5" s="72"/>
      <c r="AUE5" s="72"/>
      <c r="AUF5" s="72"/>
      <c r="AUG5" s="72"/>
      <c r="AUH5" s="72"/>
      <c r="AUI5" s="72"/>
      <c r="AUJ5" s="72"/>
      <c r="AUK5" s="72"/>
      <c r="AUL5" s="72"/>
      <c r="AUM5" s="72"/>
      <c r="AUN5" s="72"/>
      <c r="AUO5" s="72"/>
      <c r="AUP5" s="72"/>
      <c r="AUQ5" s="72"/>
      <c r="AUR5" s="72"/>
      <c r="AUS5" s="72"/>
      <c r="AUT5" s="72"/>
      <c r="AUU5" s="72"/>
      <c r="AUV5" s="72"/>
      <c r="AUW5" s="72"/>
      <c r="AUX5" s="72"/>
      <c r="AUY5" s="72"/>
      <c r="AUZ5" s="72"/>
      <c r="AVA5" s="72"/>
      <c r="AVB5" s="72"/>
      <c r="AVC5" s="72"/>
      <c r="AVD5" s="72"/>
      <c r="AVE5" s="72"/>
      <c r="AVF5" s="72"/>
      <c r="AVG5" s="72"/>
      <c r="AVH5" s="72"/>
      <c r="AVI5" s="72"/>
      <c r="AVJ5" s="72"/>
      <c r="AVK5" s="72"/>
      <c r="AVL5" s="72"/>
      <c r="AVM5" s="72"/>
      <c r="AVN5" s="72"/>
      <c r="AVO5" s="72"/>
      <c r="AVP5" s="72"/>
      <c r="AVQ5" s="72"/>
      <c r="AVR5" s="72"/>
      <c r="AVS5" s="72"/>
      <c r="AVT5" s="72"/>
      <c r="AVU5" s="72"/>
      <c r="AVV5" s="72"/>
      <c r="AVW5" s="72"/>
      <c r="AVX5" s="72"/>
      <c r="AVY5" s="72"/>
      <c r="AVZ5" s="72"/>
      <c r="AWA5" s="72"/>
      <c r="AWB5" s="72"/>
      <c r="AWC5" s="72"/>
      <c r="AWD5" s="72"/>
      <c r="AWE5" s="72"/>
      <c r="AWF5" s="72"/>
      <c r="AWG5" s="72"/>
      <c r="AWH5" s="72"/>
      <c r="AWI5" s="72"/>
      <c r="AWJ5" s="72"/>
      <c r="AWK5" s="72"/>
      <c r="AWL5" s="72"/>
      <c r="AWM5" s="72"/>
      <c r="AWN5" s="72"/>
      <c r="AWO5" s="72"/>
      <c r="AWP5" s="72"/>
      <c r="AWQ5" s="72"/>
      <c r="AWR5" s="72"/>
      <c r="AWS5" s="72"/>
      <c r="AWT5" s="72"/>
      <c r="AWU5" s="72"/>
      <c r="AWV5" s="72"/>
      <c r="AWW5" s="72"/>
      <c r="AWX5" s="72"/>
      <c r="AWY5" s="72"/>
      <c r="AWZ5" s="72"/>
      <c r="AXA5" s="72"/>
      <c r="AXB5" s="72"/>
      <c r="AXC5" s="72"/>
      <c r="AXD5" s="72"/>
      <c r="AXE5" s="72"/>
      <c r="AXF5" s="72"/>
      <c r="AXG5" s="72"/>
      <c r="AXH5" s="72"/>
      <c r="AXI5" s="72"/>
      <c r="AXJ5" s="72"/>
      <c r="AXK5" s="72"/>
      <c r="AXL5" s="72"/>
      <c r="AXM5" s="72"/>
      <c r="AXN5" s="72"/>
      <c r="AXO5" s="72"/>
      <c r="AXP5" s="72"/>
      <c r="AXQ5" s="72"/>
      <c r="AXR5" s="72"/>
      <c r="AXS5" s="72"/>
      <c r="AXT5" s="72"/>
      <c r="AXU5" s="72"/>
      <c r="AXV5" s="72"/>
      <c r="AXW5" s="72"/>
      <c r="AXX5" s="72"/>
      <c r="AXY5" s="72"/>
      <c r="AXZ5" s="72"/>
      <c r="AYA5" s="72"/>
      <c r="AYB5" s="72"/>
      <c r="AYC5" s="72"/>
      <c r="AYD5" s="72"/>
      <c r="AYE5" s="72"/>
      <c r="AYF5" s="72"/>
      <c r="AYG5" s="72"/>
      <c r="AYH5" s="72"/>
      <c r="AYI5" s="72"/>
      <c r="AYJ5" s="72"/>
      <c r="AYK5" s="72"/>
      <c r="AYL5" s="72"/>
      <c r="AYM5" s="72"/>
      <c r="AYN5" s="72"/>
      <c r="AYO5" s="72"/>
      <c r="AYP5" s="72"/>
      <c r="AYQ5" s="72"/>
      <c r="AYR5" s="72"/>
      <c r="AYS5" s="72"/>
      <c r="AYT5" s="72"/>
      <c r="AYU5" s="72"/>
      <c r="AYV5" s="72"/>
      <c r="AYW5" s="72"/>
      <c r="AYX5" s="72"/>
      <c r="AYY5" s="72"/>
      <c r="AYZ5" s="72"/>
      <c r="AZA5" s="72"/>
      <c r="AZB5" s="72"/>
      <c r="AZC5" s="72"/>
      <c r="AZD5" s="72"/>
      <c r="AZE5" s="72"/>
      <c r="AZF5" s="72"/>
      <c r="AZG5" s="72"/>
      <c r="AZH5" s="72"/>
      <c r="AZI5" s="72"/>
      <c r="AZJ5" s="72"/>
      <c r="AZK5" s="72"/>
      <c r="AZL5" s="72"/>
      <c r="AZM5" s="72"/>
      <c r="AZN5" s="72"/>
      <c r="AZO5" s="72"/>
      <c r="AZP5" s="72"/>
      <c r="AZQ5" s="72"/>
      <c r="AZR5" s="72"/>
      <c r="AZS5" s="72"/>
      <c r="AZT5" s="72"/>
      <c r="AZU5" s="72"/>
      <c r="AZV5" s="72"/>
      <c r="AZW5" s="72"/>
      <c r="AZX5" s="72"/>
      <c r="AZY5" s="72"/>
      <c r="AZZ5" s="72"/>
      <c r="BAA5" s="72"/>
      <c r="BAB5" s="72"/>
      <c r="BAC5" s="72"/>
      <c r="BAD5" s="72"/>
      <c r="BAE5" s="72"/>
      <c r="BAF5" s="72"/>
      <c r="BAG5" s="72"/>
      <c r="BAH5" s="72"/>
      <c r="BAI5" s="72"/>
      <c r="BAJ5" s="72"/>
      <c r="BAK5" s="72"/>
      <c r="BAL5" s="72"/>
      <c r="BAM5" s="72"/>
      <c r="BAN5" s="72"/>
      <c r="BAO5" s="72"/>
      <c r="BAP5" s="72"/>
      <c r="BAQ5" s="72"/>
      <c r="BAR5" s="72"/>
      <c r="BAS5" s="72"/>
      <c r="BAT5" s="72"/>
      <c r="BAU5" s="72"/>
      <c r="BAV5" s="72"/>
      <c r="BAW5" s="72"/>
      <c r="BAX5" s="72"/>
      <c r="BAY5" s="72"/>
      <c r="BAZ5" s="72"/>
      <c r="BBA5" s="72"/>
      <c r="BBB5" s="72"/>
      <c r="BBC5" s="72"/>
      <c r="BBD5" s="72"/>
      <c r="BBE5" s="72"/>
      <c r="BBF5" s="72"/>
      <c r="BBG5" s="72"/>
      <c r="BBH5" s="72"/>
      <c r="BBI5" s="72"/>
      <c r="BBJ5" s="72"/>
      <c r="BBK5" s="72"/>
      <c r="BBL5" s="72"/>
      <c r="BBM5" s="72"/>
      <c r="BBN5" s="72"/>
      <c r="BBO5" s="72"/>
      <c r="BBP5" s="72"/>
      <c r="BBQ5" s="72"/>
      <c r="BBR5" s="72"/>
      <c r="BBS5" s="72"/>
      <c r="BBT5" s="72"/>
      <c r="BBU5" s="72"/>
      <c r="BBV5" s="72"/>
      <c r="BBW5" s="72"/>
      <c r="BBX5" s="72"/>
      <c r="BBY5" s="72"/>
      <c r="BBZ5" s="72"/>
      <c r="BCA5" s="72"/>
      <c r="BCB5" s="72"/>
      <c r="BCC5" s="72"/>
      <c r="BCD5" s="72"/>
      <c r="BCE5" s="72"/>
      <c r="BCF5" s="72"/>
      <c r="BCG5" s="72"/>
      <c r="BCH5" s="72"/>
      <c r="BCI5" s="72"/>
      <c r="BCJ5" s="72"/>
      <c r="BCK5" s="72"/>
      <c r="BCL5" s="72"/>
      <c r="BCM5" s="72"/>
      <c r="BCN5" s="72"/>
      <c r="BCO5" s="72"/>
      <c r="BCP5" s="72"/>
      <c r="BCQ5" s="72"/>
      <c r="BCR5" s="72"/>
      <c r="BCS5" s="72"/>
      <c r="BCT5" s="72"/>
      <c r="BCU5" s="72"/>
      <c r="BCV5" s="72"/>
      <c r="BCW5" s="72"/>
      <c r="BCX5" s="72"/>
      <c r="BCY5" s="72"/>
      <c r="BCZ5" s="72"/>
      <c r="BDA5" s="72"/>
      <c r="BDB5" s="72"/>
      <c r="BDC5" s="72"/>
      <c r="BDD5" s="72"/>
      <c r="BDE5" s="72"/>
      <c r="BDF5" s="72"/>
      <c r="BDG5" s="72"/>
      <c r="BDH5" s="72"/>
      <c r="BDI5" s="72"/>
      <c r="BDJ5" s="72"/>
      <c r="BDK5" s="72"/>
      <c r="BDL5" s="72"/>
      <c r="BDM5" s="72"/>
      <c r="BDN5" s="72"/>
      <c r="BDO5" s="72"/>
      <c r="BDP5" s="72"/>
      <c r="BDQ5" s="72"/>
      <c r="BDR5" s="72"/>
      <c r="BDS5" s="72"/>
      <c r="BDT5" s="72"/>
      <c r="BDU5" s="72"/>
      <c r="BDV5" s="72"/>
      <c r="BDW5" s="72"/>
      <c r="BDX5" s="72"/>
      <c r="BDY5" s="72"/>
      <c r="BDZ5" s="72"/>
      <c r="BEA5" s="72"/>
      <c r="BEB5" s="72"/>
      <c r="BEC5" s="72"/>
      <c r="BED5" s="72"/>
      <c r="BEE5" s="72"/>
      <c r="BEF5" s="72"/>
      <c r="BEG5" s="72"/>
      <c r="BEH5" s="72"/>
      <c r="BEI5" s="72"/>
      <c r="BEJ5" s="72"/>
      <c r="BEK5" s="72"/>
      <c r="BEL5" s="72"/>
      <c r="BEM5" s="72"/>
      <c r="BEN5" s="72"/>
      <c r="BEO5" s="72"/>
      <c r="BEP5" s="72"/>
      <c r="BEQ5" s="72"/>
      <c r="BER5" s="72"/>
      <c r="BES5" s="72"/>
      <c r="BET5" s="72"/>
      <c r="BEU5" s="72"/>
      <c r="BEV5" s="72"/>
      <c r="BEW5" s="72"/>
      <c r="BEX5" s="72"/>
      <c r="BEY5" s="72"/>
      <c r="BEZ5" s="72"/>
      <c r="BFA5" s="72"/>
      <c r="BFB5" s="72"/>
      <c r="BFC5" s="72"/>
      <c r="BFD5" s="72"/>
      <c r="BFE5" s="72"/>
      <c r="BFF5" s="72"/>
      <c r="BFG5" s="72"/>
      <c r="BFH5" s="72"/>
      <c r="BFI5" s="72"/>
      <c r="BFJ5" s="72"/>
      <c r="BFK5" s="72"/>
      <c r="BFL5" s="72"/>
      <c r="BFM5" s="72"/>
      <c r="BFN5" s="72"/>
      <c r="BFO5" s="72"/>
      <c r="BFP5" s="72"/>
      <c r="BFQ5" s="72"/>
      <c r="BFR5" s="72"/>
      <c r="BFS5" s="72"/>
      <c r="BFT5" s="72"/>
      <c r="BFU5" s="72"/>
      <c r="BFV5" s="72"/>
      <c r="BFW5" s="72"/>
      <c r="BFX5" s="72"/>
      <c r="BFY5" s="72"/>
      <c r="BFZ5" s="72"/>
      <c r="BGA5" s="72"/>
      <c r="BGB5" s="72"/>
      <c r="BGC5" s="72"/>
      <c r="BGD5" s="72"/>
      <c r="BGE5" s="72"/>
      <c r="BGF5" s="72"/>
      <c r="BGG5" s="72"/>
      <c r="BGH5" s="72"/>
      <c r="BGI5" s="72"/>
      <c r="BGJ5" s="72"/>
      <c r="BGK5" s="72"/>
      <c r="BGL5" s="72"/>
      <c r="BGM5" s="72"/>
      <c r="BGN5" s="72"/>
      <c r="BGO5" s="72"/>
      <c r="BGP5" s="72"/>
      <c r="BGQ5" s="72"/>
      <c r="BGR5" s="72"/>
      <c r="BGS5" s="72"/>
      <c r="BGT5" s="72"/>
      <c r="BGU5" s="72"/>
      <c r="BGV5" s="72"/>
      <c r="BGW5" s="72"/>
      <c r="BGX5" s="72"/>
      <c r="BGY5" s="72"/>
      <c r="BGZ5" s="72"/>
      <c r="BHA5" s="72"/>
      <c r="BHB5" s="72"/>
      <c r="BHC5" s="72"/>
      <c r="BHD5" s="72"/>
      <c r="BHE5" s="72"/>
      <c r="BHF5" s="72"/>
      <c r="BHG5" s="72"/>
      <c r="BHH5" s="72"/>
      <c r="BHI5" s="72"/>
      <c r="BHJ5" s="72"/>
      <c r="BHK5" s="72"/>
      <c r="BHL5" s="72"/>
      <c r="BHM5" s="72"/>
      <c r="BHN5" s="72"/>
      <c r="BHO5" s="72"/>
      <c r="BHP5" s="72"/>
      <c r="BHQ5" s="72"/>
      <c r="BHR5" s="72"/>
      <c r="BHS5" s="72"/>
      <c r="BHT5" s="72"/>
      <c r="BHU5" s="72"/>
      <c r="BHV5" s="72"/>
      <c r="BHW5" s="72"/>
      <c r="BHX5" s="72"/>
      <c r="BHY5" s="72"/>
      <c r="BHZ5" s="72"/>
      <c r="BIA5" s="72"/>
      <c r="BIB5" s="72"/>
      <c r="BIC5" s="72"/>
      <c r="BID5" s="72"/>
      <c r="BIE5" s="72"/>
      <c r="BIF5" s="72"/>
      <c r="BIG5" s="72"/>
      <c r="BIH5" s="72"/>
      <c r="BII5" s="72"/>
      <c r="BIJ5" s="72"/>
      <c r="BIK5" s="72"/>
      <c r="BIL5" s="72"/>
      <c r="BIM5" s="72"/>
      <c r="BIN5" s="72"/>
      <c r="BIO5" s="72"/>
      <c r="BIP5" s="72"/>
      <c r="BIQ5" s="72"/>
      <c r="BIR5" s="72"/>
      <c r="BIS5" s="72"/>
      <c r="BIT5" s="72"/>
      <c r="BIU5" s="72"/>
      <c r="BIV5" s="72"/>
      <c r="BIW5" s="72"/>
      <c r="BIX5" s="72"/>
      <c r="BIY5" s="72"/>
      <c r="BIZ5" s="72"/>
      <c r="BJA5" s="72"/>
      <c r="BJB5" s="72"/>
      <c r="BJC5" s="72"/>
      <c r="BJD5" s="72"/>
      <c r="BJE5" s="72"/>
      <c r="BJF5" s="72"/>
      <c r="BJG5" s="72"/>
      <c r="BJH5" s="72"/>
      <c r="BJI5" s="72"/>
      <c r="BJJ5" s="72"/>
      <c r="BJK5" s="72"/>
      <c r="BJL5" s="72"/>
      <c r="BJM5" s="72"/>
      <c r="BJN5" s="72"/>
      <c r="BJO5" s="72"/>
      <c r="BJP5" s="72"/>
      <c r="BJQ5" s="72"/>
      <c r="BJR5" s="72"/>
      <c r="BJS5" s="72"/>
      <c r="BJT5" s="72"/>
      <c r="BJU5" s="72"/>
      <c r="BJV5" s="72"/>
      <c r="BJW5" s="72"/>
      <c r="BJX5" s="72"/>
      <c r="BJY5" s="72"/>
      <c r="BJZ5" s="72"/>
      <c r="BKA5" s="72"/>
      <c r="BKB5" s="72"/>
      <c r="BKC5" s="72"/>
      <c r="BKD5" s="72"/>
      <c r="BKE5" s="72"/>
      <c r="BKF5" s="72"/>
      <c r="BKG5" s="72"/>
      <c r="BKH5" s="72"/>
      <c r="BKI5" s="72"/>
      <c r="BKJ5" s="72"/>
      <c r="BKK5" s="72"/>
      <c r="BKL5" s="72"/>
      <c r="BKM5" s="72"/>
      <c r="BKN5" s="72"/>
      <c r="BKO5" s="72"/>
      <c r="BKP5" s="72"/>
      <c r="BKQ5" s="72"/>
      <c r="BKR5" s="72"/>
      <c r="BKS5" s="72"/>
      <c r="BKT5" s="72"/>
      <c r="BKU5" s="72"/>
      <c r="BKV5" s="72"/>
      <c r="BKW5" s="72"/>
      <c r="BKX5" s="72"/>
      <c r="BKY5" s="72"/>
      <c r="BKZ5" s="72"/>
      <c r="BLA5" s="72"/>
      <c r="BLB5" s="72"/>
      <c r="BLC5" s="72"/>
      <c r="BLD5" s="72"/>
      <c r="BLE5" s="72"/>
      <c r="BLF5" s="72"/>
      <c r="BLG5" s="72"/>
      <c r="BLH5" s="72"/>
      <c r="BLI5" s="72"/>
      <c r="BLJ5" s="72"/>
      <c r="BLK5" s="72"/>
      <c r="BLL5" s="72"/>
      <c r="BLM5" s="72"/>
      <c r="BLN5" s="72"/>
      <c r="BLO5" s="72"/>
      <c r="BLP5" s="72"/>
      <c r="BLQ5" s="72"/>
      <c r="BLR5" s="72"/>
      <c r="BLS5" s="72"/>
      <c r="BLT5" s="72"/>
      <c r="BLU5" s="72"/>
      <c r="BLV5" s="72"/>
      <c r="BLW5" s="72"/>
      <c r="BLX5" s="72"/>
      <c r="BLY5" s="72"/>
      <c r="BLZ5" s="72"/>
      <c r="BMA5" s="72"/>
      <c r="BMB5" s="72"/>
      <c r="BMC5" s="72"/>
      <c r="BMD5" s="72"/>
      <c r="BME5" s="72"/>
      <c r="BMF5" s="72"/>
      <c r="BMG5" s="72"/>
      <c r="BMH5" s="72"/>
      <c r="BMI5" s="72"/>
      <c r="BMJ5" s="72"/>
      <c r="BMK5" s="72"/>
      <c r="BML5" s="72"/>
      <c r="BMM5" s="72"/>
      <c r="BMN5" s="72"/>
      <c r="BMO5" s="72"/>
      <c r="BMP5" s="72"/>
      <c r="BMQ5" s="72"/>
      <c r="BMR5" s="72"/>
      <c r="BMS5" s="72"/>
      <c r="BMT5" s="72"/>
      <c r="BMU5" s="72"/>
      <c r="BMV5" s="72"/>
      <c r="BMW5" s="72"/>
      <c r="BMX5" s="72"/>
      <c r="BMY5" s="72"/>
      <c r="BMZ5" s="72"/>
      <c r="BNA5" s="72"/>
      <c r="BNB5" s="72"/>
      <c r="BNC5" s="72"/>
      <c r="BND5" s="72"/>
      <c r="BNE5" s="72"/>
      <c r="BNF5" s="72"/>
      <c r="BNG5" s="72"/>
      <c r="BNH5" s="72"/>
      <c r="BNI5" s="72"/>
      <c r="BNJ5" s="72"/>
      <c r="BNK5" s="72"/>
      <c r="BNL5" s="72"/>
      <c r="BNM5" s="72"/>
      <c r="BNN5" s="72"/>
      <c r="BNO5" s="72"/>
      <c r="BNP5" s="72"/>
      <c r="BNQ5" s="72"/>
      <c r="BNR5" s="72"/>
      <c r="BNS5" s="72"/>
      <c r="BNT5" s="72"/>
      <c r="BNU5" s="72"/>
      <c r="BNV5" s="72"/>
      <c r="BNW5" s="72"/>
      <c r="BNX5" s="72"/>
      <c r="BNY5" s="72"/>
      <c r="BNZ5" s="72"/>
      <c r="BOA5" s="72"/>
      <c r="BOB5" s="72"/>
      <c r="BOC5" s="72"/>
      <c r="BOD5" s="72"/>
      <c r="BOE5" s="72"/>
      <c r="BOF5" s="72"/>
      <c r="BOG5" s="72"/>
      <c r="BOH5" s="72"/>
      <c r="BOI5" s="72"/>
      <c r="BOJ5" s="72"/>
      <c r="BOK5" s="72"/>
      <c r="BOL5" s="72"/>
      <c r="BOM5" s="72"/>
      <c r="BON5" s="72"/>
      <c r="BOO5" s="72"/>
      <c r="BOP5" s="72"/>
      <c r="BOQ5" s="72"/>
      <c r="BOR5" s="72"/>
      <c r="BOS5" s="72"/>
      <c r="BOT5" s="72"/>
      <c r="BOU5" s="72"/>
      <c r="BOV5" s="72"/>
      <c r="BOW5" s="72"/>
      <c r="BOX5" s="72"/>
      <c r="BOY5" s="72"/>
      <c r="BOZ5" s="72"/>
      <c r="BPA5" s="72"/>
      <c r="BPB5" s="72"/>
      <c r="BPC5" s="72"/>
      <c r="BPD5" s="72"/>
      <c r="BPE5" s="72"/>
      <c r="BPF5" s="72"/>
      <c r="BPG5" s="72"/>
      <c r="BPH5" s="72"/>
      <c r="BPI5" s="72"/>
      <c r="BPJ5" s="72"/>
      <c r="BPK5" s="72"/>
      <c r="BPL5" s="72"/>
      <c r="BPM5" s="72"/>
      <c r="BPN5" s="72"/>
      <c r="BPO5" s="72"/>
      <c r="BPP5" s="72"/>
      <c r="BPQ5" s="72"/>
      <c r="BPR5" s="72"/>
      <c r="BPS5" s="72"/>
      <c r="BPT5" s="72"/>
      <c r="BPU5" s="72"/>
      <c r="BPV5" s="72"/>
      <c r="BPW5" s="72"/>
      <c r="BPX5" s="72"/>
      <c r="BPY5" s="72"/>
      <c r="BPZ5" s="72"/>
      <c r="BQA5" s="72"/>
      <c r="BQB5" s="72"/>
      <c r="BQC5" s="72"/>
      <c r="BQD5" s="72"/>
      <c r="BQE5" s="72"/>
      <c r="BQF5" s="72"/>
      <c r="BQG5" s="72"/>
      <c r="BQH5" s="72"/>
      <c r="BQI5" s="72"/>
      <c r="BQJ5" s="72"/>
      <c r="BQK5" s="72"/>
      <c r="BQL5" s="72"/>
      <c r="BQM5" s="72"/>
      <c r="BQN5" s="72"/>
      <c r="BQO5" s="72"/>
      <c r="BQP5" s="72"/>
      <c r="BQQ5" s="72"/>
      <c r="BQR5" s="72"/>
      <c r="BQS5" s="72"/>
      <c r="BQT5" s="72"/>
      <c r="BQU5" s="72"/>
      <c r="BQV5" s="72"/>
      <c r="BQW5" s="72"/>
      <c r="BQX5" s="72"/>
      <c r="BQY5" s="72"/>
      <c r="BQZ5" s="72"/>
      <c r="BRA5" s="72"/>
      <c r="BRB5" s="72"/>
      <c r="BRC5" s="72"/>
      <c r="BRD5" s="72"/>
      <c r="BRE5" s="72"/>
      <c r="BRF5" s="72"/>
      <c r="BRG5" s="72"/>
      <c r="BRH5" s="72"/>
      <c r="BRI5" s="72"/>
      <c r="BRJ5" s="72"/>
      <c r="BRK5" s="72"/>
      <c r="BRL5" s="72"/>
      <c r="BRM5" s="72"/>
      <c r="BRN5" s="72"/>
      <c r="BRO5" s="72"/>
      <c r="BRP5" s="72"/>
      <c r="BRQ5" s="72"/>
      <c r="BRR5" s="72"/>
      <c r="BRS5" s="72"/>
      <c r="BRT5" s="72"/>
      <c r="BRU5" s="72"/>
      <c r="BRV5" s="72"/>
      <c r="BRW5" s="72"/>
      <c r="BRX5" s="72"/>
      <c r="BRY5" s="72"/>
      <c r="BRZ5" s="72"/>
      <c r="BSA5" s="72"/>
      <c r="BSB5" s="72"/>
      <c r="BSC5" s="72"/>
      <c r="BSD5" s="72"/>
      <c r="BSE5" s="72"/>
      <c r="BSF5" s="72"/>
      <c r="BSG5" s="72"/>
      <c r="BSH5" s="72"/>
      <c r="BSI5" s="72"/>
      <c r="BSJ5" s="72"/>
      <c r="BSK5" s="72"/>
      <c r="BSL5" s="72"/>
      <c r="BSM5" s="72"/>
      <c r="BSN5" s="72"/>
      <c r="BSO5" s="72"/>
      <c r="BSP5" s="72"/>
      <c r="BSQ5" s="72"/>
      <c r="BSR5" s="72"/>
      <c r="BSS5" s="72"/>
      <c r="BST5" s="72"/>
      <c r="BSU5" s="72"/>
      <c r="BSV5" s="72"/>
      <c r="BSW5" s="72"/>
      <c r="BSX5" s="72"/>
      <c r="BSY5" s="72"/>
      <c r="BSZ5" s="72"/>
      <c r="BTA5" s="72"/>
      <c r="BTB5" s="72"/>
      <c r="BTC5" s="72"/>
      <c r="BTD5" s="72"/>
      <c r="BTE5" s="72"/>
      <c r="BTF5" s="72"/>
      <c r="BTG5" s="72"/>
      <c r="BTH5" s="72"/>
      <c r="BTI5" s="72"/>
      <c r="BTJ5" s="72"/>
      <c r="BTK5" s="72"/>
      <c r="BTL5" s="72"/>
      <c r="BTM5" s="72"/>
      <c r="BTN5" s="72"/>
      <c r="BTO5" s="72"/>
      <c r="BTP5" s="72"/>
      <c r="BTQ5" s="72"/>
      <c r="BTR5" s="72"/>
      <c r="BTS5" s="72"/>
      <c r="BTT5" s="72"/>
      <c r="BTU5" s="72"/>
      <c r="BTV5" s="72"/>
      <c r="BTW5" s="72"/>
      <c r="BTX5" s="72"/>
      <c r="BTY5" s="72"/>
      <c r="BTZ5" s="72"/>
      <c r="BUA5" s="72"/>
      <c r="BUB5" s="72"/>
      <c r="BUC5" s="72"/>
      <c r="BUD5" s="72"/>
      <c r="BUE5" s="72"/>
      <c r="BUF5" s="72"/>
      <c r="BUG5" s="72"/>
      <c r="BUH5" s="72"/>
      <c r="BUI5" s="72"/>
      <c r="BUJ5" s="72"/>
      <c r="BUK5" s="72"/>
      <c r="BUL5" s="72"/>
      <c r="BUM5" s="72"/>
      <c r="BUN5" s="72"/>
      <c r="BUO5" s="72"/>
      <c r="BUP5" s="72"/>
      <c r="BUQ5" s="72"/>
      <c r="BUR5" s="72"/>
      <c r="BUS5" s="72"/>
      <c r="BUT5" s="72"/>
      <c r="BUU5" s="72"/>
      <c r="BUV5" s="72"/>
      <c r="BUW5" s="72"/>
      <c r="BUX5" s="72"/>
      <c r="BUY5" s="72"/>
      <c r="BUZ5" s="72"/>
      <c r="BVA5" s="72"/>
      <c r="BVB5" s="72"/>
      <c r="BVC5" s="72"/>
      <c r="BVD5" s="72"/>
      <c r="BVE5" s="72"/>
      <c r="BVF5" s="72"/>
      <c r="BVG5" s="72"/>
      <c r="BVH5" s="72"/>
      <c r="BVI5" s="72"/>
      <c r="BVJ5" s="72"/>
      <c r="BVK5" s="72"/>
      <c r="BVL5" s="72"/>
      <c r="BVM5" s="72"/>
      <c r="BVN5" s="72"/>
      <c r="BVO5" s="72"/>
      <c r="BVP5" s="72"/>
      <c r="BVQ5" s="72"/>
      <c r="BVR5" s="72"/>
      <c r="BVS5" s="72"/>
      <c r="BVT5" s="72"/>
      <c r="BVU5" s="72"/>
      <c r="BVV5" s="72"/>
      <c r="BVW5" s="72"/>
      <c r="BVX5" s="72"/>
      <c r="BVY5" s="72"/>
      <c r="BVZ5" s="72"/>
      <c r="BWA5" s="72"/>
      <c r="BWB5" s="72"/>
      <c r="BWC5" s="72"/>
      <c r="BWD5" s="72"/>
      <c r="BWE5" s="72"/>
      <c r="BWF5" s="72"/>
      <c r="BWG5" s="72"/>
      <c r="BWH5" s="72"/>
      <c r="BWI5" s="72"/>
      <c r="BWJ5" s="72"/>
      <c r="BWK5" s="72"/>
      <c r="BWL5" s="72"/>
      <c r="BWM5" s="72"/>
      <c r="BWN5" s="72"/>
      <c r="BWO5" s="72"/>
      <c r="BWP5" s="72"/>
      <c r="BWQ5" s="72"/>
      <c r="BWR5" s="72"/>
      <c r="BWS5" s="72"/>
      <c r="BWT5" s="72"/>
      <c r="BWU5" s="72"/>
      <c r="BWV5" s="72"/>
      <c r="BWW5" s="72"/>
      <c r="BWX5" s="72"/>
      <c r="BWY5" s="72"/>
      <c r="BWZ5" s="72"/>
      <c r="BXA5" s="72"/>
      <c r="BXB5" s="72"/>
      <c r="BXC5" s="72"/>
      <c r="BXD5" s="72"/>
      <c r="BXE5" s="72"/>
      <c r="BXF5" s="72"/>
      <c r="BXG5" s="72"/>
      <c r="BXH5" s="72"/>
      <c r="BXI5" s="72"/>
      <c r="BXJ5" s="72"/>
      <c r="BXK5" s="72"/>
      <c r="BXL5" s="72"/>
      <c r="BXM5" s="72"/>
      <c r="BXN5" s="72"/>
      <c r="BXO5" s="72"/>
      <c r="BXP5" s="72"/>
      <c r="BXQ5" s="72"/>
      <c r="BXR5" s="72"/>
      <c r="BXS5" s="72"/>
      <c r="BXT5" s="72"/>
      <c r="BXU5" s="72"/>
      <c r="BXV5" s="72"/>
      <c r="BXW5" s="72"/>
      <c r="BXX5" s="72"/>
      <c r="BXY5" s="72"/>
      <c r="BXZ5" s="72"/>
      <c r="BYA5" s="72"/>
      <c r="BYB5" s="72"/>
      <c r="BYC5" s="72"/>
      <c r="BYD5" s="72"/>
      <c r="BYE5" s="72"/>
      <c r="BYF5" s="72"/>
      <c r="BYG5" s="72"/>
      <c r="BYH5" s="72"/>
      <c r="BYI5" s="72"/>
      <c r="BYJ5" s="72"/>
      <c r="BYK5" s="72"/>
      <c r="BYL5" s="72"/>
      <c r="BYM5" s="72"/>
      <c r="BYN5" s="72"/>
      <c r="BYO5" s="72"/>
      <c r="BYP5" s="72"/>
      <c r="BYQ5" s="72"/>
      <c r="BYR5" s="72"/>
      <c r="BYS5" s="72"/>
      <c r="BYT5" s="72"/>
      <c r="BYU5" s="72"/>
      <c r="BYV5" s="72"/>
      <c r="BYW5" s="72"/>
      <c r="BYX5" s="72"/>
      <c r="BYY5" s="72"/>
      <c r="BYZ5" s="72"/>
      <c r="BZA5" s="72"/>
      <c r="BZB5" s="72"/>
      <c r="BZC5" s="72"/>
      <c r="BZD5" s="72"/>
      <c r="BZE5" s="72"/>
      <c r="BZF5" s="72"/>
      <c r="BZG5" s="72"/>
      <c r="BZH5" s="72"/>
      <c r="BZI5" s="72"/>
      <c r="BZJ5" s="72"/>
      <c r="BZK5" s="72"/>
      <c r="BZL5" s="72"/>
      <c r="BZM5" s="72"/>
      <c r="BZN5" s="72"/>
      <c r="BZO5" s="72"/>
      <c r="BZP5" s="72"/>
      <c r="BZQ5" s="72"/>
      <c r="BZR5" s="72"/>
      <c r="BZS5" s="72"/>
      <c r="BZT5" s="72"/>
      <c r="BZU5" s="72"/>
      <c r="BZV5" s="72"/>
      <c r="BZW5" s="72"/>
      <c r="BZX5" s="72"/>
      <c r="BZY5" s="72"/>
      <c r="BZZ5" s="72"/>
      <c r="CAA5" s="72"/>
      <c r="CAB5" s="72"/>
      <c r="CAC5" s="72"/>
      <c r="CAD5" s="72"/>
      <c r="CAE5" s="72"/>
      <c r="CAF5" s="72"/>
      <c r="CAG5" s="72"/>
      <c r="CAH5" s="72"/>
      <c r="CAI5" s="72"/>
      <c r="CAJ5" s="72"/>
      <c r="CAK5" s="72"/>
      <c r="CAL5" s="72"/>
      <c r="CAM5" s="72"/>
      <c r="CAN5" s="72"/>
      <c r="CAO5" s="72"/>
      <c r="CAP5" s="72"/>
      <c r="CAQ5" s="72"/>
      <c r="CAR5" s="72"/>
      <c r="CAS5" s="72"/>
      <c r="CAT5" s="72"/>
      <c r="CAU5" s="72"/>
      <c r="CAV5" s="72"/>
      <c r="CAW5" s="72"/>
      <c r="CAX5" s="72"/>
      <c r="CAY5" s="72"/>
      <c r="CAZ5" s="72"/>
      <c r="CBA5" s="72"/>
      <c r="CBB5" s="72"/>
      <c r="CBC5" s="72"/>
      <c r="CBD5" s="72"/>
      <c r="CBE5" s="72"/>
      <c r="CBF5" s="72"/>
      <c r="CBG5" s="72"/>
      <c r="CBH5" s="72"/>
      <c r="CBI5" s="72"/>
      <c r="CBJ5" s="72"/>
      <c r="CBK5" s="72"/>
      <c r="CBL5" s="72"/>
      <c r="CBM5" s="72"/>
      <c r="CBN5" s="72"/>
      <c r="CBO5" s="72"/>
      <c r="CBP5" s="72"/>
      <c r="CBQ5" s="72"/>
      <c r="CBR5" s="72"/>
      <c r="CBS5" s="72"/>
      <c r="CBT5" s="72"/>
      <c r="CBU5" s="72"/>
      <c r="CBV5" s="72"/>
      <c r="CBW5" s="72"/>
      <c r="CBX5" s="72"/>
      <c r="CBY5" s="72"/>
      <c r="CBZ5" s="72"/>
      <c r="CCA5" s="72"/>
      <c r="CCB5" s="72"/>
      <c r="CCC5" s="72"/>
      <c r="CCD5" s="72"/>
      <c r="CCE5" s="72"/>
      <c r="CCF5" s="72"/>
      <c r="CCG5" s="72"/>
      <c r="CCH5" s="72"/>
      <c r="CCI5" s="72"/>
      <c r="CCJ5" s="72"/>
      <c r="CCK5" s="72"/>
      <c r="CCL5" s="72"/>
      <c r="CCM5" s="72"/>
      <c r="CCN5" s="72"/>
      <c r="CCO5" s="72"/>
      <c r="CCP5" s="72"/>
      <c r="CCQ5" s="72"/>
      <c r="CCR5" s="72"/>
      <c r="CCS5" s="72"/>
      <c r="CCT5" s="72"/>
      <c r="CCU5" s="72"/>
      <c r="CCV5" s="72"/>
      <c r="CCW5" s="72"/>
      <c r="CCX5" s="72"/>
      <c r="CCY5" s="72"/>
      <c r="CCZ5" s="72"/>
      <c r="CDA5" s="72"/>
      <c r="CDB5" s="72"/>
      <c r="CDC5" s="72"/>
      <c r="CDD5" s="72"/>
      <c r="CDE5" s="72"/>
      <c r="CDF5" s="72"/>
      <c r="CDG5" s="72"/>
      <c r="CDH5" s="72"/>
      <c r="CDI5" s="72"/>
      <c r="CDJ5" s="72"/>
      <c r="CDK5" s="72"/>
      <c r="CDL5" s="72"/>
      <c r="CDM5" s="72"/>
      <c r="CDN5" s="72"/>
      <c r="CDO5" s="72"/>
      <c r="CDP5" s="72"/>
      <c r="CDQ5" s="72"/>
      <c r="CDR5" s="72"/>
      <c r="CDS5" s="72"/>
      <c r="CDT5" s="72"/>
      <c r="CDU5" s="72"/>
      <c r="CDV5" s="72"/>
      <c r="CDW5" s="72"/>
      <c r="CDX5" s="72"/>
      <c r="CDY5" s="72"/>
      <c r="CDZ5" s="72"/>
      <c r="CEA5" s="72"/>
      <c r="CEB5" s="72"/>
      <c r="CEC5" s="72"/>
      <c r="CED5" s="72"/>
      <c r="CEE5" s="72"/>
      <c r="CEF5" s="72"/>
      <c r="CEG5" s="72"/>
      <c r="CEH5" s="72"/>
      <c r="CEI5" s="72"/>
      <c r="CEJ5" s="72"/>
      <c r="CEK5" s="72"/>
      <c r="CEL5" s="72"/>
      <c r="CEM5" s="72"/>
      <c r="CEN5" s="72"/>
      <c r="CEO5" s="72"/>
      <c r="CEP5" s="72"/>
      <c r="CEQ5" s="72"/>
      <c r="CER5" s="72"/>
      <c r="CES5" s="72"/>
      <c r="CET5" s="72"/>
      <c r="CEU5" s="72"/>
      <c r="CEV5" s="72"/>
      <c r="CEW5" s="72"/>
      <c r="CEX5" s="72"/>
      <c r="CEY5" s="72"/>
      <c r="CEZ5" s="72"/>
      <c r="CFA5" s="72"/>
      <c r="CFB5" s="72"/>
      <c r="CFC5" s="72"/>
      <c r="CFD5" s="72"/>
      <c r="CFE5" s="72"/>
      <c r="CFF5" s="72"/>
      <c r="CFG5" s="72"/>
      <c r="CFH5" s="72"/>
      <c r="CFI5" s="72"/>
      <c r="CFJ5" s="72"/>
      <c r="CFK5" s="72"/>
      <c r="CFL5" s="72"/>
      <c r="CFM5" s="72"/>
      <c r="CFN5" s="72"/>
      <c r="CFO5" s="72"/>
      <c r="CFP5" s="72"/>
      <c r="CFQ5" s="72"/>
      <c r="CFR5" s="72"/>
      <c r="CFS5" s="72"/>
      <c r="CFT5" s="72"/>
      <c r="CFU5" s="72"/>
      <c r="CFV5" s="72"/>
      <c r="CFW5" s="72"/>
      <c r="CFX5" s="72"/>
      <c r="CFY5" s="72"/>
      <c r="CFZ5" s="72"/>
      <c r="CGA5" s="72"/>
      <c r="CGB5" s="72"/>
      <c r="CGC5" s="72"/>
      <c r="CGD5" s="72"/>
      <c r="CGE5" s="72"/>
      <c r="CGF5" s="72"/>
      <c r="CGG5" s="72"/>
      <c r="CGH5" s="72"/>
      <c r="CGI5" s="72"/>
      <c r="CGJ5" s="72"/>
      <c r="CGK5" s="72"/>
      <c r="CGL5" s="72"/>
      <c r="CGM5" s="72"/>
      <c r="CGN5" s="72"/>
      <c r="CGO5" s="72"/>
      <c r="CGP5" s="72"/>
      <c r="CGQ5" s="72"/>
      <c r="CGR5" s="72"/>
      <c r="CGS5" s="72"/>
      <c r="CGT5" s="72"/>
      <c r="CGU5" s="72"/>
      <c r="CGV5" s="72"/>
      <c r="CGW5" s="72"/>
      <c r="CGX5" s="72"/>
      <c r="CGY5" s="72"/>
      <c r="CGZ5" s="72"/>
      <c r="CHA5" s="72"/>
      <c r="CHB5" s="72"/>
      <c r="CHC5" s="72"/>
      <c r="CHD5" s="72"/>
      <c r="CHE5" s="72"/>
      <c r="CHF5" s="72"/>
      <c r="CHG5" s="72"/>
      <c r="CHH5" s="72"/>
      <c r="CHI5" s="72"/>
      <c r="CHJ5" s="72"/>
      <c r="CHK5" s="72"/>
      <c r="CHL5" s="72"/>
      <c r="CHM5" s="72"/>
      <c r="CHN5" s="72"/>
      <c r="CHO5" s="72"/>
      <c r="CHP5" s="72"/>
      <c r="CHQ5" s="72"/>
      <c r="CHR5" s="72"/>
      <c r="CHS5" s="72"/>
      <c r="CHT5" s="72"/>
      <c r="CHU5" s="72"/>
      <c r="CHV5" s="72"/>
      <c r="CHW5" s="72"/>
      <c r="CHX5" s="72"/>
      <c r="CHY5" s="72"/>
      <c r="CHZ5" s="72"/>
      <c r="CIA5" s="72"/>
      <c r="CIB5" s="72"/>
      <c r="CIC5" s="72"/>
      <c r="CID5" s="72"/>
      <c r="CIE5" s="72"/>
      <c r="CIF5" s="72"/>
      <c r="CIG5" s="72"/>
      <c r="CIH5" s="72"/>
      <c r="CII5" s="72"/>
      <c r="CIJ5" s="72"/>
      <c r="CIK5" s="72"/>
      <c r="CIL5" s="72"/>
      <c r="CIM5" s="72"/>
      <c r="CIN5" s="72"/>
      <c r="CIO5" s="72"/>
      <c r="CIP5" s="72"/>
      <c r="CIQ5" s="72"/>
      <c r="CIR5" s="72"/>
      <c r="CIS5" s="72"/>
      <c r="CIT5" s="72"/>
      <c r="CIU5" s="72"/>
      <c r="CIV5" s="72"/>
      <c r="CIW5" s="72"/>
      <c r="CIX5" s="72"/>
      <c r="CIY5" s="72"/>
      <c r="CIZ5" s="72"/>
      <c r="CJA5" s="72"/>
      <c r="CJB5" s="72"/>
      <c r="CJC5" s="72"/>
      <c r="CJD5" s="72"/>
      <c r="CJE5" s="72"/>
      <c r="CJF5" s="72"/>
      <c r="CJG5" s="72"/>
      <c r="CJH5" s="72"/>
      <c r="CJI5" s="72"/>
      <c r="CJJ5" s="72"/>
      <c r="CJK5" s="72"/>
      <c r="CJL5" s="72"/>
      <c r="CJM5" s="72"/>
      <c r="CJN5" s="72"/>
      <c r="CJO5" s="72"/>
      <c r="CJP5" s="72"/>
      <c r="CJQ5" s="72"/>
      <c r="CJR5" s="72"/>
      <c r="CJS5" s="72"/>
      <c r="CJT5" s="72"/>
      <c r="CJU5" s="72"/>
      <c r="CJV5" s="72"/>
      <c r="CJW5" s="72"/>
      <c r="CJX5" s="72"/>
      <c r="CJY5" s="72"/>
      <c r="CJZ5" s="72"/>
      <c r="CKA5" s="72"/>
      <c r="CKB5" s="72"/>
      <c r="CKC5" s="72"/>
      <c r="CKD5" s="72"/>
      <c r="CKE5" s="72"/>
      <c r="CKF5" s="72"/>
      <c r="CKG5" s="72"/>
      <c r="CKH5" s="72"/>
      <c r="CKI5" s="72"/>
      <c r="CKJ5" s="72"/>
      <c r="CKK5" s="72"/>
      <c r="CKL5" s="72"/>
      <c r="CKM5" s="72"/>
      <c r="CKN5" s="72"/>
      <c r="CKO5" s="72"/>
      <c r="CKP5" s="72"/>
      <c r="CKQ5" s="72"/>
      <c r="CKR5" s="72"/>
      <c r="CKS5" s="72"/>
      <c r="CKT5" s="72"/>
      <c r="CKU5" s="72"/>
      <c r="CKV5" s="72"/>
      <c r="CKW5" s="72"/>
      <c r="CKX5" s="72"/>
      <c r="CKY5" s="72"/>
      <c r="CKZ5" s="72"/>
      <c r="CLA5" s="72"/>
      <c r="CLB5" s="72"/>
      <c r="CLC5" s="72"/>
      <c r="CLD5" s="72"/>
      <c r="CLE5" s="72"/>
      <c r="CLF5" s="72"/>
      <c r="CLG5" s="72"/>
      <c r="CLH5" s="72"/>
      <c r="CLI5" s="72"/>
      <c r="CLJ5" s="72"/>
      <c r="CLK5" s="72"/>
      <c r="CLL5" s="72"/>
      <c r="CLM5" s="72"/>
      <c r="CLN5" s="72"/>
      <c r="CLO5" s="72"/>
      <c r="CLP5" s="72"/>
      <c r="CLQ5" s="72"/>
      <c r="CLR5" s="72"/>
      <c r="CLS5" s="72"/>
      <c r="CLT5" s="72"/>
      <c r="CLU5" s="72"/>
      <c r="CLV5" s="72"/>
      <c r="CLW5" s="72"/>
      <c r="CLX5" s="72"/>
      <c r="CLY5" s="72"/>
      <c r="CLZ5" s="72"/>
      <c r="CMA5" s="72"/>
      <c r="CMB5" s="72"/>
      <c r="CMC5" s="72"/>
      <c r="CMD5" s="72"/>
      <c r="CME5" s="72"/>
      <c r="CMF5" s="72"/>
      <c r="CMG5" s="72"/>
      <c r="CMH5" s="72"/>
      <c r="CMI5" s="72"/>
      <c r="CMJ5" s="72"/>
      <c r="CMK5" s="72"/>
      <c r="CML5" s="72"/>
      <c r="CMM5" s="72"/>
      <c r="CMN5" s="72"/>
      <c r="CMO5" s="72"/>
      <c r="CMP5" s="72"/>
      <c r="CMQ5" s="72"/>
      <c r="CMR5" s="72"/>
      <c r="CMS5" s="72"/>
      <c r="CMT5" s="72"/>
      <c r="CMU5" s="72"/>
      <c r="CMV5" s="72"/>
      <c r="CMW5" s="72"/>
      <c r="CMX5" s="72"/>
      <c r="CMY5" s="72"/>
      <c r="CMZ5" s="72"/>
      <c r="CNA5" s="72"/>
      <c r="CNB5" s="72"/>
      <c r="CNC5" s="72"/>
      <c r="CND5" s="72"/>
      <c r="CNE5" s="72"/>
      <c r="CNF5" s="72"/>
      <c r="CNG5" s="72"/>
      <c r="CNH5" s="72"/>
      <c r="CNI5" s="72"/>
      <c r="CNJ5" s="72"/>
      <c r="CNK5" s="72"/>
      <c r="CNL5" s="72"/>
      <c r="CNM5" s="72"/>
      <c r="CNN5" s="72"/>
      <c r="CNO5" s="72"/>
      <c r="CNP5" s="72"/>
      <c r="CNQ5" s="72"/>
      <c r="CNR5" s="72"/>
      <c r="CNS5" s="72"/>
      <c r="CNT5" s="72"/>
      <c r="CNU5" s="72"/>
      <c r="CNV5" s="72"/>
      <c r="CNW5" s="72"/>
      <c r="CNX5" s="72"/>
      <c r="CNY5" s="72"/>
      <c r="CNZ5" s="72"/>
      <c r="COA5" s="72"/>
      <c r="COB5" s="72"/>
      <c r="COC5" s="72"/>
      <c r="COD5" s="72"/>
      <c r="COE5" s="72"/>
      <c r="COF5" s="72"/>
      <c r="COG5" s="72"/>
      <c r="COH5" s="72"/>
      <c r="COI5" s="72"/>
      <c r="COJ5" s="72"/>
      <c r="COK5" s="72"/>
      <c r="COL5" s="72"/>
      <c r="COM5" s="72"/>
      <c r="CON5" s="72"/>
      <c r="COO5" s="72"/>
      <c r="COP5" s="72"/>
      <c r="COQ5" s="72"/>
      <c r="COR5" s="72"/>
      <c r="COS5" s="72"/>
      <c r="COT5" s="72"/>
      <c r="COU5" s="72"/>
      <c r="COV5" s="72"/>
      <c r="COW5" s="72"/>
      <c r="COX5" s="72"/>
      <c r="COY5" s="72"/>
      <c r="COZ5" s="72"/>
      <c r="CPA5" s="72"/>
      <c r="CPB5" s="72"/>
      <c r="CPC5" s="72"/>
      <c r="CPD5" s="72"/>
      <c r="CPE5" s="72"/>
      <c r="CPF5" s="72"/>
      <c r="CPG5" s="72"/>
      <c r="CPH5" s="72"/>
      <c r="CPI5" s="72"/>
      <c r="CPJ5" s="72"/>
      <c r="CPK5" s="72"/>
      <c r="CPL5" s="72"/>
      <c r="CPM5" s="72"/>
      <c r="CPN5" s="72"/>
      <c r="CPO5" s="72"/>
      <c r="CPP5" s="72"/>
      <c r="CPQ5" s="72"/>
      <c r="CPR5" s="72"/>
      <c r="CPS5" s="72"/>
      <c r="CPT5" s="72"/>
      <c r="CPU5" s="72"/>
      <c r="CPV5" s="72"/>
      <c r="CPW5" s="72"/>
      <c r="CPX5" s="72"/>
      <c r="CPY5" s="72"/>
      <c r="CPZ5" s="72"/>
      <c r="CQA5" s="72"/>
      <c r="CQB5" s="72"/>
      <c r="CQC5" s="72"/>
      <c r="CQD5" s="72"/>
      <c r="CQE5" s="72"/>
      <c r="CQF5" s="72"/>
      <c r="CQG5" s="72"/>
      <c r="CQH5" s="72"/>
      <c r="CQI5" s="72"/>
      <c r="CQJ5" s="72"/>
      <c r="CQK5" s="72"/>
      <c r="CQL5" s="72"/>
      <c r="CQM5" s="72"/>
      <c r="CQN5" s="72"/>
      <c r="CQO5" s="72"/>
      <c r="CQP5" s="72"/>
      <c r="CQQ5" s="72"/>
      <c r="CQR5" s="72"/>
      <c r="CQS5" s="72"/>
      <c r="CQT5" s="72"/>
      <c r="CQU5" s="72"/>
      <c r="CQV5" s="72"/>
      <c r="CQW5" s="72"/>
      <c r="CQX5" s="72"/>
      <c r="CQY5" s="72"/>
      <c r="CQZ5" s="72"/>
      <c r="CRA5" s="72"/>
      <c r="CRB5" s="72"/>
      <c r="CRC5" s="72"/>
      <c r="CRD5" s="72"/>
      <c r="CRE5" s="72"/>
      <c r="CRF5" s="72"/>
      <c r="CRG5" s="72"/>
      <c r="CRH5" s="72"/>
      <c r="CRI5" s="72"/>
      <c r="CRJ5" s="72"/>
      <c r="CRK5" s="72"/>
      <c r="CRL5" s="72"/>
      <c r="CRM5" s="72"/>
      <c r="CRN5" s="72"/>
      <c r="CRO5" s="72"/>
      <c r="CRP5" s="72"/>
      <c r="CRQ5" s="72"/>
      <c r="CRR5" s="72"/>
      <c r="CRS5" s="72"/>
      <c r="CRT5" s="72"/>
      <c r="CRU5" s="72"/>
      <c r="CRV5" s="72"/>
      <c r="CRW5" s="72"/>
      <c r="CRX5" s="72"/>
      <c r="CRY5" s="72"/>
      <c r="CRZ5" s="72"/>
      <c r="CSA5" s="72"/>
      <c r="CSB5" s="72"/>
      <c r="CSC5" s="72"/>
      <c r="CSD5" s="72"/>
      <c r="CSE5" s="72"/>
      <c r="CSF5" s="72"/>
      <c r="CSG5" s="72"/>
      <c r="CSH5" s="72"/>
      <c r="CSI5" s="72"/>
      <c r="CSJ5" s="72"/>
      <c r="CSK5" s="72"/>
      <c r="CSL5" s="72"/>
      <c r="CSM5" s="72"/>
      <c r="CSN5" s="72"/>
      <c r="CSO5" s="72"/>
      <c r="CSP5" s="72"/>
      <c r="CSQ5" s="72"/>
      <c r="CSR5" s="72"/>
      <c r="CSS5" s="72"/>
      <c r="CST5" s="72"/>
      <c r="CSU5" s="72"/>
      <c r="CSV5" s="72"/>
      <c r="CSW5" s="72"/>
      <c r="CSX5" s="72"/>
      <c r="CSY5" s="72"/>
      <c r="CSZ5" s="72"/>
      <c r="CTA5" s="72"/>
      <c r="CTB5" s="72"/>
      <c r="CTC5" s="72"/>
      <c r="CTD5" s="72"/>
      <c r="CTE5" s="72"/>
      <c r="CTF5" s="72"/>
      <c r="CTG5" s="72"/>
      <c r="CTH5" s="72"/>
      <c r="CTI5" s="72"/>
      <c r="CTJ5" s="72"/>
      <c r="CTK5" s="72"/>
      <c r="CTL5" s="72"/>
      <c r="CTM5" s="72"/>
      <c r="CTN5" s="72"/>
      <c r="CTO5" s="72"/>
      <c r="CTP5" s="72"/>
      <c r="CTQ5" s="72"/>
      <c r="CTR5" s="72"/>
      <c r="CTS5" s="72"/>
      <c r="CTT5" s="72"/>
      <c r="CTU5" s="72"/>
      <c r="CTV5" s="72"/>
      <c r="CTW5" s="72"/>
      <c r="CTX5" s="72"/>
      <c r="CTY5" s="72"/>
      <c r="CTZ5" s="72"/>
      <c r="CUA5" s="72"/>
      <c r="CUB5" s="72"/>
      <c r="CUC5" s="72"/>
      <c r="CUD5" s="72"/>
      <c r="CUE5" s="72"/>
      <c r="CUF5" s="72"/>
      <c r="CUG5" s="72"/>
      <c r="CUH5" s="72"/>
      <c r="CUI5" s="72"/>
      <c r="CUJ5" s="72"/>
      <c r="CUK5" s="72"/>
      <c r="CUL5" s="72"/>
      <c r="CUM5" s="72"/>
      <c r="CUN5" s="72"/>
      <c r="CUO5" s="72"/>
      <c r="CUP5" s="72"/>
      <c r="CUQ5" s="72"/>
      <c r="CUR5" s="72"/>
      <c r="CUS5" s="72"/>
      <c r="CUT5" s="72"/>
      <c r="CUU5" s="72"/>
      <c r="CUV5" s="72"/>
      <c r="CUW5" s="72"/>
      <c r="CUX5" s="72"/>
      <c r="CUY5" s="72"/>
      <c r="CUZ5" s="72"/>
      <c r="CVA5" s="72"/>
      <c r="CVB5" s="72"/>
      <c r="CVC5" s="72"/>
      <c r="CVD5" s="72"/>
      <c r="CVE5" s="72"/>
      <c r="CVF5" s="72"/>
      <c r="CVG5" s="72"/>
      <c r="CVH5" s="72"/>
      <c r="CVI5" s="72"/>
      <c r="CVJ5" s="72"/>
      <c r="CVK5" s="72"/>
      <c r="CVL5" s="72"/>
      <c r="CVM5" s="72"/>
      <c r="CVN5" s="72"/>
      <c r="CVO5" s="72"/>
      <c r="CVP5" s="72"/>
      <c r="CVQ5" s="72"/>
      <c r="CVR5" s="72"/>
      <c r="CVS5" s="72"/>
      <c r="CVT5" s="72"/>
      <c r="CVU5" s="72"/>
      <c r="CVV5" s="72"/>
      <c r="CVW5" s="72"/>
      <c r="CVX5" s="72"/>
      <c r="CVY5" s="72"/>
      <c r="CVZ5" s="72"/>
      <c r="CWA5" s="72"/>
      <c r="CWB5" s="72"/>
      <c r="CWC5" s="72"/>
      <c r="CWD5" s="72"/>
      <c r="CWE5" s="72"/>
      <c r="CWF5" s="72"/>
      <c r="CWG5" s="72"/>
      <c r="CWH5" s="72"/>
      <c r="CWI5" s="72"/>
      <c r="CWJ5" s="72"/>
      <c r="CWK5" s="72"/>
      <c r="CWL5" s="72"/>
      <c r="CWM5" s="72"/>
      <c r="CWN5" s="72"/>
      <c r="CWO5" s="72"/>
      <c r="CWP5" s="72"/>
      <c r="CWQ5" s="72"/>
      <c r="CWR5" s="72"/>
      <c r="CWS5" s="72"/>
      <c r="CWT5" s="72"/>
      <c r="CWU5" s="72"/>
      <c r="CWV5" s="72"/>
      <c r="CWW5" s="72"/>
      <c r="CWX5" s="72"/>
      <c r="CWY5" s="72"/>
      <c r="CWZ5" s="72"/>
      <c r="CXA5" s="72"/>
      <c r="CXB5" s="72"/>
      <c r="CXC5" s="72"/>
      <c r="CXD5" s="72"/>
      <c r="CXE5" s="72"/>
      <c r="CXF5" s="72"/>
      <c r="CXG5" s="72"/>
      <c r="CXH5" s="72"/>
      <c r="CXI5" s="72"/>
      <c r="CXJ5" s="72"/>
      <c r="CXK5" s="72"/>
      <c r="CXL5" s="72"/>
      <c r="CXM5" s="72"/>
      <c r="CXN5" s="72"/>
      <c r="CXO5" s="72"/>
      <c r="CXP5" s="72"/>
      <c r="CXQ5" s="72"/>
      <c r="CXR5" s="72"/>
      <c r="CXS5" s="72"/>
      <c r="CXT5" s="72"/>
      <c r="CXU5" s="72"/>
      <c r="CXV5" s="72"/>
      <c r="CXW5" s="72"/>
      <c r="CXX5" s="72"/>
      <c r="CXY5" s="72"/>
      <c r="CXZ5" s="72"/>
      <c r="CYA5" s="72"/>
      <c r="CYB5" s="72"/>
      <c r="CYC5" s="72"/>
      <c r="CYD5" s="72"/>
      <c r="CYE5" s="72"/>
      <c r="CYF5" s="72"/>
      <c r="CYG5" s="72"/>
      <c r="CYH5" s="72"/>
      <c r="CYI5" s="72"/>
      <c r="CYJ5" s="72"/>
      <c r="CYK5" s="72"/>
      <c r="CYL5" s="72"/>
      <c r="CYM5" s="72"/>
      <c r="CYN5" s="72"/>
      <c r="CYO5" s="72"/>
      <c r="CYP5" s="72"/>
      <c r="CYQ5" s="72"/>
      <c r="CYR5" s="72"/>
      <c r="CYS5" s="72"/>
      <c r="CYT5" s="72"/>
      <c r="CYU5" s="72"/>
      <c r="CYV5" s="72"/>
      <c r="CYW5" s="72"/>
      <c r="CYX5" s="72"/>
      <c r="CYY5" s="72"/>
      <c r="CYZ5" s="72"/>
      <c r="CZA5" s="72"/>
      <c r="CZB5" s="72"/>
      <c r="CZC5" s="72"/>
      <c r="CZD5" s="72"/>
      <c r="CZE5" s="72"/>
      <c r="CZF5" s="72"/>
      <c r="CZG5" s="72"/>
      <c r="CZH5" s="72"/>
      <c r="CZI5" s="72"/>
      <c r="CZJ5" s="72"/>
      <c r="CZK5" s="72"/>
      <c r="CZL5" s="72"/>
      <c r="CZM5" s="72"/>
      <c r="CZN5" s="72"/>
      <c r="CZO5" s="72"/>
      <c r="CZP5" s="72"/>
      <c r="CZQ5" s="72"/>
      <c r="CZR5" s="72"/>
      <c r="CZS5" s="72"/>
      <c r="CZT5" s="72"/>
      <c r="CZU5" s="72"/>
      <c r="CZV5" s="72"/>
      <c r="CZW5" s="72"/>
      <c r="CZX5" s="72"/>
      <c r="CZY5" s="72"/>
      <c r="CZZ5" s="72"/>
      <c r="DAA5" s="72"/>
      <c r="DAB5" s="72"/>
      <c r="DAC5" s="72"/>
      <c r="DAD5" s="72"/>
      <c r="DAE5" s="72"/>
      <c r="DAF5" s="72"/>
      <c r="DAG5" s="72"/>
      <c r="DAH5" s="72"/>
      <c r="DAI5" s="72"/>
      <c r="DAJ5" s="72"/>
      <c r="DAK5" s="72"/>
      <c r="DAL5" s="72"/>
      <c r="DAM5" s="72"/>
      <c r="DAN5" s="72"/>
      <c r="DAO5" s="72"/>
      <c r="DAP5" s="72"/>
      <c r="DAQ5" s="72"/>
      <c r="DAR5" s="72"/>
      <c r="DAS5" s="72"/>
      <c r="DAT5" s="72"/>
      <c r="DAU5" s="72"/>
      <c r="DAV5" s="72"/>
      <c r="DAW5" s="72"/>
      <c r="DAX5" s="72"/>
      <c r="DAY5" s="72"/>
      <c r="DAZ5" s="72"/>
      <c r="DBA5" s="72"/>
      <c r="DBB5" s="72"/>
      <c r="DBC5" s="72"/>
      <c r="DBD5" s="72"/>
      <c r="DBE5" s="72"/>
      <c r="DBF5" s="72"/>
      <c r="DBG5" s="72"/>
      <c r="DBH5" s="72"/>
      <c r="DBI5" s="72"/>
      <c r="DBJ5" s="72"/>
      <c r="DBK5" s="72"/>
      <c r="DBL5" s="72"/>
      <c r="DBM5" s="72"/>
      <c r="DBN5" s="72"/>
      <c r="DBO5" s="72"/>
      <c r="DBP5" s="72"/>
      <c r="DBQ5" s="72"/>
      <c r="DBR5" s="72"/>
      <c r="DBS5" s="72"/>
      <c r="DBT5" s="72"/>
      <c r="DBU5" s="72"/>
      <c r="DBV5" s="72"/>
      <c r="DBW5" s="72"/>
      <c r="DBX5" s="72"/>
      <c r="DBY5" s="72"/>
      <c r="DBZ5" s="72"/>
      <c r="DCA5" s="72"/>
      <c r="DCB5" s="72"/>
      <c r="DCC5" s="72"/>
      <c r="DCD5" s="72"/>
      <c r="DCE5" s="72"/>
      <c r="DCF5" s="72"/>
      <c r="DCG5" s="72"/>
      <c r="DCH5" s="72"/>
      <c r="DCI5" s="72"/>
      <c r="DCJ5" s="72"/>
      <c r="DCK5" s="72"/>
      <c r="DCL5" s="72"/>
      <c r="DCM5" s="72"/>
      <c r="DCN5" s="72"/>
      <c r="DCO5" s="72"/>
      <c r="DCP5" s="72"/>
      <c r="DCQ5" s="72"/>
      <c r="DCR5" s="72"/>
      <c r="DCS5" s="72"/>
      <c r="DCT5" s="72"/>
      <c r="DCU5" s="72"/>
      <c r="DCV5" s="72"/>
      <c r="DCW5" s="72"/>
      <c r="DCX5" s="72"/>
      <c r="DCY5" s="72"/>
      <c r="DCZ5" s="72"/>
      <c r="DDA5" s="72"/>
      <c r="DDB5" s="72"/>
      <c r="DDC5" s="72"/>
      <c r="DDD5" s="72"/>
      <c r="DDE5" s="72"/>
      <c r="DDF5" s="72"/>
      <c r="DDG5" s="72"/>
      <c r="DDH5" s="72"/>
      <c r="DDI5" s="72"/>
      <c r="DDJ5" s="72"/>
      <c r="DDK5" s="72"/>
      <c r="DDL5" s="72"/>
      <c r="DDM5" s="72"/>
      <c r="DDN5" s="72"/>
      <c r="DDO5" s="72"/>
      <c r="DDP5" s="72"/>
      <c r="DDQ5" s="72"/>
      <c r="DDR5" s="72"/>
      <c r="DDS5" s="72"/>
      <c r="DDT5" s="72"/>
      <c r="DDU5" s="72"/>
      <c r="DDV5" s="72"/>
      <c r="DDW5" s="72"/>
      <c r="DDX5" s="72"/>
      <c r="DDY5" s="72"/>
      <c r="DDZ5" s="72"/>
      <c r="DEA5" s="72"/>
      <c r="DEB5" s="72"/>
      <c r="DEC5" s="72"/>
      <c r="DED5" s="72"/>
      <c r="DEE5" s="72"/>
      <c r="DEF5" s="72"/>
      <c r="DEG5" s="72"/>
      <c r="DEH5" s="72"/>
      <c r="DEI5" s="72"/>
      <c r="DEJ5" s="72"/>
      <c r="DEK5" s="72"/>
      <c r="DEL5" s="72"/>
      <c r="DEM5" s="72"/>
      <c r="DEN5" s="72"/>
      <c r="DEO5" s="72"/>
      <c r="DEP5" s="72"/>
      <c r="DEQ5" s="72"/>
      <c r="DER5" s="72"/>
      <c r="DES5" s="72"/>
      <c r="DET5" s="72"/>
      <c r="DEU5" s="72"/>
      <c r="DEV5" s="72"/>
      <c r="DEW5" s="72"/>
      <c r="DEX5" s="72"/>
      <c r="DEY5" s="72"/>
      <c r="DEZ5" s="72"/>
      <c r="DFA5" s="72"/>
      <c r="DFB5" s="72"/>
      <c r="DFC5" s="72"/>
      <c r="DFD5" s="72"/>
      <c r="DFE5" s="72"/>
      <c r="DFF5" s="72"/>
      <c r="DFG5" s="72"/>
      <c r="DFH5" s="72"/>
      <c r="DFI5" s="72"/>
      <c r="DFJ5" s="72"/>
      <c r="DFK5" s="72"/>
      <c r="DFL5" s="72"/>
      <c r="DFM5" s="72"/>
      <c r="DFN5" s="72"/>
      <c r="DFO5" s="72"/>
      <c r="DFP5" s="72"/>
      <c r="DFQ5" s="72"/>
      <c r="DFR5" s="72"/>
      <c r="DFS5" s="72"/>
      <c r="DFT5" s="72"/>
      <c r="DFU5" s="72"/>
      <c r="DFV5" s="72"/>
      <c r="DFW5" s="72"/>
      <c r="DFX5" s="72"/>
      <c r="DFY5" s="72"/>
      <c r="DFZ5" s="72"/>
      <c r="DGA5" s="72"/>
      <c r="DGB5" s="72"/>
      <c r="DGC5" s="72"/>
      <c r="DGD5" s="72"/>
      <c r="DGE5" s="72"/>
      <c r="DGF5" s="72"/>
      <c r="DGG5" s="72"/>
      <c r="DGH5" s="72"/>
      <c r="DGI5" s="72"/>
      <c r="DGJ5" s="72"/>
      <c r="DGK5" s="72"/>
      <c r="DGL5" s="72"/>
      <c r="DGM5" s="72"/>
      <c r="DGN5" s="72"/>
      <c r="DGO5" s="72"/>
      <c r="DGP5" s="72"/>
      <c r="DGQ5" s="72"/>
      <c r="DGR5" s="72"/>
      <c r="DGS5" s="72"/>
      <c r="DGT5" s="72"/>
      <c r="DGU5" s="72"/>
      <c r="DGV5" s="72"/>
      <c r="DGW5" s="72"/>
      <c r="DGX5" s="72"/>
      <c r="DGY5" s="72"/>
      <c r="DGZ5" s="72"/>
      <c r="DHA5" s="72"/>
      <c r="DHB5" s="72"/>
      <c r="DHC5" s="72"/>
      <c r="DHD5" s="72"/>
      <c r="DHE5" s="72"/>
      <c r="DHF5" s="72"/>
      <c r="DHG5" s="72"/>
      <c r="DHH5" s="72"/>
      <c r="DHI5" s="72"/>
      <c r="DHJ5" s="72"/>
      <c r="DHK5" s="72"/>
      <c r="DHL5" s="72"/>
      <c r="DHM5" s="72"/>
      <c r="DHN5" s="72"/>
      <c r="DHO5" s="72"/>
      <c r="DHP5" s="72"/>
      <c r="DHQ5" s="72"/>
      <c r="DHR5" s="72"/>
      <c r="DHS5" s="72"/>
      <c r="DHT5" s="72"/>
      <c r="DHU5" s="72"/>
      <c r="DHV5" s="72"/>
      <c r="DHW5" s="72"/>
      <c r="DHX5" s="72"/>
      <c r="DHY5" s="72"/>
      <c r="DHZ5" s="72"/>
      <c r="DIA5" s="72"/>
      <c r="DIB5" s="72"/>
      <c r="DIC5" s="72"/>
      <c r="DID5" s="72"/>
      <c r="DIE5" s="72"/>
      <c r="DIF5" s="72"/>
      <c r="DIG5" s="72"/>
      <c r="DIH5" s="72"/>
      <c r="DII5" s="72"/>
      <c r="DIJ5" s="72"/>
      <c r="DIK5" s="72"/>
      <c r="DIL5" s="72"/>
      <c r="DIM5" s="72"/>
      <c r="DIN5" s="72"/>
      <c r="DIO5" s="72"/>
      <c r="DIP5" s="72"/>
      <c r="DIQ5" s="72"/>
      <c r="DIR5" s="72"/>
      <c r="DIS5" s="72"/>
      <c r="DIT5" s="72"/>
      <c r="DIU5" s="72"/>
      <c r="DIV5" s="72"/>
      <c r="DIW5" s="72"/>
      <c r="DIX5" s="72"/>
      <c r="DIY5" s="72"/>
      <c r="DIZ5" s="72"/>
      <c r="DJA5" s="72"/>
      <c r="DJB5" s="72"/>
      <c r="DJC5" s="72"/>
      <c r="DJD5" s="72"/>
      <c r="DJE5" s="72"/>
      <c r="DJF5" s="72"/>
      <c r="DJG5" s="72"/>
      <c r="DJH5" s="72"/>
      <c r="DJI5" s="72"/>
      <c r="DJJ5" s="72"/>
      <c r="DJK5" s="72"/>
      <c r="DJL5" s="72"/>
      <c r="DJM5" s="72"/>
      <c r="DJN5" s="72"/>
      <c r="DJO5" s="72"/>
      <c r="DJP5" s="72"/>
      <c r="DJQ5" s="72"/>
      <c r="DJR5" s="72"/>
      <c r="DJS5" s="72"/>
      <c r="DJT5" s="72"/>
      <c r="DJU5" s="72"/>
      <c r="DJV5" s="72"/>
      <c r="DJW5" s="72"/>
      <c r="DJX5" s="72"/>
      <c r="DJY5" s="72"/>
      <c r="DJZ5" s="72"/>
      <c r="DKA5" s="72"/>
      <c r="DKB5" s="72"/>
      <c r="DKC5" s="72"/>
      <c r="DKD5" s="72"/>
      <c r="DKE5" s="72"/>
      <c r="DKF5" s="72"/>
      <c r="DKG5" s="72"/>
      <c r="DKH5" s="72"/>
      <c r="DKI5" s="72"/>
      <c r="DKJ5" s="72"/>
      <c r="DKK5" s="72"/>
      <c r="DKL5" s="72"/>
      <c r="DKM5" s="72"/>
      <c r="DKN5" s="72"/>
      <c r="DKO5" s="72"/>
      <c r="DKP5" s="72"/>
      <c r="DKQ5" s="72"/>
      <c r="DKR5" s="72"/>
      <c r="DKS5" s="72"/>
      <c r="DKT5" s="72"/>
      <c r="DKU5" s="72"/>
      <c r="DKV5" s="72"/>
      <c r="DKW5" s="72"/>
      <c r="DKX5" s="72"/>
      <c r="DKY5" s="72"/>
      <c r="DKZ5" s="72"/>
      <c r="DLA5" s="72"/>
      <c r="DLB5" s="72"/>
      <c r="DLC5" s="72"/>
      <c r="DLD5" s="72"/>
      <c r="DLE5" s="72"/>
      <c r="DLF5" s="72"/>
      <c r="DLG5" s="72"/>
      <c r="DLH5" s="72"/>
      <c r="DLI5" s="72"/>
      <c r="DLJ5" s="72"/>
      <c r="DLK5" s="72"/>
      <c r="DLL5" s="72"/>
      <c r="DLM5" s="72"/>
      <c r="DLN5" s="72"/>
      <c r="DLO5" s="72"/>
      <c r="DLP5" s="72"/>
      <c r="DLQ5" s="72"/>
      <c r="DLR5" s="72"/>
      <c r="DLS5" s="72"/>
      <c r="DLT5" s="72"/>
      <c r="DLU5" s="72"/>
      <c r="DLV5" s="72"/>
      <c r="DLW5" s="72"/>
      <c r="DLX5" s="72"/>
      <c r="DLY5" s="72"/>
      <c r="DLZ5" s="72"/>
      <c r="DMA5" s="72"/>
      <c r="DMB5" s="72"/>
      <c r="DMC5" s="72"/>
      <c r="DMD5" s="72"/>
      <c r="DME5" s="72"/>
      <c r="DMF5" s="72"/>
      <c r="DMG5" s="72"/>
      <c r="DMH5" s="72"/>
      <c r="DMI5" s="72"/>
      <c r="DMJ5" s="72"/>
      <c r="DMK5" s="72"/>
      <c r="DML5" s="72"/>
      <c r="DMM5" s="72"/>
      <c r="DMN5" s="72"/>
      <c r="DMO5" s="72"/>
      <c r="DMP5" s="72"/>
      <c r="DMQ5" s="72"/>
      <c r="DMR5" s="72"/>
      <c r="DMS5" s="72"/>
      <c r="DMT5" s="72"/>
      <c r="DMU5" s="72"/>
      <c r="DMV5" s="72"/>
      <c r="DMW5" s="72"/>
      <c r="DMX5" s="72"/>
      <c r="DMY5" s="72"/>
      <c r="DMZ5" s="72"/>
      <c r="DNA5" s="72"/>
      <c r="DNB5" s="72"/>
      <c r="DNC5" s="72"/>
      <c r="DND5" s="72"/>
      <c r="DNE5" s="72"/>
      <c r="DNF5" s="72"/>
      <c r="DNG5" s="72"/>
      <c r="DNH5" s="72"/>
      <c r="DNI5" s="72"/>
      <c r="DNJ5" s="72"/>
      <c r="DNK5" s="72"/>
      <c r="DNL5" s="72"/>
      <c r="DNM5" s="72"/>
      <c r="DNN5" s="72"/>
      <c r="DNO5" s="72"/>
      <c r="DNP5" s="72"/>
      <c r="DNQ5" s="72"/>
      <c r="DNR5" s="72"/>
      <c r="DNS5" s="72"/>
      <c r="DNT5" s="72"/>
      <c r="DNU5" s="72"/>
      <c r="DNV5" s="72"/>
      <c r="DNW5" s="72"/>
      <c r="DNX5" s="72"/>
      <c r="DNY5" s="72"/>
      <c r="DNZ5" s="72"/>
      <c r="DOA5" s="72"/>
      <c r="DOB5" s="72"/>
      <c r="DOC5" s="72"/>
      <c r="DOD5" s="72"/>
      <c r="DOE5" s="72"/>
      <c r="DOF5" s="72"/>
      <c r="DOG5" s="72"/>
      <c r="DOH5" s="72"/>
      <c r="DOI5" s="72"/>
      <c r="DOJ5" s="72"/>
      <c r="DOK5" s="72"/>
      <c r="DOL5" s="72"/>
      <c r="DOM5" s="72"/>
      <c r="DON5" s="72"/>
      <c r="DOO5" s="72"/>
      <c r="DOP5" s="72"/>
      <c r="DOQ5" s="72"/>
      <c r="DOR5" s="72"/>
      <c r="DOS5" s="72"/>
      <c r="DOT5" s="72"/>
      <c r="DOU5" s="72"/>
      <c r="DOV5" s="72"/>
      <c r="DOW5" s="72"/>
      <c r="DOX5" s="72"/>
      <c r="DOY5" s="72"/>
      <c r="DOZ5" s="72"/>
      <c r="DPA5" s="72"/>
      <c r="DPB5" s="72"/>
      <c r="DPC5" s="72"/>
      <c r="DPD5" s="72"/>
      <c r="DPE5" s="72"/>
      <c r="DPF5" s="72"/>
      <c r="DPG5" s="72"/>
      <c r="DPH5" s="72"/>
      <c r="DPI5" s="72"/>
      <c r="DPJ5" s="72"/>
      <c r="DPK5" s="72"/>
      <c r="DPL5" s="72"/>
      <c r="DPM5" s="72"/>
      <c r="DPN5" s="72"/>
      <c r="DPO5" s="72"/>
      <c r="DPP5" s="72"/>
      <c r="DPQ5" s="72"/>
      <c r="DPR5" s="72"/>
      <c r="DPS5" s="72"/>
      <c r="DPT5" s="72"/>
      <c r="DPU5" s="72"/>
      <c r="DPV5" s="72"/>
      <c r="DPW5" s="72"/>
      <c r="DPX5" s="72"/>
      <c r="DPY5" s="72"/>
      <c r="DPZ5" s="72"/>
      <c r="DQA5" s="72"/>
      <c r="DQB5" s="72"/>
      <c r="DQC5" s="72"/>
      <c r="DQD5" s="72"/>
      <c r="DQE5" s="72"/>
      <c r="DQF5" s="72"/>
      <c r="DQG5" s="72"/>
      <c r="DQH5" s="72"/>
      <c r="DQI5" s="72"/>
      <c r="DQJ5" s="72"/>
      <c r="DQK5" s="72"/>
      <c r="DQL5" s="72"/>
      <c r="DQM5" s="72"/>
      <c r="DQN5" s="72"/>
      <c r="DQO5" s="72"/>
      <c r="DQP5" s="72"/>
      <c r="DQQ5" s="72"/>
      <c r="DQR5" s="72"/>
      <c r="DQS5" s="72"/>
      <c r="DQT5" s="72"/>
      <c r="DQU5" s="72"/>
      <c r="DQV5" s="72"/>
      <c r="DQW5" s="72"/>
      <c r="DQX5" s="72"/>
      <c r="DQY5" s="72"/>
      <c r="DQZ5" s="72"/>
      <c r="DRA5" s="72"/>
      <c r="DRB5" s="72"/>
      <c r="DRC5" s="72"/>
      <c r="DRD5" s="72"/>
      <c r="DRE5" s="72"/>
      <c r="DRF5" s="72"/>
      <c r="DRG5" s="72"/>
      <c r="DRH5" s="72"/>
      <c r="DRI5" s="72"/>
      <c r="DRJ5" s="72"/>
      <c r="DRK5" s="72"/>
      <c r="DRL5" s="72"/>
      <c r="DRM5" s="72"/>
      <c r="DRN5" s="72"/>
      <c r="DRO5" s="72"/>
      <c r="DRP5" s="72"/>
      <c r="DRQ5" s="72"/>
      <c r="DRR5" s="72"/>
      <c r="DRS5" s="72"/>
      <c r="DRT5" s="72"/>
      <c r="DRU5" s="72"/>
      <c r="DRV5" s="72"/>
      <c r="DRW5" s="72"/>
      <c r="DRX5" s="72"/>
      <c r="DRY5" s="72"/>
      <c r="DRZ5" s="72"/>
      <c r="DSA5" s="72"/>
      <c r="DSB5" s="72"/>
      <c r="DSC5" s="72"/>
      <c r="DSD5" s="72"/>
      <c r="DSE5" s="72"/>
      <c r="DSF5" s="72"/>
      <c r="DSG5" s="72"/>
      <c r="DSH5" s="72"/>
      <c r="DSI5" s="72"/>
      <c r="DSJ5" s="72"/>
      <c r="DSK5" s="72"/>
      <c r="DSL5" s="72"/>
      <c r="DSM5" s="72"/>
      <c r="DSN5" s="72"/>
      <c r="DSO5" s="72"/>
      <c r="DSP5" s="72"/>
      <c r="DSQ5" s="72"/>
      <c r="DSR5" s="72"/>
      <c r="DSS5" s="72"/>
      <c r="DST5" s="72"/>
      <c r="DSU5" s="72"/>
      <c r="DSV5" s="72"/>
      <c r="DSW5" s="72"/>
      <c r="DSX5" s="72"/>
      <c r="DSY5" s="72"/>
      <c r="DSZ5" s="72"/>
      <c r="DTA5" s="72"/>
      <c r="DTB5" s="72"/>
      <c r="DTC5" s="72"/>
      <c r="DTD5" s="72"/>
      <c r="DTE5" s="72"/>
      <c r="DTF5" s="72"/>
      <c r="DTG5" s="72"/>
      <c r="DTH5" s="72"/>
      <c r="DTI5" s="72"/>
      <c r="DTJ5" s="72"/>
      <c r="DTK5" s="72"/>
      <c r="DTL5" s="72"/>
      <c r="DTM5" s="72"/>
      <c r="DTN5" s="72"/>
      <c r="DTO5" s="72"/>
      <c r="DTP5" s="72"/>
      <c r="DTQ5" s="72"/>
      <c r="DTR5" s="72"/>
      <c r="DTS5" s="72"/>
      <c r="DTT5" s="72"/>
      <c r="DTU5" s="72"/>
      <c r="DTV5" s="72"/>
      <c r="DTW5" s="72"/>
      <c r="DTX5" s="72"/>
      <c r="DTY5" s="72"/>
      <c r="DTZ5" s="72"/>
      <c r="DUA5" s="72"/>
      <c r="DUB5" s="72"/>
      <c r="DUC5" s="72"/>
      <c r="DUD5" s="72"/>
      <c r="DUE5" s="72"/>
      <c r="DUF5" s="72"/>
      <c r="DUG5" s="72"/>
      <c r="DUH5" s="72"/>
      <c r="DUI5" s="72"/>
      <c r="DUJ5" s="72"/>
      <c r="DUK5" s="72"/>
      <c r="DUL5" s="72"/>
      <c r="DUM5" s="72"/>
      <c r="DUN5" s="72"/>
      <c r="DUO5" s="72"/>
      <c r="DUP5" s="72"/>
      <c r="DUQ5" s="72"/>
      <c r="DUR5" s="72"/>
      <c r="DUS5" s="72"/>
      <c r="DUT5" s="72"/>
      <c r="DUU5" s="72"/>
      <c r="DUV5" s="72"/>
      <c r="DUW5" s="72"/>
      <c r="DUX5" s="72"/>
      <c r="DUY5" s="72"/>
      <c r="DUZ5" s="72"/>
      <c r="DVA5" s="72"/>
      <c r="DVB5" s="72"/>
      <c r="DVC5" s="72"/>
      <c r="DVD5" s="72"/>
      <c r="DVE5" s="72"/>
      <c r="DVF5" s="72"/>
      <c r="DVG5" s="72"/>
      <c r="DVH5" s="72"/>
      <c r="DVI5" s="72"/>
      <c r="DVJ5" s="72"/>
      <c r="DVK5" s="72"/>
      <c r="DVL5" s="72"/>
      <c r="DVM5" s="72"/>
      <c r="DVN5" s="72"/>
      <c r="DVO5" s="72"/>
      <c r="DVP5" s="72"/>
      <c r="DVQ5" s="72"/>
      <c r="DVR5" s="72"/>
      <c r="DVS5" s="72"/>
      <c r="DVT5" s="72"/>
      <c r="DVU5" s="72"/>
      <c r="DVV5" s="72"/>
      <c r="DVW5" s="72"/>
      <c r="DVX5" s="72"/>
      <c r="DVY5" s="72"/>
      <c r="DVZ5" s="72"/>
      <c r="DWA5" s="72"/>
      <c r="DWB5" s="72"/>
      <c r="DWC5" s="72"/>
      <c r="DWD5" s="72"/>
      <c r="DWE5" s="72"/>
      <c r="DWF5" s="72"/>
      <c r="DWG5" s="72"/>
      <c r="DWH5" s="72"/>
      <c r="DWI5" s="72"/>
      <c r="DWJ5" s="72"/>
      <c r="DWK5" s="72"/>
      <c r="DWL5" s="72"/>
      <c r="DWM5" s="72"/>
      <c r="DWN5" s="72"/>
      <c r="DWO5" s="72"/>
      <c r="DWP5" s="72"/>
      <c r="DWQ5" s="72"/>
      <c r="DWR5" s="72"/>
      <c r="DWS5" s="72"/>
      <c r="DWT5" s="72"/>
      <c r="DWU5" s="72"/>
      <c r="DWV5" s="72"/>
      <c r="DWW5" s="72"/>
      <c r="DWX5" s="72"/>
      <c r="DWY5" s="72"/>
      <c r="DWZ5" s="72"/>
      <c r="DXA5" s="72"/>
      <c r="DXB5" s="72"/>
      <c r="DXC5" s="72"/>
      <c r="DXD5" s="72"/>
      <c r="DXE5" s="72"/>
      <c r="DXF5" s="72"/>
      <c r="DXG5" s="72"/>
      <c r="DXH5" s="72"/>
      <c r="DXI5" s="72"/>
      <c r="DXJ5" s="72"/>
      <c r="DXK5" s="72"/>
      <c r="DXL5" s="72"/>
      <c r="DXM5" s="72"/>
      <c r="DXN5" s="72"/>
      <c r="DXO5" s="72"/>
      <c r="DXP5" s="72"/>
      <c r="DXQ5" s="72"/>
      <c r="DXR5" s="72"/>
      <c r="DXS5" s="72"/>
      <c r="DXT5" s="72"/>
      <c r="DXU5" s="72"/>
      <c r="DXV5" s="72"/>
      <c r="DXW5" s="72"/>
      <c r="DXX5" s="72"/>
      <c r="DXY5" s="72"/>
      <c r="DXZ5" s="72"/>
      <c r="DYA5" s="72"/>
      <c r="DYB5" s="72"/>
      <c r="DYC5" s="72"/>
      <c r="DYD5" s="72"/>
      <c r="DYE5" s="72"/>
      <c r="DYF5" s="72"/>
      <c r="DYG5" s="72"/>
      <c r="DYH5" s="72"/>
      <c r="DYI5" s="72"/>
      <c r="DYJ5" s="72"/>
      <c r="DYK5" s="72"/>
      <c r="DYL5" s="72"/>
      <c r="DYM5" s="72"/>
      <c r="DYN5" s="72"/>
      <c r="DYO5" s="72"/>
      <c r="DYP5" s="72"/>
      <c r="DYQ5" s="72"/>
      <c r="DYR5" s="72"/>
      <c r="DYS5" s="72"/>
      <c r="DYT5" s="72"/>
      <c r="DYU5" s="72"/>
      <c r="DYV5" s="72"/>
      <c r="DYW5" s="72"/>
      <c r="DYX5" s="72"/>
      <c r="DYY5" s="72"/>
      <c r="DYZ5" s="72"/>
      <c r="DZA5" s="72"/>
      <c r="DZB5" s="72"/>
      <c r="DZC5" s="72"/>
      <c r="DZD5" s="72"/>
      <c r="DZE5" s="72"/>
      <c r="DZF5" s="72"/>
      <c r="DZG5" s="72"/>
      <c r="DZH5" s="72"/>
      <c r="DZI5" s="72"/>
      <c r="DZJ5" s="72"/>
      <c r="DZK5" s="72"/>
      <c r="DZL5" s="72"/>
      <c r="DZM5" s="72"/>
      <c r="DZN5" s="72"/>
      <c r="DZO5" s="72"/>
      <c r="DZP5" s="72"/>
      <c r="DZQ5" s="72"/>
      <c r="DZR5" s="72"/>
      <c r="DZS5" s="72"/>
      <c r="DZT5" s="72"/>
      <c r="DZU5" s="72"/>
      <c r="DZV5" s="72"/>
      <c r="DZW5" s="72"/>
      <c r="DZX5" s="72"/>
      <c r="DZY5" s="72"/>
      <c r="DZZ5" s="72"/>
      <c r="EAA5" s="72"/>
      <c r="EAB5" s="72"/>
      <c r="EAC5" s="72"/>
      <c r="EAD5" s="72"/>
      <c r="EAE5" s="72"/>
      <c r="EAF5" s="72"/>
      <c r="EAG5" s="72"/>
      <c r="EAH5" s="72"/>
      <c r="EAI5" s="72"/>
      <c r="EAJ5" s="72"/>
      <c r="EAK5" s="72"/>
      <c r="EAL5" s="72"/>
      <c r="EAM5" s="72"/>
      <c r="EAN5" s="72"/>
      <c r="EAO5" s="72"/>
      <c r="EAP5" s="72"/>
      <c r="EAQ5" s="72"/>
      <c r="EAR5" s="72"/>
      <c r="EAS5" s="72"/>
      <c r="EAT5" s="72"/>
      <c r="EAU5" s="72"/>
      <c r="EAV5" s="72"/>
      <c r="EAW5" s="72"/>
      <c r="EAX5" s="72"/>
      <c r="EAY5" s="72"/>
      <c r="EAZ5" s="72"/>
      <c r="EBA5" s="72"/>
      <c r="EBB5" s="72"/>
      <c r="EBC5" s="72"/>
      <c r="EBD5" s="72"/>
      <c r="EBE5" s="72"/>
      <c r="EBF5" s="72"/>
      <c r="EBG5" s="72"/>
      <c r="EBH5" s="72"/>
      <c r="EBI5" s="72"/>
      <c r="EBJ5" s="72"/>
      <c r="EBK5" s="72"/>
      <c r="EBL5" s="72"/>
      <c r="EBM5" s="72"/>
      <c r="EBN5" s="72"/>
      <c r="EBO5" s="72"/>
      <c r="EBP5" s="72"/>
      <c r="EBQ5" s="72"/>
      <c r="EBR5" s="72"/>
      <c r="EBS5" s="72"/>
      <c r="EBT5" s="72"/>
      <c r="EBU5" s="72"/>
      <c r="EBV5" s="72"/>
      <c r="EBW5" s="72"/>
      <c r="EBX5" s="72"/>
      <c r="EBY5" s="72"/>
      <c r="EBZ5" s="72"/>
      <c r="ECA5" s="72"/>
      <c r="ECB5" s="72"/>
      <c r="ECC5" s="72"/>
      <c r="ECD5" s="72"/>
      <c r="ECE5" s="72"/>
      <c r="ECF5" s="72"/>
      <c r="ECG5" s="72"/>
      <c r="ECH5" s="72"/>
      <c r="ECI5" s="72"/>
      <c r="ECJ5" s="72"/>
      <c r="ECK5" s="72"/>
      <c r="ECL5" s="72"/>
      <c r="ECM5" s="72"/>
      <c r="ECN5" s="72"/>
      <c r="ECO5" s="72"/>
      <c r="ECP5" s="72"/>
      <c r="ECQ5" s="72"/>
      <c r="ECR5" s="72"/>
      <c r="ECS5" s="72"/>
      <c r="ECT5" s="72"/>
      <c r="ECU5" s="72"/>
      <c r="ECV5" s="72"/>
      <c r="ECW5" s="72"/>
      <c r="ECX5" s="72"/>
      <c r="ECY5" s="72"/>
      <c r="ECZ5" s="72"/>
      <c r="EDA5" s="72"/>
      <c r="EDB5" s="72"/>
      <c r="EDC5" s="72"/>
      <c r="EDD5" s="72"/>
      <c r="EDE5" s="72"/>
      <c r="EDF5" s="72"/>
      <c r="EDG5" s="72"/>
      <c r="EDH5" s="72"/>
      <c r="EDI5" s="72"/>
      <c r="EDJ5" s="72"/>
      <c r="EDK5" s="72"/>
      <c r="EDL5" s="72"/>
      <c r="EDM5" s="72"/>
      <c r="EDN5" s="72"/>
      <c r="EDO5" s="72"/>
      <c r="EDP5" s="72"/>
      <c r="EDQ5" s="72"/>
      <c r="EDR5" s="72"/>
      <c r="EDS5" s="72"/>
      <c r="EDT5" s="72"/>
      <c r="EDU5" s="72"/>
      <c r="EDV5" s="72"/>
      <c r="EDW5" s="72"/>
      <c r="EDX5" s="72"/>
      <c r="EDY5" s="72"/>
      <c r="EDZ5" s="72"/>
      <c r="EEA5" s="72"/>
      <c r="EEB5" s="72"/>
      <c r="EEC5" s="72"/>
      <c r="EED5" s="72"/>
      <c r="EEE5" s="72"/>
      <c r="EEF5" s="72"/>
      <c r="EEG5" s="72"/>
      <c r="EEH5" s="72"/>
      <c r="EEI5" s="72"/>
      <c r="EEJ5" s="72"/>
      <c r="EEK5" s="72"/>
      <c r="EEL5" s="72"/>
      <c r="EEM5" s="72"/>
      <c r="EEN5" s="72"/>
      <c r="EEO5" s="72"/>
      <c r="EEP5" s="72"/>
      <c r="EEQ5" s="72"/>
      <c r="EER5" s="72"/>
      <c r="EES5" s="72"/>
      <c r="EET5" s="72"/>
      <c r="EEU5" s="72"/>
      <c r="EEV5" s="72"/>
      <c r="EEW5" s="72"/>
      <c r="EEX5" s="72"/>
      <c r="EEY5" s="72"/>
      <c r="EEZ5" s="72"/>
      <c r="EFA5" s="72"/>
      <c r="EFB5" s="72"/>
      <c r="EFC5" s="72"/>
      <c r="EFD5" s="72"/>
      <c r="EFE5" s="72"/>
      <c r="EFF5" s="72"/>
      <c r="EFG5" s="72"/>
      <c r="EFH5" s="72"/>
      <c r="EFI5" s="72"/>
      <c r="EFJ5" s="72"/>
      <c r="EFK5" s="72"/>
      <c r="EFL5" s="72"/>
      <c r="EFM5" s="72"/>
      <c r="EFN5" s="72"/>
      <c r="EFO5" s="72"/>
      <c r="EFP5" s="72"/>
      <c r="EFQ5" s="72"/>
      <c r="EFR5" s="72"/>
      <c r="EFS5" s="72"/>
      <c r="EFT5" s="72"/>
      <c r="EFU5" s="72"/>
      <c r="EFV5" s="72"/>
      <c r="EFW5" s="72"/>
      <c r="EFX5" s="72"/>
      <c r="EFY5" s="72"/>
      <c r="EFZ5" s="72"/>
      <c r="EGA5" s="72"/>
      <c r="EGB5" s="72"/>
      <c r="EGC5" s="72"/>
      <c r="EGD5" s="72"/>
      <c r="EGE5" s="72"/>
      <c r="EGF5" s="72"/>
      <c r="EGG5" s="72"/>
      <c r="EGH5" s="72"/>
      <c r="EGI5" s="72"/>
      <c r="EGJ5" s="72"/>
      <c r="EGK5" s="72"/>
      <c r="EGL5" s="72"/>
      <c r="EGM5" s="72"/>
      <c r="EGN5" s="72"/>
      <c r="EGO5" s="72"/>
      <c r="EGP5" s="72"/>
      <c r="EGQ5" s="72"/>
      <c r="EGR5" s="72"/>
      <c r="EGS5" s="72"/>
      <c r="EGT5" s="72"/>
      <c r="EGU5" s="72"/>
      <c r="EGV5" s="72"/>
      <c r="EGW5" s="72"/>
      <c r="EGX5" s="72"/>
      <c r="EGY5" s="72"/>
      <c r="EGZ5" s="72"/>
      <c r="EHA5" s="72"/>
      <c r="EHB5" s="72"/>
      <c r="EHC5" s="72"/>
      <c r="EHD5" s="72"/>
      <c r="EHE5" s="72"/>
      <c r="EHF5" s="72"/>
      <c r="EHG5" s="72"/>
      <c r="EHH5" s="72"/>
      <c r="EHI5" s="72"/>
      <c r="EHJ5" s="72"/>
      <c r="EHK5" s="72"/>
      <c r="EHL5" s="72"/>
      <c r="EHM5" s="72"/>
      <c r="EHN5" s="72"/>
      <c r="EHO5" s="72"/>
      <c r="EHP5" s="72"/>
      <c r="EHQ5" s="72"/>
      <c r="EHR5" s="72"/>
      <c r="EHS5" s="72"/>
      <c r="EHT5" s="72"/>
      <c r="EHU5" s="72"/>
      <c r="EHV5" s="72"/>
      <c r="EHW5" s="72"/>
      <c r="EHX5" s="72"/>
      <c r="EHY5" s="72"/>
      <c r="EHZ5" s="72"/>
      <c r="EIA5" s="72"/>
      <c r="EIB5" s="72"/>
      <c r="EIC5" s="72"/>
      <c r="EID5" s="72"/>
      <c r="EIE5" s="72"/>
      <c r="EIF5" s="72"/>
      <c r="EIG5" s="72"/>
      <c r="EIH5" s="72"/>
      <c r="EII5" s="72"/>
      <c r="EIJ5" s="72"/>
      <c r="EIK5" s="72"/>
      <c r="EIL5" s="72"/>
      <c r="EIM5" s="72"/>
      <c r="EIN5" s="72"/>
      <c r="EIO5" s="72"/>
      <c r="EIP5" s="72"/>
      <c r="EIQ5" s="72"/>
      <c r="EIR5" s="72"/>
      <c r="EIS5" s="72"/>
      <c r="EIT5" s="72"/>
      <c r="EIU5" s="72"/>
      <c r="EIV5" s="72"/>
      <c r="EIW5" s="72"/>
      <c r="EIX5" s="72"/>
      <c r="EIY5" s="72"/>
      <c r="EIZ5" s="72"/>
      <c r="EJA5" s="72"/>
      <c r="EJB5" s="72"/>
      <c r="EJC5" s="72"/>
      <c r="EJD5" s="72"/>
      <c r="EJE5" s="72"/>
      <c r="EJF5" s="72"/>
      <c r="EJG5" s="72"/>
      <c r="EJH5" s="72"/>
      <c r="EJI5" s="72"/>
      <c r="EJJ5" s="72"/>
      <c r="EJK5" s="72"/>
      <c r="EJL5" s="72"/>
      <c r="EJM5" s="72"/>
      <c r="EJN5" s="72"/>
      <c r="EJO5" s="72"/>
      <c r="EJP5" s="72"/>
      <c r="EJQ5" s="72"/>
      <c r="EJR5" s="72"/>
      <c r="EJS5" s="72"/>
      <c r="EJT5" s="72"/>
      <c r="EJU5" s="72"/>
      <c r="EJV5" s="72"/>
      <c r="EJW5" s="72"/>
      <c r="EJX5" s="72"/>
      <c r="EJY5" s="72"/>
      <c r="EJZ5" s="72"/>
      <c r="EKA5" s="72"/>
      <c r="EKB5" s="72"/>
      <c r="EKC5" s="72"/>
      <c r="EKD5" s="72"/>
      <c r="EKE5" s="72"/>
      <c r="EKF5" s="72"/>
      <c r="EKG5" s="72"/>
      <c r="EKH5" s="72"/>
      <c r="EKI5" s="72"/>
      <c r="EKJ5" s="72"/>
      <c r="EKK5" s="72"/>
      <c r="EKL5" s="72"/>
      <c r="EKM5" s="72"/>
      <c r="EKN5" s="72"/>
      <c r="EKO5" s="72"/>
      <c r="EKP5" s="72"/>
      <c r="EKQ5" s="72"/>
      <c r="EKR5" s="72"/>
      <c r="EKS5" s="72"/>
      <c r="EKT5" s="72"/>
      <c r="EKU5" s="72"/>
      <c r="EKV5" s="72"/>
      <c r="EKW5" s="72"/>
      <c r="EKX5" s="72"/>
      <c r="EKY5" s="72"/>
      <c r="EKZ5" s="72"/>
      <c r="ELA5" s="72"/>
      <c r="ELB5" s="72"/>
      <c r="ELC5" s="72"/>
      <c r="ELD5" s="72"/>
      <c r="ELE5" s="72"/>
      <c r="ELF5" s="72"/>
      <c r="ELG5" s="72"/>
      <c r="ELH5" s="72"/>
      <c r="ELI5" s="72"/>
      <c r="ELJ5" s="72"/>
      <c r="ELK5" s="72"/>
      <c r="ELL5" s="72"/>
      <c r="ELM5" s="72"/>
      <c r="ELN5" s="72"/>
      <c r="ELO5" s="72"/>
      <c r="ELP5" s="72"/>
      <c r="ELQ5" s="72"/>
      <c r="ELR5" s="72"/>
      <c r="ELS5" s="72"/>
      <c r="ELT5" s="72"/>
      <c r="ELU5" s="72"/>
      <c r="ELV5" s="72"/>
      <c r="ELW5" s="72"/>
      <c r="ELX5" s="72"/>
      <c r="ELY5" s="72"/>
      <c r="ELZ5" s="72"/>
      <c r="EMA5" s="72"/>
      <c r="EMB5" s="72"/>
      <c r="EMC5" s="72"/>
      <c r="EMD5" s="72"/>
      <c r="EME5" s="72"/>
      <c r="EMF5" s="72"/>
      <c r="EMG5" s="72"/>
      <c r="EMH5" s="72"/>
      <c r="EMI5" s="72"/>
      <c r="EMJ5" s="72"/>
      <c r="EMK5" s="72"/>
      <c r="EML5" s="72"/>
      <c r="EMM5" s="72"/>
      <c r="EMN5" s="72"/>
      <c r="EMO5" s="72"/>
      <c r="EMP5" s="72"/>
      <c r="EMQ5" s="72"/>
      <c r="EMR5" s="72"/>
      <c r="EMS5" s="72"/>
      <c r="EMT5" s="72"/>
      <c r="EMU5" s="72"/>
      <c r="EMV5" s="72"/>
      <c r="EMW5" s="72"/>
      <c r="EMX5" s="72"/>
      <c r="EMY5" s="72"/>
      <c r="EMZ5" s="72"/>
      <c r="ENA5" s="72"/>
      <c r="ENB5" s="72"/>
      <c r="ENC5" s="72"/>
      <c r="END5" s="72"/>
      <c r="ENE5" s="72"/>
      <c r="ENF5" s="72"/>
      <c r="ENG5" s="72"/>
      <c r="ENH5" s="72"/>
      <c r="ENI5" s="72"/>
      <c r="ENJ5" s="72"/>
      <c r="ENK5" s="72"/>
      <c r="ENL5" s="72"/>
      <c r="ENM5" s="72"/>
      <c r="ENN5" s="72"/>
      <c r="ENO5" s="72"/>
      <c r="ENP5" s="72"/>
      <c r="ENQ5" s="72"/>
      <c r="ENR5" s="72"/>
      <c r="ENS5" s="72"/>
      <c r="ENT5" s="72"/>
      <c r="ENU5" s="72"/>
      <c r="ENV5" s="72"/>
      <c r="ENW5" s="72"/>
      <c r="ENX5" s="72"/>
      <c r="ENY5" s="72"/>
      <c r="ENZ5" s="72"/>
      <c r="EOA5" s="72"/>
      <c r="EOB5" s="72"/>
      <c r="EOC5" s="72"/>
      <c r="EOD5" s="72"/>
      <c r="EOE5" s="72"/>
      <c r="EOF5" s="72"/>
      <c r="EOG5" s="72"/>
      <c r="EOH5" s="72"/>
      <c r="EOI5" s="72"/>
      <c r="EOJ5" s="72"/>
      <c r="EOK5" s="72"/>
      <c r="EOL5" s="72"/>
      <c r="EOM5" s="72"/>
      <c r="EON5" s="72"/>
      <c r="EOO5" s="72"/>
      <c r="EOP5" s="72"/>
      <c r="EOQ5" s="72"/>
      <c r="EOR5" s="72"/>
      <c r="EOS5" s="72"/>
      <c r="EOT5" s="72"/>
      <c r="EOU5" s="72"/>
      <c r="EOV5" s="72"/>
      <c r="EOW5" s="72"/>
      <c r="EOX5" s="72"/>
      <c r="EOY5" s="72"/>
      <c r="EOZ5" s="72"/>
      <c r="EPA5" s="72"/>
      <c r="EPB5" s="72"/>
      <c r="EPC5" s="72"/>
      <c r="EPD5" s="72"/>
      <c r="EPE5" s="72"/>
      <c r="EPF5" s="72"/>
      <c r="EPG5" s="72"/>
      <c r="EPH5" s="72"/>
      <c r="EPI5" s="72"/>
      <c r="EPJ5" s="72"/>
      <c r="EPK5" s="72"/>
      <c r="EPL5" s="72"/>
      <c r="EPM5" s="72"/>
      <c r="EPN5" s="72"/>
      <c r="EPO5" s="72"/>
      <c r="EPP5" s="72"/>
      <c r="EPQ5" s="72"/>
      <c r="EPR5" s="72"/>
      <c r="EPS5" s="72"/>
      <c r="EPT5" s="72"/>
      <c r="EPU5" s="72"/>
      <c r="EPV5" s="72"/>
      <c r="EPW5" s="72"/>
      <c r="EPX5" s="72"/>
      <c r="EPY5" s="72"/>
      <c r="EPZ5" s="72"/>
      <c r="EQA5" s="72"/>
      <c r="EQB5" s="72"/>
      <c r="EQC5" s="72"/>
      <c r="EQD5" s="72"/>
      <c r="EQE5" s="72"/>
      <c r="EQF5" s="72"/>
      <c r="EQG5" s="72"/>
      <c r="EQH5" s="72"/>
      <c r="EQI5" s="72"/>
      <c r="EQJ5" s="72"/>
      <c r="EQK5" s="72"/>
      <c r="EQL5" s="72"/>
      <c r="EQM5" s="72"/>
      <c r="EQN5" s="72"/>
      <c r="EQO5" s="72"/>
      <c r="EQP5" s="72"/>
      <c r="EQQ5" s="72"/>
      <c r="EQR5" s="72"/>
      <c r="EQS5" s="72"/>
      <c r="EQT5" s="72"/>
      <c r="EQU5" s="72"/>
      <c r="EQV5" s="72"/>
      <c r="EQW5" s="72"/>
      <c r="EQX5" s="72"/>
      <c r="EQY5" s="72"/>
      <c r="EQZ5" s="72"/>
      <c r="ERA5" s="72"/>
      <c r="ERB5" s="72"/>
      <c r="ERC5" s="72"/>
      <c r="ERD5" s="72"/>
      <c r="ERE5" s="72"/>
      <c r="ERF5" s="72"/>
      <c r="ERG5" s="72"/>
      <c r="ERH5" s="72"/>
      <c r="ERI5" s="72"/>
      <c r="ERJ5" s="72"/>
      <c r="ERK5" s="72"/>
      <c r="ERL5" s="72"/>
      <c r="ERM5" s="72"/>
      <c r="ERN5" s="72"/>
      <c r="ERO5" s="72"/>
      <c r="ERP5" s="72"/>
      <c r="ERQ5" s="72"/>
      <c r="ERR5" s="72"/>
      <c r="ERS5" s="72"/>
      <c r="ERT5" s="72"/>
      <c r="ERU5" s="72"/>
      <c r="ERV5" s="72"/>
      <c r="ERW5" s="72"/>
      <c r="ERX5" s="72"/>
      <c r="ERY5" s="72"/>
      <c r="ERZ5" s="72"/>
      <c r="ESA5" s="72"/>
      <c r="ESB5" s="72"/>
      <c r="ESC5" s="72"/>
      <c r="ESD5" s="72"/>
      <c r="ESE5" s="72"/>
      <c r="ESF5" s="72"/>
      <c r="ESG5" s="72"/>
      <c r="ESH5" s="72"/>
      <c r="ESI5" s="72"/>
      <c r="ESJ5" s="72"/>
      <c r="ESK5" s="72"/>
      <c r="ESL5" s="72"/>
      <c r="ESM5" s="72"/>
      <c r="ESN5" s="72"/>
      <c r="ESO5" s="72"/>
      <c r="ESP5" s="72"/>
      <c r="ESQ5" s="72"/>
      <c r="ESR5" s="72"/>
      <c r="ESS5" s="72"/>
      <c r="EST5" s="72"/>
      <c r="ESU5" s="72"/>
      <c r="ESV5" s="72"/>
      <c r="ESW5" s="72"/>
      <c r="ESX5" s="72"/>
      <c r="ESY5" s="72"/>
      <c r="ESZ5" s="72"/>
      <c r="ETA5" s="72"/>
      <c r="ETB5" s="72"/>
      <c r="ETC5" s="72"/>
      <c r="ETD5" s="72"/>
      <c r="ETE5" s="72"/>
      <c r="ETF5" s="72"/>
      <c r="ETG5" s="72"/>
      <c r="ETH5" s="72"/>
      <c r="ETI5" s="72"/>
      <c r="ETJ5" s="72"/>
      <c r="ETK5" s="72"/>
      <c r="ETL5" s="72"/>
      <c r="ETM5" s="72"/>
      <c r="ETN5" s="72"/>
      <c r="ETO5" s="72"/>
      <c r="ETP5" s="72"/>
      <c r="ETQ5" s="72"/>
      <c r="ETR5" s="72"/>
      <c r="ETS5" s="72"/>
      <c r="ETT5" s="72"/>
      <c r="ETU5" s="72"/>
      <c r="ETV5" s="72"/>
      <c r="ETW5" s="72"/>
      <c r="ETX5" s="72"/>
      <c r="ETY5" s="72"/>
      <c r="ETZ5" s="72"/>
      <c r="EUA5" s="72"/>
      <c r="EUB5" s="72"/>
      <c r="EUC5" s="72"/>
      <c r="EUD5" s="72"/>
      <c r="EUE5" s="72"/>
      <c r="EUF5" s="72"/>
      <c r="EUG5" s="72"/>
      <c r="EUH5" s="72"/>
      <c r="EUI5" s="72"/>
      <c r="EUJ5" s="72"/>
      <c r="EUK5" s="72"/>
      <c r="EUL5" s="72"/>
      <c r="EUM5" s="72"/>
      <c r="EUN5" s="72"/>
      <c r="EUO5" s="72"/>
      <c r="EUP5" s="72"/>
      <c r="EUQ5" s="72"/>
      <c r="EUR5" s="72"/>
      <c r="EUS5" s="72"/>
      <c r="EUT5" s="72"/>
      <c r="EUU5" s="72"/>
      <c r="EUV5" s="72"/>
      <c r="EUW5" s="72"/>
      <c r="EUX5" s="72"/>
      <c r="EUY5" s="72"/>
      <c r="EUZ5" s="72"/>
      <c r="EVA5" s="72"/>
      <c r="EVB5" s="72"/>
      <c r="EVC5" s="72"/>
      <c r="EVD5" s="72"/>
      <c r="EVE5" s="72"/>
      <c r="EVF5" s="72"/>
      <c r="EVG5" s="72"/>
      <c r="EVH5" s="72"/>
      <c r="EVI5" s="72"/>
      <c r="EVJ5" s="72"/>
      <c r="EVK5" s="72"/>
      <c r="EVL5" s="72"/>
      <c r="EVM5" s="72"/>
      <c r="EVN5" s="72"/>
      <c r="EVO5" s="72"/>
      <c r="EVP5" s="72"/>
      <c r="EVQ5" s="72"/>
      <c r="EVR5" s="72"/>
      <c r="EVS5" s="72"/>
      <c r="EVT5" s="72"/>
      <c r="EVU5" s="72"/>
      <c r="EVV5" s="72"/>
      <c r="EVW5" s="72"/>
      <c r="EVX5" s="72"/>
      <c r="EVY5" s="72"/>
      <c r="EVZ5" s="72"/>
      <c r="EWA5" s="72"/>
      <c r="EWB5" s="72"/>
      <c r="EWC5" s="72"/>
      <c r="EWD5" s="72"/>
      <c r="EWE5" s="72"/>
      <c r="EWF5" s="72"/>
      <c r="EWG5" s="72"/>
      <c r="EWH5" s="72"/>
      <c r="EWI5" s="72"/>
      <c r="EWJ5" s="72"/>
      <c r="EWK5" s="72"/>
      <c r="EWL5" s="72"/>
      <c r="EWM5" s="72"/>
      <c r="EWN5" s="72"/>
      <c r="EWO5" s="72"/>
      <c r="EWP5" s="72"/>
      <c r="EWQ5" s="72"/>
      <c r="EWR5" s="72"/>
      <c r="EWS5" s="72"/>
      <c r="EWT5" s="72"/>
      <c r="EWU5" s="72"/>
      <c r="EWV5" s="72"/>
      <c r="EWW5" s="72"/>
      <c r="EWX5" s="72"/>
      <c r="EWY5" s="72"/>
      <c r="EWZ5" s="72"/>
      <c r="EXA5" s="72"/>
      <c r="EXB5" s="72"/>
      <c r="EXC5" s="72"/>
      <c r="EXD5" s="72"/>
      <c r="EXE5" s="72"/>
      <c r="EXF5" s="72"/>
      <c r="EXG5" s="72"/>
      <c r="EXH5" s="72"/>
      <c r="EXI5" s="72"/>
      <c r="EXJ5" s="72"/>
      <c r="EXK5" s="72"/>
      <c r="EXL5" s="72"/>
      <c r="EXM5" s="72"/>
      <c r="EXN5" s="72"/>
      <c r="EXO5" s="72"/>
      <c r="EXP5" s="72"/>
      <c r="EXQ5" s="72"/>
      <c r="EXR5" s="72"/>
      <c r="EXS5" s="72"/>
      <c r="EXT5" s="72"/>
      <c r="EXU5" s="72"/>
      <c r="EXV5" s="72"/>
      <c r="EXW5" s="72"/>
      <c r="EXX5" s="72"/>
      <c r="EXY5" s="72"/>
      <c r="EXZ5" s="72"/>
      <c r="EYA5" s="72"/>
      <c r="EYB5" s="72"/>
      <c r="EYC5" s="72"/>
      <c r="EYD5" s="72"/>
      <c r="EYE5" s="72"/>
      <c r="EYF5" s="72"/>
      <c r="EYG5" s="72"/>
      <c r="EYH5" s="72"/>
      <c r="EYI5" s="72"/>
      <c r="EYJ5" s="72"/>
      <c r="EYK5" s="72"/>
      <c r="EYL5" s="72"/>
      <c r="EYM5" s="72"/>
      <c r="EYN5" s="72"/>
      <c r="EYO5" s="72"/>
      <c r="EYP5" s="72"/>
      <c r="EYQ5" s="72"/>
      <c r="EYR5" s="72"/>
      <c r="EYS5" s="72"/>
      <c r="EYT5" s="72"/>
      <c r="EYU5" s="72"/>
      <c r="EYV5" s="72"/>
      <c r="EYW5" s="72"/>
      <c r="EYX5" s="72"/>
      <c r="EYY5" s="72"/>
      <c r="EYZ5" s="72"/>
      <c r="EZA5" s="72"/>
      <c r="EZB5" s="72"/>
      <c r="EZC5" s="72"/>
      <c r="EZD5" s="72"/>
      <c r="EZE5" s="72"/>
      <c r="EZF5" s="72"/>
      <c r="EZG5" s="72"/>
      <c r="EZH5" s="72"/>
      <c r="EZI5" s="72"/>
      <c r="EZJ5" s="72"/>
      <c r="EZK5" s="72"/>
      <c r="EZL5" s="72"/>
      <c r="EZM5" s="72"/>
      <c r="EZN5" s="72"/>
      <c r="EZO5" s="72"/>
      <c r="EZP5" s="72"/>
      <c r="EZQ5" s="72"/>
      <c r="EZR5" s="72"/>
      <c r="EZS5" s="72"/>
      <c r="EZT5" s="72"/>
      <c r="EZU5" s="72"/>
      <c r="EZV5" s="72"/>
      <c r="EZW5" s="72"/>
      <c r="EZX5" s="72"/>
      <c r="EZY5" s="72"/>
      <c r="EZZ5" s="72"/>
      <c r="FAA5" s="72"/>
      <c r="FAB5" s="72"/>
      <c r="FAC5" s="72"/>
      <c r="FAD5" s="72"/>
      <c r="FAE5" s="72"/>
      <c r="FAF5" s="72"/>
      <c r="FAG5" s="72"/>
      <c r="FAH5" s="72"/>
      <c r="FAI5" s="72"/>
      <c r="FAJ5" s="72"/>
      <c r="FAK5" s="72"/>
      <c r="FAL5" s="72"/>
      <c r="FAM5" s="72"/>
      <c r="FAN5" s="72"/>
      <c r="FAO5" s="72"/>
      <c r="FAP5" s="72"/>
      <c r="FAQ5" s="72"/>
      <c r="FAR5" s="72"/>
      <c r="FAS5" s="72"/>
      <c r="FAT5" s="72"/>
      <c r="FAU5" s="72"/>
      <c r="FAV5" s="72"/>
      <c r="FAW5" s="72"/>
      <c r="FAX5" s="72"/>
      <c r="FAY5" s="72"/>
      <c r="FAZ5" s="72"/>
      <c r="FBA5" s="72"/>
      <c r="FBB5" s="72"/>
      <c r="FBC5" s="72"/>
      <c r="FBD5" s="72"/>
      <c r="FBE5" s="72"/>
      <c r="FBF5" s="72"/>
      <c r="FBG5" s="72"/>
      <c r="FBH5" s="72"/>
      <c r="FBI5" s="72"/>
      <c r="FBJ5" s="72"/>
      <c r="FBK5" s="72"/>
      <c r="FBL5" s="72"/>
      <c r="FBM5" s="72"/>
      <c r="FBN5" s="72"/>
      <c r="FBO5" s="72"/>
      <c r="FBP5" s="72"/>
      <c r="FBQ5" s="72"/>
      <c r="FBR5" s="72"/>
      <c r="FBS5" s="72"/>
      <c r="FBT5" s="72"/>
      <c r="FBU5" s="72"/>
      <c r="FBV5" s="72"/>
      <c r="FBW5" s="72"/>
      <c r="FBX5" s="72"/>
      <c r="FBY5" s="72"/>
      <c r="FBZ5" s="72"/>
      <c r="FCA5" s="72"/>
      <c r="FCB5" s="72"/>
      <c r="FCC5" s="72"/>
      <c r="FCD5" s="72"/>
      <c r="FCE5" s="72"/>
      <c r="FCF5" s="72"/>
      <c r="FCG5" s="72"/>
      <c r="FCH5" s="72"/>
      <c r="FCI5" s="72"/>
      <c r="FCJ5" s="72"/>
      <c r="FCK5" s="72"/>
      <c r="FCL5" s="72"/>
      <c r="FCM5" s="72"/>
      <c r="FCN5" s="72"/>
      <c r="FCO5" s="72"/>
      <c r="FCP5" s="72"/>
      <c r="FCQ5" s="72"/>
      <c r="FCR5" s="72"/>
      <c r="FCS5" s="72"/>
      <c r="FCT5" s="72"/>
      <c r="FCU5" s="72"/>
      <c r="FCV5" s="72"/>
      <c r="FCW5" s="72"/>
      <c r="FCX5" s="72"/>
      <c r="FCY5" s="72"/>
      <c r="FCZ5" s="72"/>
      <c r="FDA5" s="72"/>
      <c r="FDB5" s="72"/>
      <c r="FDC5" s="72"/>
      <c r="FDD5" s="72"/>
      <c r="FDE5" s="72"/>
      <c r="FDF5" s="72"/>
      <c r="FDG5" s="72"/>
      <c r="FDH5" s="72"/>
      <c r="FDI5" s="72"/>
      <c r="FDJ5" s="72"/>
      <c r="FDK5" s="72"/>
      <c r="FDL5" s="72"/>
      <c r="FDM5" s="72"/>
      <c r="FDN5" s="72"/>
      <c r="FDO5" s="72"/>
      <c r="FDP5" s="72"/>
      <c r="FDQ5" s="72"/>
      <c r="FDR5" s="72"/>
      <c r="FDS5" s="72"/>
      <c r="FDT5" s="72"/>
      <c r="FDU5" s="72"/>
      <c r="FDV5" s="72"/>
      <c r="FDW5" s="72"/>
      <c r="FDX5" s="72"/>
      <c r="FDY5" s="72"/>
      <c r="FDZ5" s="72"/>
      <c r="FEA5" s="72"/>
      <c r="FEB5" s="72"/>
      <c r="FEC5" s="72"/>
      <c r="FED5" s="72"/>
      <c r="FEE5" s="72"/>
      <c r="FEF5" s="72"/>
      <c r="FEG5" s="72"/>
      <c r="FEH5" s="72"/>
      <c r="FEI5" s="72"/>
      <c r="FEJ5" s="72"/>
      <c r="FEK5" s="72"/>
      <c r="FEL5" s="72"/>
      <c r="FEM5" s="72"/>
      <c r="FEN5" s="72"/>
      <c r="FEO5" s="72"/>
      <c r="FEP5" s="72"/>
      <c r="FEQ5" s="72"/>
      <c r="FER5" s="72"/>
      <c r="FES5" s="72"/>
      <c r="FET5" s="72"/>
      <c r="FEU5" s="72"/>
      <c r="FEV5" s="72"/>
      <c r="FEW5" s="72"/>
      <c r="FEX5" s="72"/>
      <c r="FEY5" s="72"/>
      <c r="FEZ5" s="72"/>
      <c r="FFA5" s="72"/>
      <c r="FFB5" s="72"/>
      <c r="FFC5" s="72"/>
      <c r="FFD5" s="72"/>
      <c r="FFE5" s="72"/>
      <c r="FFF5" s="72"/>
      <c r="FFG5" s="72"/>
      <c r="FFH5" s="72"/>
      <c r="FFI5" s="72"/>
      <c r="FFJ5" s="72"/>
      <c r="FFK5" s="72"/>
      <c r="FFL5" s="72"/>
      <c r="FFM5" s="72"/>
      <c r="FFN5" s="72"/>
      <c r="FFO5" s="72"/>
      <c r="FFP5" s="72"/>
      <c r="FFQ5" s="72"/>
      <c r="FFR5" s="72"/>
      <c r="FFS5" s="72"/>
      <c r="FFT5" s="72"/>
      <c r="FFU5" s="72"/>
      <c r="FFV5" s="72"/>
      <c r="FFW5" s="72"/>
      <c r="FFX5" s="72"/>
      <c r="FFY5" s="72"/>
      <c r="FFZ5" s="72"/>
      <c r="FGA5" s="72"/>
      <c r="FGB5" s="72"/>
      <c r="FGC5" s="72"/>
      <c r="FGD5" s="72"/>
      <c r="FGE5" s="72"/>
      <c r="FGF5" s="72"/>
      <c r="FGG5" s="72"/>
      <c r="FGH5" s="72"/>
      <c r="FGI5" s="72"/>
      <c r="FGJ5" s="72"/>
      <c r="FGK5" s="72"/>
      <c r="FGL5" s="72"/>
      <c r="FGM5" s="72"/>
      <c r="FGN5" s="72"/>
      <c r="FGO5" s="72"/>
      <c r="FGP5" s="72"/>
      <c r="FGQ5" s="72"/>
      <c r="FGR5" s="72"/>
      <c r="FGS5" s="72"/>
      <c r="FGT5" s="72"/>
      <c r="FGU5" s="72"/>
      <c r="FGV5" s="72"/>
      <c r="FGW5" s="72"/>
      <c r="FGX5" s="72"/>
      <c r="FGY5" s="72"/>
      <c r="FGZ5" s="72"/>
      <c r="FHA5" s="72"/>
      <c r="FHB5" s="72"/>
      <c r="FHC5" s="72"/>
      <c r="FHD5" s="72"/>
      <c r="FHE5" s="72"/>
      <c r="FHF5" s="72"/>
      <c r="FHG5" s="72"/>
      <c r="FHH5" s="72"/>
      <c r="FHI5" s="72"/>
      <c r="FHJ5" s="72"/>
      <c r="FHK5" s="72"/>
      <c r="FHL5" s="72"/>
      <c r="FHM5" s="72"/>
      <c r="FHN5" s="72"/>
      <c r="FHO5" s="72"/>
      <c r="FHP5" s="72"/>
      <c r="FHQ5" s="72"/>
      <c r="FHR5" s="72"/>
      <c r="FHS5" s="72"/>
      <c r="FHT5" s="72"/>
      <c r="FHU5" s="72"/>
      <c r="FHV5" s="72"/>
      <c r="FHW5" s="72"/>
      <c r="FHX5" s="72"/>
      <c r="FHY5" s="72"/>
      <c r="FHZ5" s="72"/>
      <c r="FIA5" s="72"/>
      <c r="FIB5" s="72"/>
      <c r="FIC5" s="72"/>
      <c r="FID5" s="72"/>
      <c r="FIE5" s="72"/>
      <c r="FIF5" s="72"/>
      <c r="FIG5" s="72"/>
      <c r="FIH5" s="72"/>
      <c r="FII5" s="72"/>
      <c r="FIJ5" s="72"/>
      <c r="FIK5" s="72"/>
      <c r="FIL5" s="72"/>
      <c r="FIM5" s="72"/>
      <c r="FIN5" s="72"/>
      <c r="FIO5" s="72"/>
      <c r="FIP5" s="72"/>
      <c r="FIQ5" s="72"/>
      <c r="FIR5" s="72"/>
      <c r="FIS5" s="72"/>
      <c r="FIT5" s="72"/>
      <c r="FIU5" s="72"/>
      <c r="FIV5" s="72"/>
      <c r="FIW5" s="72"/>
      <c r="FIX5" s="72"/>
      <c r="FIY5" s="72"/>
      <c r="FIZ5" s="72"/>
      <c r="FJA5" s="72"/>
      <c r="FJB5" s="72"/>
      <c r="FJC5" s="72"/>
      <c r="FJD5" s="72"/>
      <c r="FJE5" s="72"/>
      <c r="FJF5" s="72"/>
      <c r="FJG5" s="72"/>
      <c r="FJH5" s="72"/>
      <c r="FJI5" s="72"/>
      <c r="FJJ5" s="72"/>
      <c r="FJK5" s="72"/>
      <c r="FJL5" s="72"/>
      <c r="FJM5" s="72"/>
      <c r="FJN5" s="72"/>
      <c r="FJO5" s="72"/>
      <c r="FJP5" s="72"/>
      <c r="FJQ5" s="72"/>
      <c r="FJR5" s="72"/>
      <c r="FJS5" s="72"/>
      <c r="FJT5" s="72"/>
      <c r="FJU5" s="72"/>
      <c r="FJV5" s="72"/>
      <c r="FJW5" s="72"/>
      <c r="FJX5" s="72"/>
      <c r="FJY5" s="72"/>
      <c r="FJZ5" s="72"/>
      <c r="FKA5" s="72"/>
      <c r="FKB5" s="72"/>
      <c r="FKC5" s="72"/>
      <c r="FKD5" s="72"/>
      <c r="FKE5" s="72"/>
      <c r="FKF5" s="72"/>
      <c r="FKG5" s="72"/>
      <c r="FKH5" s="72"/>
      <c r="FKI5" s="72"/>
      <c r="FKJ5" s="72"/>
      <c r="FKK5" s="72"/>
      <c r="FKL5" s="72"/>
      <c r="FKM5" s="72"/>
      <c r="FKN5" s="72"/>
      <c r="FKO5" s="72"/>
      <c r="FKP5" s="72"/>
      <c r="FKQ5" s="72"/>
      <c r="FKR5" s="72"/>
      <c r="FKS5" s="72"/>
      <c r="FKT5" s="72"/>
      <c r="FKU5" s="72"/>
      <c r="FKV5" s="72"/>
      <c r="FKW5" s="72"/>
      <c r="FKX5" s="72"/>
      <c r="FKY5" s="72"/>
      <c r="FKZ5" s="72"/>
      <c r="FLA5" s="72"/>
      <c r="FLB5" s="72"/>
      <c r="FLC5" s="72"/>
      <c r="FLD5" s="72"/>
      <c r="FLE5" s="72"/>
      <c r="FLF5" s="72"/>
      <c r="FLG5" s="72"/>
      <c r="FLH5" s="72"/>
      <c r="FLI5" s="72"/>
      <c r="FLJ5" s="72"/>
      <c r="FLK5" s="72"/>
      <c r="FLL5" s="72"/>
      <c r="FLM5" s="72"/>
      <c r="FLN5" s="72"/>
      <c r="FLO5" s="72"/>
      <c r="FLP5" s="72"/>
      <c r="FLQ5" s="72"/>
      <c r="FLR5" s="72"/>
      <c r="FLS5" s="72"/>
      <c r="FLT5" s="72"/>
      <c r="FLU5" s="72"/>
      <c r="FLV5" s="72"/>
      <c r="FLW5" s="72"/>
      <c r="FLX5" s="72"/>
      <c r="FLY5" s="72"/>
      <c r="FLZ5" s="72"/>
      <c r="FMA5" s="72"/>
      <c r="FMB5" s="72"/>
      <c r="FMC5" s="72"/>
      <c r="FMD5" s="72"/>
      <c r="FME5" s="72"/>
      <c r="FMF5" s="72"/>
      <c r="FMG5" s="72"/>
      <c r="FMH5" s="72"/>
      <c r="FMI5" s="72"/>
      <c r="FMJ5" s="72"/>
      <c r="FMK5" s="72"/>
      <c r="FML5" s="72"/>
      <c r="FMM5" s="72"/>
      <c r="FMN5" s="72"/>
      <c r="FMO5" s="72"/>
      <c r="FMP5" s="72"/>
      <c r="FMQ5" s="72"/>
      <c r="FMR5" s="72"/>
      <c r="FMS5" s="72"/>
      <c r="FMT5" s="72"/>
      <c r="FMU5" s="72"/>
      <c r="FMV5" s="72"/>
      <c r="FMW5" s="72"/>
      <c r="FMX5" s="72"/>
      <c r="FMY5" s="72"/>
      <c r="FMZ5" s="72"/>
      <c r="FNA5" s="72"/>
      <c r="FNB5" s="72"/>
      <c r="FNC5" s="72"/>
      <c r="FND5" s="72"/>
      <c r="FNE5" s="72"/>
      <c r="FNF5" s="72"/>
      <c r="FNG5" s="72"/>
      <c r="FNH5" s="72"/>
      <c r="FNI5" s="72"/>
      <c r="FNJ5" s="72"/>
      <c r="FNK5" s="72"/>
      <c r="FNL5" s="72"/>
      <c r="FNM5" s="72"/>
      <c r="FNN5" s="72"/>
      <c r="FNO5" s="72"/>
      <c r="FNP5" s="72"/>
      <c r="FNQ5" s="72"/>
      <c r="FNR5" s="72"/>
      <c r="FNS5" s="72"/>
      <c r="FNT5" s="72"/>
      <c r="FNU5" s="72"/>
      <c r="FNV5" s="72"/>
      <c r="FNW5" s="72"/>
      <c r="FNX5" s="72"/>
      <c r="FNY5" s="72"/>
      <c r="FNZ5" s="72"/>
      <c r="FOA5" s="72"/>
      <c r="FOB5" s="72"/>
      <c r="FOC5" s="72"/>
      <c r="FOD5" s="72"/>
      <c r="FOE5" s="72"/>
      <c r="FOF5" s="72"/>
      <c r="FOG5" s="72"/>
      <c r="FOH5" s="72"/>
      <c r="FOI5" s="72"/>
      <c r="FOJ5" s="72"/>
      <c r="FOK5" s="72"/>
      <c r="FOL5" s="72"/>
      <c r="FOM5" s="72"/>
      <c r="FON5" s="72"/>
      <c r="FOO5" s="72"/>
      <c r="FOP5" s="72"/>
      <c r="FOQ5" s="72"/>
      <c r="FOR5" s="72"/>
      <c r="FOS5" s="72"/>
      <c r="FOT5" s="72"/>
      <c r="FOU5" s="72"/>
      <c r="FOV5" s="72"/>
      <c r="FOW5" s="72"/>
      <c r="FOX5" s="72"/>
      <c r="FOY5" s="72"/>
      <c r="FOZ5" s="72"/>
      <c r="FPA5" s="72"/>
      <c r="FPB5" s="72"/>
      <c r="FPC5" s="72"/>
      <c r="FPD5" s="72"/>
      <c r="FPE5" s="72"/>
      <c r="FPF5" s="72"/>
      <c r="FPG5" s="72"/>
      <c r="FPH5" s="72"/>
      <c r="FPI5" s="72"/>
      <c r="FPJ5" s="72"/>
      <c r="FPK5" s="72"/>
      <c r="FPL5" s="72"/>
      <c r="FPM5" s="72"/>
      <c r="FPN5" s="72"/>
      <c r="FPO5" s="72"/>
      <c r="FPP5" s="72"/>
      <c r="FPQ5" s="72"/>
      <c r="FPR5" s="72"/>
      <c r="FPS5" s="72"/>
      <c r="FPT5" s="72"/>
      <c r="FPU5" s="72"/>
      <c r="FPV5" s="72"/>
      <c r="FPW5" s="72"/>
      <c r="FPX5" s="72"/>
      <c r="FPY5" s="72"/>
      <c r="FPZ5" s="72"/>
      <c r="FQA5" s="72"/>
      <c r="FQB5" s="72"/>
      <c r="FQC5" s="72"/>
      <c r="FQD5" s="72"/>
      <c r="FQE5" s="72"/>
      <c r="FQF5" s="72"/>
      <c r="FQG5" s="72"/>
      <c r="FQH5" s="72"/>
      <c r="FQI5" s="72"/>
      <c r="FQJ5" s="72"/>
      <c r="FQK5" s="72"/>
      <c r="FQL5" s="72"/>
      <c r="FQM5" s="72"/>
      <c r="FQN5" s="72"/>
      <c r="FQO5" s="72"/>
      <c r="FQP5" s="72"/>
      <c r="FQQ5" s="72"/>
      <c r="FQR5" s="72"/>
      <c r="FQS5" s="72"/>
      <c r="FQT5" s="72"/>
      <c r="FQU5" s="72"/>
      <c r="FQV5" s="72"/>
      <c r="FQW5" s="72"/>
      <c r="FQX5" s="72"/>
      <c r="FQY5" s="72"/>
      <c r="FQZ5" s="72"/>
      <c r="FRA5" s="72"/>
      <c r="FRB5" s="72"/>
      <c r="FRC5" s="72"/>
      <c r="FRD5" s="72"/>
      <c r="FRE5" s="72"/>
      <c r="FRF5" s="72"/>
      <c r="FRG5" s="72"/>
      <c r="FRH5" s="72"/>
      <c r="FRI5" s="72"/>
      <c r="FRJ5" s="72"/>
      <c r="FRK5" s="72"/>
      <c r="FRL5" s="72"/>
      <c r="FRM5" s="72"/>
      <c r="FRN5" s="72"/>
      <c r="FRO5" s="72"/>
      <c r="FRP5" s="72"/>
      <c r="FRQ5" s="72"/>
      <c r="FRR5" s="72"/>
      <c r="FRS5" s="72"/>
      <c r="FRT5" s="72"/>
      <c r="FRU5" s="72"/>
      <c r="FRV5" s="72"/>
      <c r="FRW5" s="72"/>
      <c r="FRX5" s="72"/>
      <c r="FRY5" s="72"/>
      <c r="FRZ5" s="72"/>
      <c r="FSA5" s="72"/>
      <c r="FSB5" s="72"/>
      <c r="FSC5" s="72"/>
      <c r="FSD5" s="72"/>
      <c r="FSE5" s="72"/>
      <c r="FSF5" s="72"/>
      <c r="FSG5" s="72"/>
      <c r="FSH5" s="72"/>
      <c r="FSI5" s="72"/>
      <c r="FSJ5" s="72"/>
      <c r="FSK5" s="72"/>
      <c r="FSL5" s="72"/>
      <c r="FSM5" s="72"/>
      <c r="FSN5" s="72"/>
      <c r="FSO5" s="72"/>
      <c r="FSP5" s="72"/>
      <c r="FSQ5" s="72"/>
      <c r="FSR5" s="72"/>
      <c r="FSS5" s="72"/>
      <c r="FST5" s="72"/>
      <c r="FSU5" s="72"/>
      <c r="FSV5" s="72"/>
      <c r="FSW5" s="72"/>
      <c r="FSX5" s="72"/>
      <c r="FSY5" s="72"/>
      <c r="FSZ5" s="72"/>
      <c r="FTA5" s="72"/>
      <c r="FTB5" s="72"/>
      <c r="FTC5" s="72"/>
      <c r="FTD5" s="72"/>
      <c r="FTE5" s="72"/>
      <c r="FTF5" s="72"/>
      <c r="FTG5" s="72"/>
      <c r="FTH5" s="72"/>
      <c r="FTI5" s="72"/>
      <c r="FTJ5" s="72"/>
      <c r="FTK5" s="72"/>
      <c r="FTL5" s="72"/>
      <c r="FTM5" s="72"/>
      <c r="FTN5" s="72"/>
      <c r="FTO5" s="72"/>
      <c r="FTP5" s="72"/>
      <c r="FTQ5" s="72"/>
      <c r="FTR5" s="72"/>
      <c r="FTS5" s="72"/>
      <c r="FTT5" s="72"/>
      <c r="FTU5" s="72"/>
      <c r="FTV5" s="72"/>
      <c r="FTW5" s="72"/>
      <c r="FTX5" s="72"/>
      <c r="FTY5" s="72"/>
      <c r="FTZ5" s="72"/>
      <c r="FUA5" s="72"/>
      <c r="FUB5" s="72"/>
      <c r="FUC5" s="72"/>
      <c r="FUD5" s="72"/>
      <c r="FUE5" s="72"/>
      <c r="FUF5" s="72"/>
      <c r="FUG5" s="72"/>
      <c r="FUH5" s="72"/>
      <c r="FUI5" s="72"/>
      <c r="FUJ5" s="72"/>
      <c r="FUK5" s="72"/>
      <c r="FUL5" s="72"/>
      <c r="FUM5" s="72"/>
      <c r="FUN5" s="72"/>
      <c r="FUO5" s="72"/>
      <c r="FUP5" s="72"/>
      <c r="FUQ5" s="72"/>
      <c r="FUR5" s="72"/>
      <c r="FUS5" s="72"/>
      <c r="FUT5" s="72"/>
      <c r="FUU5" s="72"/>
      <c r="FUV5" s="72"/>
      <c r="FUW5" s="72"/>
      <c r="FUX5" s="72"/>
      <c r="FUY5" s="72"/>
      <c r="FUZ5" s="72"/>
      <c r="FVA5" s="72"/>
      <c r="FVB5" s="72"/>
      <c r="FVC5" s="72"/>
      <c r="FVD5" s="72"/>
      <c r="FVE5" s="72"/>
      <c r="FVF5" s="72"/>
      <c r="FVG5" s="72"/>
      <c r="FVH5" s="72"/>
      <c r="FVI5" s="72"/>
      <c r="FVJ5" s="72"/>
      <c r="FVK5" s="72"/>
      <c r="FVL5" s="72"/>
      <c r="FVM5" s="72"/>
      <c r="FVN5" s="72"/>
      <c r="FVO5" s="72"/>
      <c r="FVP5" s="72"/>
      <c r="FVQ5" s="72"/>
      <c r="FVR5" s="72"/>
      <c r="FVS5" s="72"/>
      <c r="FVT5" s="72"/>
      <c r="FVU5" s="72"/>
      <c r="FVV5" s="72"/>
      <c r="FVW5" s="72"/>
      <c r="FVX5" s="72"/>
      <c r="FVY5" s="72"/>
      <c r="FVZ5" s="72"/>
      <c r="FWA5" s="72"/>
      <c r="FWB5" s="72"/>
      <c r="FWC5" s="72"/>
      <c r="FWD5" s="72"/>
      <c r="FWE5" s="72"/>
      <c r="FWF5" s="72"/>
      <c r="FWG5" s="72"/>
      <c r="FWH5" s="72"/>
      <c r="FWI5" s="72"/>
      <c r="FWJ5" s="72"/>
      <c r="FWK5" s="72"/>
      <c r="FWL5" s="72"/>
      <c r="FWM5" s="72"/>
      <c r="FWN5" s="72"/>
      <c r="FWO5" s="72"/>
      <c r="FWP5" s="72"/>
      <c r="FWQ5" s="72"/>
      <c r="FWR5" s="72"/>
      <c r="FWS5" s="72"/>
      <c r="FWT5" s="72"/>
      <c r="FWU5" s="72"/>
      <c r="FWV5" s="72"/>
      <c r="FWW5" s="72"/>
      <c r="FWX5" s="72"/>
      <c r="FWY5" s="72"/>
      <c r="FWZ5" s="72"/>
      <c r="FXA5" s="72"/>
      <c r="FXB5" s="72"/>
      <c r="FXC5" s="72"/>
      <c r="FXD5" s="72"/>
      <c r="FXE5" s="72"/>
      <c r="FXF5" s="72"/>
      <c r="FXG5" s="72"/>
      <c r="FXH5" s="72"/>
      <c r="FXI5" s="72"/>
      <c r="FXJ5" s="72"/>
      <c r="FXK5" s="72"/>
      <c r="FXL5" s="72"/>
      <c r="FXM5" s="72"/>
      <c r="FXN5" s="72"/>
      <c r="FXO5" s="72"/>
      <c r="FXP5" s="72"/>
      <c r="FXQ5" s="72"/>
      <c r="FXR5" s="72"/>
      <c r="FXS5" s="72"/>
      <c r="FXT5" s="72"/>
      <c r="FXU5" s="72"/>
      <c r="FXV5" s="72"/>
      <c r="FXW5" s="72"/>
      <c r="FXX5" s="72"/>
      <c r="FXY5" s="72"/>
      <c r="FXZ5" s="72"/>
      <c r="FYA5" s="72"/>
      <c r="FYB5" s="72"/>
      <c r="FYC5" s="72"/>
      <c r="FYD5" s="72"/>
      <c r="FYE5" s="72"/>
      <c r="FYF5" s="72"/>
      <c r="FYG5" s="72"/>
      <c r="FYH5" s="72"/>
      <c r="FYI5" s="72"/>
      <c r="FYJ5" s="72"/>
      <c r="FYK5" s="72"/>
      <c r="FYL5" s="72"/>
      <c r="FYM5" s="72"/>
      <c r="FYN5" s="72"/>
      <c r="FYO5" s="72"/>
      <c r="FYP5" s="72"/>
      <c r="FYQ5" s="72"/>
      <c r="FYR5" s="72"/>
      <c r="FYS5" s="72"/>
      <c r="FYT5" s="72"/>
      <c r="FYU5" s="72"/>
      <c r="FYV5" s="72"/>
      <c r="FYW5" s="72"/>
      <c r="FYX5" s="72"/>
      <c r="FYY5" s="72"/>
      <c r="FYZ5" s="72"/>
      <c r="FZA5" s="72"/>
      <c r="FZB5" s="72"/>
      <c r="FZC5" s="72"/>
      <c r="FZD5" s="72"/>
      <c r="FZE5" s="72"/>
      <c r="FZF5" s="72"/>
      <c r="FZG5" s="72"/>
      <c r="FZH5" s="72"/>
      <c r="FZI5" s="72"/>
      <c r="FZJ5" s="72"/>
      <c r="FZK5" s="72"/>
      <c r="FZL5" s="72"/>
      <c r="FZM5" s="72"/>
      <c r="FZN5" s="72"/>
      <c r="FZO5" s="72"/>
      <c r="FZP5" s="72"/>
      <c r="FZQ5" s="72"/>
      <c r="FZR5" s="72"/>
      <c r="FZS5" s="72"/>
      <c r="FZT5" s="72"/>
      <c r="FZU5" s="72"/>
      <c r="FZV5" s="72"/>
      <c r="FZW5" s="72"/>
      <c r="FZX5" s="72"/>
      <c r="FZY5" s="72"/>
      <c r="FZZ5" s="72"/>
      <c r="GAA5" s="72"/>
      <c r="GAB5" s="72"/>
      <c r="GAC5" s="72"/>
      <c r="GAD5" s="72"/>
      <c r="GAE5" s="72"/>
      <c r="GAF5" s="72"/>
      <c r="GAG5" s="72"/>
      <c r="GAH5" s="72"/>
      <c r="GAI5" s="72"/>
      <c r="GAJ5" s="72"/>
      <c r="GAK5" s="72"/>
      <c r="GAL5" s="72"/>
      <c r="GAM5" s="72"/>
      <c r="GAN5" s="72"/>
      <c r="GAO5" s="72"/>
      <c r="GAP5" s="72"/>
      <c r="GAQ5" s="72"/>
      <c r="GAR5" s="72"/>
      <c r="GAS5" s="72"/>
      <c r="GAT5" s="72"/>
      <c r="GAU5" s="72"/>
      <c r="GAV5" s="72"/>
      <c r="GAW5" s="72"/>
      <c r="GAX5" s="72"/>
      <c r="GAY5" s="72"/>
      <c r="GAZ5" s="72"/>
      <c r="GBA5" s="72"/>
      <c r="GBB5" s="72"/>
      <c r="GBC5" s="72"/>
      <c r="GBD5" s="72"/>
      <c r="GBE5" s="72"/>
      <c r="GBF5" s="72"/>
      <c r="GBG5" s="72"/>
      <c r="GBH5" s="72"/>
      <c r="GBI5" s="72"/>
      <c r="GBJ5" s="72"/>
      <c r="GBK5" s="72"/>
      <c r="GBL5" s="72"/>
      <c r="GBM5" s="72"/>
      <c r="GBN5" s="72"/>
      <c r="GBO5" s="72"/>
      <c r="GBP5" s="72"/>
      <c r="GBQ5" s="72"/>
      <c r="GBR5" s="72"/>
      <c r="GBS5" s="72"/>
      <c r="GBT5" s="72"/>
      <c r="GBU5" s="72"/>
      <c r="GBV5" s="72"/>
      <c r="GBW5" s="72"/>
      <c r="GBX5" s="72"/>
      <c r="GBY5" s="72"/>
      <c r="GBZ5" s="72"/>
      <c r="GCA5" s="72"/>
      <c r="GCB5" s="72"/>
      <c r="GCC5" s="72"/>
      <c r="GCD5" s="72"/>
      <c r="GCE5" s="72"/>
      <c r="GCF5" s="72"/>
      <c r="GCG5" s="72"/>
      <c r="GCH5" s="72"/>
      <c r="GCI5" s="72"/>
      <c r="GCJ5" s="72"/>
      <c r="GCK5" s="72"/>
      <c r="GCL5" s="72"/>
      <c r="GCM5" s="72"/>
      <c r="GCN5" s="72"/>
      <c r="GCO5" s="72"/>
      <c r="GCP5" s="72"/>
      <c r="GCQ5" s="72"/>
      <c r="GCR5" s="72"/>
      <c r="GCS5" s="72"/>
      <c r="GCT5" s="72"/>
      <c r="GCU5" s="72"/>
      <c r="GCV5" s="72"/>
      <c r="GCW5" s="72"/>
      <c r="GCX5" s="72"/>
      <c r="GCY5" s="72"/>
      <c r="GCZ5" s="72"/>
      <c r="GDA5" s="72"/>
      <c r="GDB5" s="72"/>
      <c r="GDC5" s="72"/>
      <c r="GDD5" s="72"/>
      <c r="GDE5" s="72"/>
      <c r="GDF5" s="72"/>
      <c r="GDG5" s="72"/>
      <c r="GDH5" s="72"/>
      <c r="GDI5" s="72"/>
      <c r="GDJ5" s="72"/>
      <c r="GDK5" s="72"/>
      <c r="GDL5" s="72"/>
      <c r="GDM5" s="72"/>
      <c r="GDN5" s="72"/>
      <c r="GDO5" s="72"/>
      <c r="GDP5" s="72"/>
      <c r="GDQ5" s="72"/>
      <c r="GDR5" s="72"/>
      <c r="GDS5" s="72"/>
      <c r="GDT5" s="72"/>
      <c r="GDU5" s="72"/>
      <c r="GDV5" s="72"/>
      <c r="GDW5" s="72"/>
      <c r="GDX5" s="72"/>
      <c r="GDY5" s="72"/>
      <c r="GDZ5" s="72"/>
      <c r="GEA5" s="72"/>
      <c r="GEB5" s="72"/>
      <c r="GEC5" s="72"/>
      <c r="GED5" s="72"/>
      <c r="GEE5" s="72"/>
      <c r="GEF5" s="72"/>
      <c r="GEG5" s="72"/>
      <c r="GEH5" s="72"/>
      <c r="GEI5" s="72"/>
      <c r="GEJ5" s="72"/>
      <c r="GEK5" s="72"/>
      <c r="GEL5" s="72"/>
      <c r="GEM5" s="72"/>
      <c r="GEN5" s="72"/>
      <c r="GEO5" s="72"/>
      <c r="GEP5" s="72"/>
      <c r="GEQ5" s="72"/>
      <c r="GER5" s="72"/>
      <c r="GES5" s="72"/>
      <c r="GET5" s="72"/>
      <c r="GEU5" s="72"/>
      <c r="GEV5" s="72"/>
      <c r="GEW5" s="72"/>
      <c r="GEX5" s="72"/>
      <c r="GEY5" s="72"/>
      <c r="GEZ5" s="72"/>
      <c r="GFA5" s="72"/>
      <c r="GFB5" s="72"/>
      <c r="GFC5" s="72"/>
      <c r="GFD5" s="72"/>
      <c r="GFE5" s="72"/>
      <c r="GFF5" s="72"/>
      <c r="GFG5" s="72"/>
      <c r="GFH5" s="72"/>
      <c r="GFI5" s="72"/>
      <c r="GFJ5" s="72"/>
      <c r="GFK5" s="72"/>
      <c r="GFL5" s="72"/>
      <c r="GFM5" s="72"/>
      <c r="GFN5" s="72"/>
      <c r="GFO5" s="72"/>
      <c r="GFP5" s="72"/>
      <c r="GFQ5" s="72"/>
      <c r="GFR5" s="72"/>
      <c r="GFS5" s="72"/>
      <c r="GFT5" s="72"/>
      <c r="GFU5" s="72"/>
      <c r="GFV5" s="72"/>
      <c r="GFW5" s="72"/>
      <c r="GFX5" s="72"/>
      <c r="GFY5" s="72"/>
      <c r="GFZ5" s="72"/>
      <c r="GGA5" s="72"/>
      <c r="GGB5" s="72"/>
      <c r="GGC5" s="72"/>
      <c r="GGD5" s="72"/>
      <c r="GGE5" s="72"/>
      <c r="GGF5" s="72"/>
      <c r="GGG5" s="72"/>
      <c r="GGH5" s="72"/>
      <c r="GGI5" s="72"/>
      <c r="GGJ5" s="72"/>
      <c r="GGK5" s="72"/>
      <c r="GGL5" s="72"/>
      <c r="GGM5" s="72"/>
      <c r="GGN5" s="72"/>
      <c r="GGO5" s="72"/>
      <c r="GGP5" s="72"/>
      <c r="GGQ5" s="72"/>
      <c r="GGR5" s="72"/>
      <c r="GGS5" s="72"/>
      <c r="GGT5" s="72"/>
      <c r="GGU5" s="72"/>
      <c r="GGV5" s="72"/>
      <c r="GGW5" s="72"/>
      <c r="GGX5" s="72"/>
      <c r="GGY5" s="72"/>
      <c r="GGZ5" s="72"/>
      <c r="GHA5" s="72"/>
      <c r="GHB5" s="72"/>
      <c r="GHC5" s="72"/>
      <c r="GHD5" s="72"/>
      <c r="GHE5" s="72"/>
      <c r="GHF5" s="72"/>
      <c r="GHG5" s="72"/>
      <c r="GHH5" s="72"/>
      <c r="GHI5" s="72"/>
      <c r="GHJ5" s="72"/>
      <c r="GHK5" s="72"/>
      <c r="GHL5" s="72"/>
      <c r="GHM5" s="72"/>
      <c r="GHN5" s="72"/>
      <c r="GHO5" s="72"/>
      <c r="GHP5" s="72"/>
      <c r="GHQ5" s="72"/>
      <c r="GHR5" s="72"/>
      <c r="GHS5" s="72"/>
      <c r="GHT5" s="72"/>
      <c r="GHU5" s="72"/>
      <c r="GHV5" s="72"/>
      <c r="GHW5" s="72"/>
      <c r="GHX5" s="72"/>
      <c r="GHY5" s="72"/>
      <c r="GHZ5" s="72"/>
      <c r="GIA5" s="72"/>
      <c r="GIB5" s="72"/>
      <c r="GIC5" s="72"/>
      <c r="GID5" s="72"/>
      <c r="GIE5" s="72"/>
      <c r="GIF5" s="72"/>
      <c r="GIG5" s="72"/>
      <c r="GIH5" s="72"/>
      <c r="GII5" s="72"/>
      <c r="GIJ5" s="72"/>
      <c r="GIK5" s="72"/>
      <c r="GIL5" s="72"/>
      <c r="GIM5" s="72"/>
      <c r="GIN5" s="72"/>
      <c r="GIO5" s="72"/>
      <c r="GIP5" s="72"/>
      <c r="GIQ5" s="72"/>
      <c r="GIR5" s="72"/>
      <c r="GIS5" s="72"/>
      <c r="GIT5" s="72"/>
      <c r="GIU5" s="72"/>
      <c r="GIV5" s="72"/>
      <c r="GIW5" s="72"/>
      <c r="GIX5" s="72"/>
      <c r="GIY5" s="72"/>
      <c r="GIZ5" s="72"/>
      <c r="GJA5" s="72"/>
      <c r="GJB5" s="72"/>
      <c r="GJC5" s="72"/>
      <c r="GJD5" s="72"/>
      <c r="GJE5" s="72"/>
      <c r="GJF5" s="72"/>
      <c r="GJG5" s="72"/>
      <c r="GJH5" s="72"/>
      <c r="GJI5" s="72"/>
      <c r="GJJ5" s="72"/>
      <c r="GJK5" s="72"/>
      <c r="GJL5" s="72"/>
      <c r="GJM5" s="72"/>
      <c r="GJN5" s="72"/>
      <c r="GJO5" s="72"/>
      <c r="GJP5" s="72"/>
      <c r="GJQ5" s="72"/>
      <c r="GJR5" s="72"/>
      <c r="GJS5" s="72"/>
      <c r="GJT5" s="72"/>
      <c r="GJU5" s="72"/>
      <c r="GJV5" s="72"/>
      <c r="GJW5" s="72"/>
      <c r="GJX5" s="72"/>
      <c r="GJY5" s="72"/>
      <c r="GJZ5" s="72"/>
      <c r="GKA5" s="72"/>
      <c r="GKB5" s="72"/>
      <c r="GKC5" s="72"/>
      <c r="GKD5" s="72"/>
      <c r="GKE5" s="72"/>
      <c r="GKF5" s="72"/>
      <c r="GKG5" s="72"/>
      <c r="GKH5" s="72"/>
      <c r="GKI5" s="72"/>
      <c r="GKJ5" s="72"/>
      <c r="GKK5" s="72"/>
      <c r="GKL5" s="72"/>
      <c r="GKM5" s="72"/>
      <c r="GKN5" s="72"/>
      <c r="GKO5" s="72"/>
      <c r="GKP5" s="72"/>
      <c r="GKQ5" s="72"/>
      <c r="GKR5" s="72"/>
      <c r="GKS5" s="72"/>
      <c r="GKT5" s="72"/>
      <c r="GKU5" s="72"/>
      <c r="GKV5" s="72"/>
      <c r="GKW5" s="72"/>
      <c r="GKX5" s="72"/>
      <c r="GKY5" s="72"/>
      <c r="GKZ5" s="72"/>
      <c r="GLA5" s="72"/>
      <c r="GLB5" s="72"/>
      <c r="GLC5" s="72"/>
      <c r="GLD5" s="72"/>
      <c r="GLE5" s="72"/>
      <c r="GLF5" s="72"/>
      <c r="GLG5" s="72"/>
      <c r="GLH5" s="72"/>
      <c r="GLI5" s="72"/>
      <c r="GLJ5" s="72"/>
      <c r="GLK5" s="72"/>
      <c r="GLL5" s="72"/>
      <c r="GLM5" s="72"/>
      <c r="GLN5" s="72"/>
      <c r="GLO5" s="72"/>
      <c r="GLP5" s="72"/>
      <c r="GLQ5" s="72"/>
      <c r="GLR5" s="72"/>
      <c r="GLS5" s="72"/>
      <c r="GLT5" s="72"/>
      <c r="GLU5" s="72"/>
      <c r="GLV5" s="72"/>
      <c r="GLW5" s="72"/>
      <c r="GLX5" s="72"/>
      <c r="GLY5" s="72"/>
      <c r="GLZ5" s="72"/>
      <c r="GMA5" s="72"/>
      <c r="GMB5" s="72"/>
      <c r="GMC5" s="72"/>
      <c r="GMD5" s="72"/>
      <c r="GME5" s="72"/>
      <c r="GMF5" s="72"/>
      <c r="GMG5" s="72"/>
      <c r="GMH5" s="72"/>
      <c r="GMI5" s="72"/>
      <c r="GMJ5" s="72"/>
      <c r="GMK5" s="72"/>
      <c r="GML5" s="72"/>
      <c r="GMM5" s="72"/>
      <c r="GMN5" s="72"/>
      <c r="GMO5" s="72"/>
      <c r="GMP5" s="72"/>
      <c r="GMQ5" s="72"/>
      <c r="GMR5" s="72"/>
      <c r="GMS5" s="72"/>
      <c r="GMT5" s="72"/>
      <c r="GMU5" s="72"/>
      <c r="GMV5" s="72"/>
      <c r="GMW5" s="72"/>
      <c r="GMX5" s="72"/>
      <c r="GMY5" s="72"/>
      <c r="GMZ5" s="72"/>
      <c r="GNA5" s="72"/>
      <c r="GNB5" s="72"/>
      <c r="GNC5" s="72"/>
      <c r="GND5" s="72"/>
      <c r="GNE5" s="72"/>
      <c r="GNF5" s="72"/>
      <c r="GNG5" s="72"/>
      <c r="GNH5" s="72"/>
      <c r="GNI5" s="72"/>
      <c r="GNJ5" s="72"/>
      <c r="GNK5" s="72"/>
      <c r="GNL5" s="72"/>
      <c r="GNM5" s="72"/>
      <c r="GNN5" s="72"/>
      <c r="GNO5" s="72"/>
      <c r="GNP5" s="72"/>
      <c r="GNQ5" s="72"/>
      <c r="GNR5" s="72"/>
      <c r="GNS5" s="72"/>
      <c r="GNT5" s="72"/>
      <c r="GNU5" s="72"/>
      <c r="GNV5" s="72"/>
      <c r="GNW5" s="72"/>
      <c r="GNX5" s="72"/>
      <c r="GNY5" s="72"/>
      <c r="GNZ5" s="72"/>
      <c r="GOA5" s="72"/>
      <c r="GOB5" s="72"/>
      <c r="GOC5" s="72"/>
      <c r="GOD5" s="72"/>
      <c r="GOE5" s="72"/>
      <c r="GOF5" s="72"/>
      <c r="GOG5" s="72"/>
      <c r="GOH5" s="72"/>
      <c r="GOI5" s="72"/>
      <c r="GOJ5" s="72"/>
      <c r="GOK5" s="72"/>
      <c r="GOL5" s="72"/>
      <c r="GOM5" s="72"/>
      <c r="GON5" s="72"/>
      <c r="GOO5" s="72"/>
      <c r="GOP5" s="72"/>
      <c r="GOQ5" s="72"/>
      <c r="GOR5" s="72"/>
      <c r="GOS5" s="72"/>
      <c r="GOT5" s="72"/>
      <c r="GOU5" s="72"/>
      <c r="GOV5" s="72"/>
      <c r="GOW5" s="72"/>
      <c r="GOX5" s="72"/>
      <c r="GOY5" s="72"/>
      <c r="GOZ5" s="72"/>
      <c r="GPA5" s="72"/>
      <c r="GPB5" s="72"/>
      <c r="GPC5" s="72"/>
      <c r="GPD5" s="72"/>
      <c r="GPE5" s="72"/>
      <c r="GPF5" s="72"/>
      <c r="GPG5" s="72"/>
      <c r="GPH5" s="72"/>
      <c r="GPI5" s="72"/>
      <c r="GPJ5" s="72"/>
      <c r="GPK5" s="72"/>
      <c r="GPL5" s="72"/>
      <c r="GPM5" s="72"/>
      <c r="GPN5" s="72"/>
      <c r="GPO5" s="72"/>
      <c r="GPP5" s="72"/>
      <c r="GPQ5" s="72"/>
      <c r="GPR5" s="72"/>
      <c r="GPS5" s="72"/>
      <c r="GPT5" s="72"/>
      <c r="GPU5" s="72"/>
      <c r="GPV5" s="72"/>
      <c r="GPW5" s="72"/>
      <c r="GPX5" s="72"/>
      <c r="GPY5" s="72"/>
      <c r="GPZ5" s="72"/>
      <c r="GQA5" s="72"/>
      <c r="GQB5" s="72"/>
      <c r="GQC5" s="72"/>
      <c r="GQD5" s="72"/>
      <c r="GQE5" s="72"/>
      <c r="GQF5" s="72"/>
      <c r="GQG5" s="72"/>
      <c r="GQH5" s="72"/>
      <c r="GQI5" s="72"/>
      <c r="GQJ5" s="72"/>
      <c r="GQK5" s="72"/>
      <c r="GQL5" s="72"/>
      <c r="GQM5" s="72"/>
      <c r="GQN5" s="72"/>
      <c r="GQO5" s="72"/>
      <c r="GQP5" s="72"/>
      <c r="GQQ5" s="72"/>
      <c r="GQR5" s="72"/>
      <c r="GQS5" s="72"/>
      <c r="GQT5" s="72"/>
      <c r="GQU5" s="72"/>
      <c r="GQV5" s="72"/>
      <c r="GQW5" s="72"/>
      <c r="GQX5" s="72"/>
      <c r="GQY5" s="72"/>
      <c r="GQZ5" s="72"/>
      <c r="GRA5" s="72"/>
      <c r="GRB5" s="72"/>
      <c r="GRC5" s="72"/>
      <c r="GRD5" s="72"/>
      <c r="GRE5" s="72"/>
      <c r="GRF5" s="72"/>
      <c r="GRG5" s="72"/>
      <c r="GRH5" s="72"/>
      <c r="GRI5" s="72"/>
      <c r="GRJ5" s="72"/>
      <c r="GRK5" s="72"/>
      <c r="GRL5" s="72"/>
      <c r="GRM5" s="72"/>
      <c r="GRN5" s="72"/>
      <c r="GRO5" s="72"/>
      <c r="GRP5" s="72"/>
      <c r="GRQ5" s="72"/>
      <c r="GRR5" s="72"/>
      <c r="GRS5" s="72"/>
      <c r="GRT5" s="72"/>
      <c r="GRU5" s="72"/>
      <c r="GRV5" s="72"/>
      <c r="GRW5" s="72"/>
      <c r="GRX5" s="72"/>
      <c r="GRY5" s="72"/>
      <c r="GRZ5" s="72"/>
      <c r="GSA5" s="72"/>
      <c r="GSB5" s="72"/>
      <c r="GSC5" s="72"/>
      <c r="GSD5" s="72"/>
      <c r="GSE5" s="72"/>
      <c r="GSF5" s="72"/>
      <c r="GSG5" s="72"/>
      <c r="GSH5" s="72"/>
      <c r="GSI5" s="72"/>
      <c r="GSJ5" s="72"/>
      <c r="GSK5" s="72"/>
      <c r="GSL5" s="72"/>
      <c r="GSM5" s="72"/>
      <c r="GSN5" s="72"/>
      <c r="GSO5" s="72"/>
      <c r="GSP5" s="72"/>
      <c r="GSQ5" s="72"/>
      <c r="GSR5" s="72"/>
      <c r="GSS5" s="72"/>
      <c r="GST5" s="72"/>
      <c r="GSU5" s="72"/>
      <c r="GSV5" s="72"/>
      <c r="GSW5" s="72"/>
      <c r="GSX5" s="72"/>
      <c r="GSY5" s="72"/>
      <c r="GSZ5" s="72"/>
      <c r="GTA5" s="72"/>
      <c r="GTB5" s="72"/>
      <c r="GTC5" s="72"/>
      <c r="GTD5" s="72"/>
      <c r="GTE5" s="72"/>
      <c r="GTF5" s="72"/>
      <c r="GTG5" s="72"/>
      <c r="GTH5" s="72"/>
      <c r="GTI5" s="72"/>
      <c r="GTJ5" s="72"/>
      <c r="GTK5" s="72"/>
      <c r="GTL5" s="72"/>
      <c r="GTM5" s="72"/>
      <c r="GTN5" s="72"/>
      <c r="GTO5" s="72"/>
      <c r="GTP5" s="72"/>
      <c r="GTQ5" s="72"/>
      <c r="GTR5" s="72"/>
      <c r="GTS5" s="72"/>
      <c r="GTT5" s="72"/>
      <c r="GTU5" s="72"/>
      <c r="GTV5" s="72"/>
      <c r="GTW5" s="72"/>
      <c r="GTX5" s="72"/>
      <c r="GTY5" s="72"/>
      <c r="GTZ5" s="72"/>
      <c r="GUA5" s="72"/>
      <c r="GUB5" s="72"/>
      <c r="GUC5" s="72"/>
      <c r="GUD5" s="72"/>
      <c r="GUE5" s="72"/>
      <c r="GUF5" s="72"/>
      <c r="GUG5" s="72"/>
      <c r="GUH5" s="72"/>
      <c r="GUI5" s="72"/>
      <c r="GUJ5" s="72"/>
      <c r="GUK5" s="72"/>
      <c r="GUL5" s="72"/>
      <c r="GUM5" s="72"/>
      <c r="GUN5" s="72"/>
      <c r="GUO5" s="72"/>
      <c r="GUP5" s="72"/>
      <c r="GUQ5" s="72"/>
      <c r="GUR5" s="72"/>
      <c r="GUS5" s="72"/>
      <c r="GUT5" s="72"/>
      <c r="GUU5" s="72"/>
      <c r="GUV5" s="72"/>
      <c r="GUW5" s="72"/>
      <c r="GUX5" s="72"/>
      <c r="GUY5" s="72"/>
      <c r="GUZ5" s="72"/>
      <c r="GVA5" s="72"/>
      <c r="GVB5" s="72"/>
      <c r="GVC5" s="72"/>
      <c r="GVD5" s="72"/>
      <c r="GVE5" s="72"/>
      <c r="GVF5" s="72"/>
      <c r="GVG5" s="72"/>
      <c r="GVH5" s="72"/>
      <c r="GVI5" s="72"/>
      <c r="GVJ5" s="72"/>
      <c r="GVK5" s="72"/>
      <c r="GVL5" s="72"/>
      <c r="GVM5" s="72"/>
      <c r="GVN5" s="72"/>
      <c r="GVO5" s="72"/>
      <c r="GVP5" s="72"/>
      <c r="GVQ5" s="72"/>
      <c r="GVR5" s="72"/>
      <c r="GVS5" s="72"/>
      <c r="GVT5" s="72"/>
      <c r="GVU5" s="72"/>
      <c r="GVV5" s="72"/>
      <c r="GVW5" s="72"/>
      <c r="GVX5" s="72"/>
      <c r="GVY5" s="72"/>
      <c r="GVZ5" s="72"/>
      <c r="GWA5" s="72"/>
      <c r="GWB5" s="72"/>
      <c r="GWC5" s="72"/>
      <c r="GWD5" s="72"/>
      <c r="GWE5" s="72"/>
      <c r="GWF5" s="72"/>
      <c r="GWG5" s="72"/>
      <c r="GWH5" s="72"/>
      <c r="GWI5" s="72"/>
      <c r="GWJ5" s="72"/>
      <c r="GWK5" s="72"/>
      <c r="GWL5" s="72"/>
      <c r="GWM5" s="72"/>
      <c r="GWN5" s="72"/>
      <c r="GWO5" s="72"/>
      <c r="GWP5" s="72"/>
      <c r="GWQ5" s="72"/>
      <c r="GWR5" s="72"/>
      <c r="GWS5" s="72"/>
      <c r="GWT5" s="72"/>
      <c r="GWU5" s="72"/>
      <c r="GWV5" s="72"/>
      <c r="GWW5" s="72"/>
      <c r="GWX5" s="72"/>
      <c r="GWY5" s="72"/>
      <c r="GWZ5" s="72"/>
      <c r="GXA5" s="72"/>
      <c r="GXB5" s="72"/>
      <c r="GXC5" s="72"/>
      <c r="GXD5" s="72"/>
      <c r="GXE5" s="72"/>
      <c r="GXF5" s="72"/>
      <c r="GXG5" s="72"/>
      <c r="GXH5" s="72"/>
      <c r="GXI5" s="72"/>
      <c r="GXJ5" s="72"/>
      <c r="GXK5" s="72"/>
      <c r="GXL5" s="72"/>
      <c r="GXM5" s="72"/>
      <c r="GXN5" s="72"/>
      <c r="GXO5" s="72"/>
      <c r="GXP5" s="72"/>
      <c r="GXQ5" s="72"/>
      <c r="GXR5" s="72"/>
      <c r="GXS5" s="72"/>
      <c r="GXT5" s="72"/>
      <c r="GXU5" s="72"/>
      <c r="GXV5" s="72"/>
      <c r="GXW5" s="72"/>
      <c r="GXX5" s="72"/>
      <c r="GXY5" s="72"/>
      <c r="GXZ5" s="72"/>
      <c r="GYA5" s="72"/>
      <c r="GYB5" s="72"/>
      <c r="GYC5" s="72"/>
      <c r="GYD5" s="72"/>
      <c r="GYE5" s="72"/>
      <c r="GYF5" s="72"/>
      <c r="GYG5" s="72"/>
      <c r="GYH5" s="72"/>
      <c r="GYI5" s="72"/>
      <c r="GYJ5" s="72"/>
      <c r="GYK5" s="72"/>
      <c r="GYL5" s="72"/>
      <c r="GYM5" s="72"/>
      <c r="GYN5" s="72"/>
      <c r="GYO5" s="72"/>
      <c r="GYP5" s="72"/>
      <c r="GYQ5" s="72"/>
      <c r="GYR5" s="72"/>
      <c r="GYS5" s="72"/>
      <c r="GYT5" s="72"/>
      <c r="GYU5" s="72"/>
      <c r="GYV5" s="72"/>
      <c r="GYW5" s="72"/>
      <c r="GYX5" s="72"/>
      <c r="GYY5" s="72"/>
      <c r="GYZ5" s="72"/>
      <c r="GZA5" s="72"/>
      <c r="GZB5" s="72"/>
      <c r="GZC5" s="72"/>
      <c r="GZD5" s="72"/>
      <c r="GZE5" s="72"/>
      <c r="GZF5" s="72"/>
      <c r="GZG5" s="72"/>
      <c r="GZH5" s="72"/>
      <c r="GZI5" s="72"/>
      <c r="GZJ5" s="72"/>
      <c r="GZK5" s="72"/>
      <c r="GZL5" s="72"/>
      <c r="GZM5" s="72"/>
      <c r="GZN5" s="72"/>
      <c r="GZO5" s="72"/>
      <c r="GZP5" s="72"/>
      <c r="GZQ5" s="72"/>
      <c r="GZR5" s="72"/>
      <c r="GZS5" s="72"/>
      <c r="GZT5" s="72"/>
      <c r="GZU5" s="72"/>
      <c r="GZV5" s="72"/>
      <c r="GZW5" s="72"/>
      <c r="GZX5" s="72"/>
      <c r="GZY5" s="72"/>
      <c r="GZZ5" s="72"/>
      <c r="HAA5" s="72"/>
      <c r="HAB5" s="72"/>
      <c r="HAC5" s="72"/>
      <c r="HAD5" s="72"/>
      <c r="HAE5" s="72"/>
      <c r="HAF5" s="72"/>
      <c r="HAG5" s="72"/>
      <c r="HAH5" s="72"/>
      <c r="HAI5" s="72"/>
      <c r="HAJ5" s="72"/>
      <c r="HAK5" s="72"/>
      <c r="HAL5" s="72"/>
      <c r="HAM5" s="72"/>
      <c r="HAN5" s="72"/>
      <c r="HAO5" s="72"/>
      <c r="HAP5" s="72"/>
      <c r="HAQ5" s="72"/>
      <c r="HAR5" s="72"/>
      <c r="HAS5" s="72"/>
      <c r="HAT5" s="72"/>
      <c r="HAU5" s="72"/>
      <c r="HAV5" s="72"/>
      <c r="HAW5" s="72"/>
      <c r="HAX5" s="72"/>
      <c r="HAY5" s="72"/>
      <c r="HAZ5" s="72"/>
      <c r="HBA5" s="72"/>
      <c r="HBB5" s="72"/>
      <c r="HBC5" s="72"/>
      <c r="HBD5" s="72"/>
      <c r="HBE5" s="72"/>
      <c r="HBF5" s="72"/>
      <c r="HBG5" s="72"/>
      <c r="HBH5" s="72"/>
      <c r="HBI5" s="72"/>
      <c r="HBJ5" s="72"/>
      <c r="HBK5" s="72"/>
      <c r="HBL5" s="72"/>
      <c r="HBM5" s="72"/>
      <c r="HBN5" s="72"/>
      <c r="HBO5" s="72"/>
      <c r="HBP5" s="72"/>
      <c r="HBQ5" s="72"/>
      <c r="HBR5" s="72"/>
      <c r="HBS5" s="72"/>
      <c r="HBT5" s="72"/>
      <c r="HBU5" s="72"/>
      <c r="HBV5" s="72"/>
      <c r="HBW5" s="72"/>
      <c r="HBX5" s="72"/>
      <c r="HBY5" s="72"/>
      <c r="HBZ5" s="72"/>
      <c r="HCA5" s="72"/>
      <c r="HCB5" s="72"/>
      <c r="HCC5" s="72"/>
      <c r="HCD5" s="72"/>
      <c r="HCE5" s="72"/>
      <c r="HCF5" s="72"/>
      <c r="HCG5" s="72"/>
      <c r="HCH5" s="72"/>
      <c r="HCI5" s="72"/>
      <c r="HCJ5" s="72"/>
      <c r="HCK5" s="72"/>
      <c r="HCL5" s="72"/>
      <c r="HCM5" s="72"/>
      <c r="HCN5" s="72"/>
      <c r="HCO5" s="72"/>
      <c r="HCP5" s="72"/>
      <c r="HCQ5" s="72"/>
      <c r="HCR5" s="72"/>
      <c r="HCS5" s="72"/>
      <c r="HCT5" s="72"/>
      <c r="HCU5" s="72"/>
      <c r="HCV5" s="72"/>
      <c r="HCW5" s="72"/>
      <c r="HCX5" s="72"/>
      <c r="HCY5" s="72"/>
      <c r="HCZ5" s="72"/>
      <c r="HDA5" s="72"/>
      <c r="HDB5" s="72"/>
      <c r="HDC5" s="72"/>
      <c r="HDD5" s="72"/>
      <c r="HDE5" s="72"/>
      <c r="HDF5" s="72"/>
      <c r="HDG5" s="72"/>
      <c r="HDH5" s="72"/>
      <c r="HDI5" s="72"/>
      <c r="HDJ5" s="72"/>
      <c r="HDK5" s="72"/>
      <c r="HDL5" s="72"/>
      <c r="HDM5" s="72"/>
      <c r="HDN5" s="72"/>
      <c r="HDO5" s="72"/>
      <c r="HDP5" s="72"/>
      <c r="HDQ5" s="72"/>
      <c r="HDR5" s="72"/>
      <c r="HDS5" s="72"/>
      <c r="HDT5" s="72"/>
      <c r="HDU5" s="72"/>
      <c r="HDV5" s="72"/>
      <c r="HDW5" s="72"/>
      <c r="HDX5" s="72"/>
      <c r="HDY5" s="72"/>
      <c r="HDZ5" s="72"/>
      <c r="HEA5" s="72"/>
      <c r="HEB5" s="72"/>
      <c r="HEC5" s="72"/>
      <c r="HED5" s="72"/>
      <c r="HEE5" s="72"/>
      <c r="HEF5" s="72"/>
      <c r="HEG5" s="72"/>
      <c r="HEH5" s="72"/>
      <c r="HEI5" s="72"/>
      <c r="HEJ5" s="72"/>
      <c r="HEK5" s="72"/>
      <c r="HEL5" s="72"/>
      <c r="HEM5" s="72"/>
      <c r="HEN5" s="72"/>
      <c r="HEO5" s="72"/>
      <c r="HEP5" s="72"/>
      <c r="HEQ5" s="72"/>
      <c r="HER5" s="72"/>
      <c r="HES5" s="72"/>
      <c r="HET5" s="72"/>
      <c r="HEU5" s="72"/>
      <c r="HEV5" s="72"/>
      <c r="HEW5" s="72"/>
      <c r="HEX5" s="72"/>
      <c r="HEY5" s="72"/>
      <c r="HEZ5" s="72"/>
      <c r="HFA5" s="72"/>
      <c r="HFB5" s="72"/>
      <c r="HFC5" s="72"/>
      <c r="HFD5" s="72"/>
      <c r="HFE5" s="72"/>
      <c r="HFF5" s="72"/>
      <c r="HFG5" s="72"/>
      <c r="HFH5" s="72"/>
      <c r="HFI5" s="72"/>
      <c r="HFJ5" s="72"/>
      <c r="HFK5" s="72"/>
      <c r="HFL5" s="72"/>
      <c r="HFM5" s="72"/>
      <c r="HFN5" s="72"/>
      <c r="HFO5" s="72"/>
      <c r="HFP5" s="72"/>
      <c r="HFQ5" s="72"/>
      <c r="HFR5" s="72"/>
      <c r="HFS5" s="72"/>
      <c r="HFT5" s="72"/>
      <c r="HFU5" s="72"/>
      <c r="HFV5" s="72"/>
      <c r="HFW5" s="72"/>
      <c r="HFX5" s="72"/>
      <c r="HFY5" s="72"/>
      <c r="HFZ5" s="72"/>
      <c r="HGA5" s="72"/>
      <c r="HGB5" s="72"/>
      <c r="HGC5" s="72"/>
      <c r="HGD5" s="72"/>
      <c r="HGE5" s="72"/>
      <c r="HGF5" s="72"/>
      <c r="HGG5" s="72"/>
      <c r="HGH5" s="72"/>
      <c r="HGI5" s="72"/>
      <c r="HGJ5" s="72"/>
      <c r="HGK5" s="72"/>
      <c r="HGL5" s="72"/>
      <c r="HGM5" s="72"/>
      <c r="HGN5" s="72"/>
      <c r="HGO5" s="72"/>
      <c r="HGP5" s="72"/>
      <c r="HGQ5" s="72"/>
      <c r="HGR5" s="72"/>
      <c r="HGS5" s="72"/>
      <c r="HGT5" s="72"/>
      <c r="HGU5" s="72"/>
      <c r="HGV5" s="72"/>
      <c r="HGW5" s="72"/>
      <c r="HGX5" s="72"/>
      <c r="HGY5" s="72"/>
      <c r="HGZ5" s="72"/>
      <c r="HHA5" s="72"/>
      <c r="HHB5" s="72"/>
      <c r="HHC5" s="72"/>
      <c r="HHD5" s="72"/>
      <c r="HHE5" s="72"/>
      <c r="HHF5" s="72"/>
      <c r="HHG5" s="72"/>
      <c r="HHH5" s="72"/>
      <c r="HHI5" s="72"/>
      <c r="HHJ5" s="72"/>
      <c r="HHK5" s="72"/>
      <c r="HHL5" s="72"/>
      <c r="HHM5" s="72"/>
      <c r="HHN5" s="72"/>
      <c r="HHO5" s="72"/>
      <c r="HHP5" s="72"/>
      <c r="HHQ5" s="72"/>
      <c r="HHR5" s="72"/>
      <c r="HHS5" s="72"/>
      <c r="HHT5" s="72"/>
      <c r="HHU5" s="72"/>
      <c r="HHV5" s="72"/>
      <c r="HHW5" s="72"/>
      <c r="HHX5" s="72"/>
      <c r="HHY5" s="72"/>
      <c r="HHZ5" s="72"/>
      <c r="HIA5" s="72"/>
      <c r="HIB5" s="72"/>
      <c r="HIC5" s="72"/>
      <c r="HID5" s="72"/>
      <c r="HIE5" s="72"/>
      <c r="HIF5" s="72"/>
      <c r="HIG5" s="72"/>
      <c r="HIH5" s="72"/>
      <c r="HII5" s="72"/>
      <c r="HIJ5" s="72"/>
      <c r="HIK5" s="72"/>
      <c r="HIL5" s="72"/>
      <c r="HIM5" s="72"/>
      <c r="HIN5" s="72"/>
      <c r="HIO5" s="72"/>
      <c r="HIP5" s="72"/>
      <c r="HIQ5" s="72"/>
      <c r="HIR5" s="72"/>
      <c r="HIS5" s="72"/>
      <c r="HIT5" s="72"/>
      <c r="HIU5" s="72"/>
      <c r="HIV5" s="72"/>
      <c r="HIW5" s="72"/>
      <c r="HIX5" s="72"/>
      <c r="HIY5" s="72"/>
      <c r="HIZ5" s="72"/>
      <c r="HJA5" s="72"/>
      <c r="HJB5" s="72"/>
      <c r="HJC5" s="72"/>
      <c r="HJD5" s="72"/>
      <c r="HJE5" s="72"/>
      <c r="HJF5" s="72"/>
      <c r="HJG5" s="72"/>
      <c r="HJH5" s="72"/>
      <c r="HJI5" s="72"/>
      <c r="HJJ5" s="72"/>
      <c r="HJK5" s="72"/>
      <c r="HJL5" s="72"/>
      <c r="HJM5" s="72"/>
      <c r="HJN5" s="72"/>
      <c r="HJO5" s="72"/>
      <c r="HJP5" s="72"/>
      <c r="HJQ5" s="72"/>
      <c r="HJR5" s="72"/>
      <c r="HJS5" s="72"/>
      <c r="HJT5" s="72"/>
      <c r="HJU5" s="72"/>
      <c r="HJV5" s="72"/>
      <c r="HJW5" s="72"/>
      <c r="HJX5" s="72"/>
      <c r="HJY5" s="72"/>
      <c r="HJZ5" s="72"/>
      <c r="HKA5" s="72"/>
      <c r="HKB5" s="72"/>
      <c r="HKC5" s="72"/>
      <c r="HKD5" s="72"/>
      <c r="HKE5" s="72"/>
      <c r="HKF5" s="72"/>
      <c r="HKG5" s="72"/>
      <c r="HKH5" s="72"/>
      <c r="HKI5" s="72"/>
      <c r="HKJ5" s="72"/>
      <c r="HKK5" s="72"/>
      <c r="HKL5" s="72"/>
      <c r="HKM5" s="72"/>
      <c r="HKN5" s="72"/>
      <c r="HKO5" s="72"/>
      <c r="HKP5" s="72"/>
      <c r="HKQ5" s="72"/>
      <c r="HKR5" s="72"/>
      <c r="HKS5" s="72"/>
      <c r="HKT5" s="72"/>
      <c r="HKU5" s="72"/>
      <c r="HKV5" s="72"/>
      <c r="HKW5" s="72"/>
      <c r="HKX5" s="72"/>
      <c r="HKY5" s="72"/>
      <c r="HKZ5" s="72"/>
      <c r="HLA5" s="72"/>
      <c r="HLB5" s="72"/>
      <c r="HLC5" s="72"/>
      <c r="HLD5" s="72"/>
      <c r="HLE5" s="72"/>
      <c r="HLF5" s="72"/>
      <c r="HLG5" s="72"/>
      <c r="HLH5" s="72"/>
      <c r="HLI5" s="72"/>
      <c r="HLJ5" s="72"/>
      <c r="HLK5" s="72"/>
      <c r="HLL5" s="72"/>
      <c r="HLM5" s="72"/>
      <c r="HLN5" s="72"/>
      <c r="HLO5" s="72"/>
      <c r="HLP5" s="72"/>
      <c r="HLQ5" s="72"/>
      <c r="HLR5" s="72"/>
      <c r="HLS5" s="72"/>
      <c r="HLT5" s="72"/>
      <c r="HLU5" s="72"/>
      <c r="HLV5" s="72"/>
      <c r="HLW5" s="72"/>
      <c r="HLX5" s="72"/>
      <c r="HLY5" s="72"/>
      <c r="HLZ5" s="72"/>
      <c r="HMA5" s="72"/>
      <c r="HMB5" s="72"/>
      <c r="HMC5" s="72"/>
      <c r="HMD5" s="72"/>
      <c r="HME5" s="72"/>
      <c r="HMF5" s="72"/>
      <c r="HMG5" s="72"/>
      <c r="HMH5" s="72"/>
      <c r="HMI5" s="72"/>
      <c r="HMJ5" s="72"/>
      <c r="HMK5" s="72"/>
      <c r="HML5" s="72"/>
      <c r="HMM5" s="72"/>
      <c r="HMN5" s="72"/>
      <c r="HMO5" s="72"/>
      <c r="HMP5" s="72"/>
      <c r="HMQ5" s="72"/>
      <c r="HMR5" s="72"/>
      <c r="HMS5" s="72"/>
      <c r="HMT5" s="72"/>
      <c r="HMU5" s="72"/>
      <c r="HMV5" s="72"/>
      <c r="HMW5" s="72"/>
      <c r="HMX5" s="72"/>
      <c r="HMY5" s="72"/>
      <c r="HMZ5" s="72"/>
      <c r="HNA5" s="72"/>
      <c r="HNB5" s="72"/>
      <c r="HNC5" s="72"/>
      <c r="HND5" s="72"/>
      <c r="HNE5" s="72"/>
      <c r="HNF5" s="72"/>
      <c r="HNG5" s="72"/>
      <c r="HNH5" s="72"/>
      <c r="HNI5" s="72"/>
      <c r="HNJ5" s="72"/>
      <c r="HNK5" s="72"/>
      <c r="HNL5" s="72"/>
      <c r="HNM5" s="72"/>
      <c r="HNN5" s="72"/>
      <c r="HNO5" s="72"/>
      <c r="HNP5" s="72"/>
      <c r="HNQ5" s="72"/>
      <c r="HNR5" s="72"/>
      <c r="HNS5" s="72"/>
      <c r="HNT5" s="72"/>
      <c r="HNU5" s="72"/>
      <c r="HNV5" s="72"/>
      <c r="HNW5" s="72"/>
      <c r="HNX5" s="72"/>
      <c r="HNY5" s="72"/>
      <c r="HNZ5" s="72"/>
      <c r="HOA5" s="72"/>
      <c r="HOB5" s="72"/>
      <c r="HOC5" s="72"/>
      <c r="HOD5" s="72"/>
      <c r="HOE5" s="72"/>
      <c r="HOF5" s="72"/>
      <c r="HOG5" s="72"/>
      <c r="HOH5" s="72"/>
      <c r="HOI5" s="72"/>
      <c r="HOJ5" s="72"/>
      <c r="HOK5" s="72"/>
      <c r="HOL5" s="72"/>
      <c r="HOM5" s="72"/>
      <c r="HON5" s="72"/>
      <c r="HOO5" s="72"/>
      <c r="HOP5" s="72"/>
      <c r="HOQ5" s="72"/>
      <c r="HOR5" s="72"/>
      <c r="HOS5" s="72"/>
      <c r="HOT5" s="72"/>
      <c r="HOU5" s="72"/>
      <c r="HOV5" s="72"/>
      <c r="HOW5" s="72"/>
      <c r="HOX5" s="72"/>
      <c r="HOY5" s="72"/>
      <c r="HOZ5" s="72"/>
      <c r="HPA5" s="72"/>
      <c r="HPB5" s="72"/>
      <c r="HPC5" s="72"/>
      <c r="HPD5" s="72"/>
      <c r="HPE5" s="72"/>
      <c r="HPF5" s="72"/>
      <c r="HPG5" s="72"/>
      <c r="HPH5" s="72"/>
      <c r="HPI5" s="72"/>
      <c r="HPJ5" s="72"/>
      <c r="HPK5" s="72"/>
      <c r="HPL5" s="72"/>
      <c r="HPM5" s="72"/>
      <c r="HPN5" s="72"/>
      <c r="HPO5" s="72"/>
      <c r="HPP5" s="72"/>
      <c r="HPQ5" s="72"/>
      <c r="HPR5" s="72"/>
      <c r="HPS5" s="72"/>
      <c r="HPT5" s="72"/>
      <c r="HPU5" s="72"/>
      <c r="HPV5" s="72"/>
      <c r="HPW5" s="72"/>
      <c r="HPX5" s="72"/>
      <c r="HPY5" s="72"/>
      <c r="HPZ5" s="72"/>
      <c r="HQA5" s="72"/>
      <c r="HQB5" s="72"/>
      <c r="HQC5" s="72"/>
      <c r="HQD5" s="72"/>
      <c r="HQE5" s="72"/>
      <c r="HQF5" s="72"/>
      <c r="HQG5" s="72"/>
      <c r="HQH5" s="72"/>
      <c r="HQI5" s="72"/>
      <c r="HQJ5" s="72"/>
      <c r="HQK5" s="72"/>
      <c r="HQL5" s="72"/>
      <c r="HQM5" s="72"/>
      <c r="HQN5" s="72"/>
      <c r="HQO5" s="72"/>
      <c r="HQP5" s="72"/>
      <c r="HQQ5" s="72"/>
      <c r="HQR5" s="72"/>
      <c r="HQS5" s="72"/>
      <c r="HQT5" s="72"/>
      <c r="HQU5" s="72"/>
      <c r="HQV5" s="72"/>
      <c r="HQW5" s="72"/>
      <c r="HQX5" s="72"/>
      <c r="HQY5" s="72"/>
      <c r="HQZ5" s="72"/>
      <c r="HRA5" s="72"/>
      <c r="HRB5" s="72"/>
      <c r="HRC5" s="72"/>
      <c r="HRD5" s="72"/>
      <c r="HRE5" s="72"/>
      <c r="HRF5" s="72"/>
      <c r="HRG5" s="72"/>
      <c r="HRH5" s="72"/>
      <c r="HRI5" s="72"/>
      <c r="HRJ5" s="72"/>
      <c r="HRK5" s="72"/>
      <c r="HRL5" s="72"/>
      <c r="HRM5" s="72"/>
      <c r="HRN5" s="72"/>
      <c r="HRO5" s="72"/>
      <c r="HRP5" s="72"/>
      <c r="HRQ5" s="72"/>
      <c r="HRR5" s="72"/>
      <c r="HRS5" s="72"/>
      <c r="HRT5" s="72"/>
      <c r="HRU5" s="72"/>
      <c r="HRV5" s="72"/>
      <c r="HRW5" s="72"/>
      <c r="HRX5" s="72"/>
      <c r="HRY5" s="72"/>
      <c r="HRZ5" s="72"/>
      <c r="HSA5" s="72"/>
      <c r="HSB5" s="72"/>
      <c r="HSC5" s="72"/>
      <c r="HSD5" s="72"/>
      <c r="HSE5" s="72"/>
      <c r="HSF5" s="72"/>
      <c r="HSG5" s="72"/>
      <c r="HSH5" s="72"/>
      <c r="HSI5" s="72"/>
      <c r="HSJ5" s="72"/>
      <c r="HSK5" s="72"/>
      <c r="HSL5" s="72"/>
      <c r="HSM5" s="72"/>
      <c r="HSN5" s="72"/>
      <c r="HSO5" s="72"/>
      <c r="HSP5" s="72"/>
      <c r="HSQ5" s="72"/>
      <c r="HSR5" s="72"/>
      <c r="HSS5" s="72"/>
      <c r="HST5" s="72"/>
      <c r="HSU5" s="72"/>
      <c r="HSV5" s="72"/>
      <c r="HSW5" s="72"/>
      <c r="HSX5" s="72"/>
      <c r="HSY5" s="72"/>
      <c r="HSZ5" s="72"/>
      <c r="HTA5" s="72"/>
      <c r="HTB5" s="72"/>
      <c r="HTC5" s="72"/>
      <c r="HTD5" s="72"/>
      <c r="HTE5" s="72"/>
      <c r="HTF5" s="72"/>
      <c r="HTG5" s="72"/>
      <c r="HTH5" s="72"/>
      <c r="HTI5" s="72"/>
      <c r="HTJ5" s="72"/>
      <c r="HTK5" s="72"/>
      <c r="HTL5" s="72"/>
      <c r="HTM5" s="72"/>
      <c r="HTN5" s="72"/>
      <c r="HTO5" s="72"/>
      <c r="HTP5" s="72"/>
      <c r="HTQ5" s="72"/>
      <c r="HTR5" s="72"/>
      <c r="HTS5" s="72"/>
      <c r="HTT5" s="72"/>
      <c r="HTU5" s="72"/>
      <c r="HTV5" s="72"/>
      <c r="HTW5" s="72"/>
      <c r="HTX5" s="72"/>
      <c r="HTY5" s="72"/>
      <c r="HTZ5" s="72"/>
      <c r="HUA5" s="72"/>
      <c r="HUB5" s="72"/>
      <c r="HUC5" s="72"/>
      <c r="HUD5" s="72"/>
      <c r="HUE5" s="72"/>
      <c r="HUF5" s="72"/>
      <c r="HUG5" s="72"/>
      <c r="HUH5" s="72"/>
      <c r="HUI5" s="72"/>
      <c r="HUJ5" s="72"/>
      <c r="HUK5" s="72"/>
      <c r="HUL5" s="72"/>
      <c r="HUM5" s="72"/>
      <c r="HUN5" s="72"/>
      <c r="HUO5" s="72"/>
      <c r="HUP5" s="72"/>
      <c r="HUQ5" s="72"/>
      <c r="HUR5" s="72"/>
      <c r="HUS5" s="72"/>
      <c r="HUT5" s="72"/>
      <c r="HUU5" s="72"/>
      <c r="HUV5" s="72"/>
      <c r="HUW5" s="72"/>
      <c r="HUX5" s="72"/>
      <c r="HUY5" s="72"/>
      <c r="HUZ5" s="72"/>
      <c r="HVA5" s="72"/>
      <c r="HVB5" s="72"/>
      <c r="HVC5" s="72"/>
      <c r="HVD5" s="72"/>
      <c r="HVE5" s="72"/>
      <c r="HVF5" s="72"/>
      <c r="HVG5" s="72"/>
      <c r="HVH5" s="72"/>
      <c r="HVI5" s="72"/>
      <c r="HVJ5" s="72"/>
      <c r="HVK5" s="72"/>
      <c r="HVL5" s="72"/>
      <c r="HVM5" s="72"/>
      <c r="HVN5" s="72"/>
      <c r="HVO5" s="72"/>
      <c r="HVP5" s="72"/>
      <c r="HVQ5" s="72"/>
      <c r="HVR5" s="72"/>
      <c r="HVS5" s="72"/>
      <c r="HVT5" s="72"/>
      <c r="HVU5" s="72"/>
      <c r="HVV5" s="72"/>
      <c r="HVW5" s="72"/>
      <c r="HVX5" s="72"/>
      <c r="HVY5" s="72"/>
      <c r="HVZ5" s="72"/>
      <c r="HWA5" s="72"/>
      <c r="HWB5" s="72"/>
      <c r="HWC5" s="72"/>
      <c r="HWD5" s="72"/>
      <c r="HWE5" s="72"/>
      <c r="HWF5" s="72"/>
      <c r="HWG5" s="72"/>
      <c r="HWH5" s="72"/>
      <c r="HWI5" s="72"/>
      <c r="HWJ5" s="72"/>
      <c r="HWK5" s="72"/>
      <c r="HWL5" s="72"/>
      <c r="HWM5" s="72"/>
      <c r="HWN5" s="72"/>
      <c r="HWO5" s="72"/>
      <c r="HWP5" s="72"/>
      <c r="HWQ5" s="72"/>
      <c r="HWR5" s="72"/>
      <c r="HWS5" s="72"/>
      <c r="HWT5" s="72"/>
      <c r="HWU5" s="72"/>
      <c r="HWV5" s="72"/>
      <c r="HWW5" s="72"/>
      <c r="HWX5" s="72"/>
      <c r="HWY5" s="72"/>
      <c r="HWZ5" s="72"/>
      <c r="HXA5" s="72"/>
      <c r="HXB5" s="72"/>
      <c r="HXC5" s="72"/>
      <c r="HXD5" s="72"/>
      <c r="HXE5" s="72"/>
      <c r="HXF5" s="72"/>
      <c r="HXG5" s="72"/>
      <c r="HXH5" s="72"/>
      <c r="HXI5" s="72"/>
      <c r="HXJ5" s="72"/>
      <c r="HXK5" s="72"/>
      <c r="HXL5" s="72"/>
      <c r="HXM5" s="72"/>
      <c r="HXN5" s="72"/>
      <c r="HXO5" s="72"/>
      <c r="HXP5" s="72"/>
      <c r="HXQ5" s="72"/>
      <c r="HXR5" s="72"/>
      <c r="HXS5" s="72"/>
      <c r="HXT5" s="72"/>
      <c r="HXU5" s="72"/>
      <c r="HXV5" s="72"/>
      <c r="HXW5" s="72"/>
      <c r="HXX5" s="72"/>
      <c r="HXY5" s="72"/>
      <c r="HXZ5" s="72"/>
      <c r="HYA5" s="72"/>
      <c r="HYB5" s="72"/>
      <c r="HYC5" s="72"/>
      <c r="HYD5" s="72"/>
      <c r="HYE5" s="72"/>
      <c r="HYF5" s="72"/>
      <c r="HYG5" s="72"/>
      <c r="HYH5" s="72"/>
      <c r="HYI5" s="72"/>
      <c r="HYJ5" s="72"/>
      <c r="HYK5" s="72"/>
      <c r="HYL5" s="72"/>
      <c r="HYM5" s="72"/>
      <c r="HYN5" s="72"/>
      <c r="HYO5" s="72"/>
      <c r="HYP5" s="72"/>
      <c r="HYQ5" s="72"/>
      <c r="HYR5" s="72"/>
      <c r="HYS5" s="72"/>
      <c r="HYT5" s="72"/>
      <c r="HYU5" s="72"/>
      <c r="HYV5" s="72"/>
      <c r="HYW5" s="72"/>
      <c r="HYX5" s="72"/>
      <c r="HYY5" s="72"/>
      <c r="HYZ5" s="72"/>
      <c r="HZA5" s="72"/>
      <c r="HZB5" s="72"/>
      <c r="HZC5" s="72"/>
      <c r="HZD5" s="72"/>
      <c r="HZE5" s="72"/>
      <c r="HZF5" s="72"/>
      <c r="HZG5" s="72"/>
      <c r="HZH5" s="72"/>
      <c r="HZI5" s="72"/>
      <c r="HZJ5" s="72"/>
      <c r="HZK5" s="72"/>
      <c r="HZL5" s="72"/>
      <c r="HZM5" s="72"/>
      <c r="HZN5" s="72"/>
      <c r="HZO5" s="72"/>
      <c r="HZP5" s="72"/>
      <c r="HZQ5" s="72"/>
      <c r="HZR5" s="72"/>
      <c r="HZS5" s="72"/>
      <c r="HZT5" s="72"/>
      <c r="HZU5" s="72"/>
      <c r="HZV5" s="72"/>
      <c r="HZW5" s="72"/>
      <c r="HZX5" s="72"/>
      <c r="HZY5" s="72"/>
      <c r="HZZ5" s="72"/>
      <c r="IAA5" s="72"/>
      <c r="IAB5" s="72"/>
      <c r="IAC5" s="72"/>
      <c r="IAD5" s="72"/>
      <c r="IAE5" s="72"/>
      <c r="IAF5" s="72"/>
      <c r="IAG5" s="72"/>
      <c r="IAH5" s="72"/>
      <c r="IAI5" s="72"/>
      <c r="IAJ5" s="72"/>
      <c r="IAK5" s="72"/>
      <c r="IAL5" s="72"/>
      <c r="IAM5" s="72"/>
      <c r="IAN5" s="72"/>
      <c r="IAO5" s="72"/>
      <c r="IAP5" s="72"/>
      <c r="IAQ5" s="72"/>
      <c r="IAR5" s="72"/>
      <c r="IAS5" s="72"/>
      <c r="IAT5" s="72"/>
      <c r="IAU5" s="72"/>
      <c r="IAV5" s="72"/>
      <c r="IAW5" s="72"/>
      <c r="IAX5" s="72"/>
      <c r="IAY5" s="72"/>
      <c r="IAZ5" s="72"/>
      <c r="IBA5" s="72"/>
      <c r="IBB5" s="72"/>
      <c r="IBC5" s="72"/>
      <c r="IBD5" s="72"/>
      <c r="IBE5" s="72"/>
      <c r="IBF5" s="72"/>
      <c r="IBG5" s="72"/>
      <c r="IBH5" s="72"/>
      <c r="IBI5" s="72"/>
      <c r="IBJ5" s="72"/>
      <c r="IBK5" s="72"/>
      <c r="IBL5" s="72"/>
      <c r="IBM5" s="72"/>
      <c r="IBN5" s="72"/>
      <c r="IBO5" s="72"/>
      <c r="IBP5" s="72"/>
      <c r="IBQ5" s="72"/>
      <c r="IBR5" s="72"/>
      <c r="IBS5" s="72"/>
      <c r="IBT5" s="72"/>
      <c r="IBU5" s="72"/>
      <c r="IBV5" s="72"/>
      <c r="IBW5" s="72"/>
      <c r="IBX5" s="72"/>
      <c r="IBY5" s="72"/>
      <c r="IBZ5" s="72"/>
      <c r="ICA5" s="72"/>
      <c r="ICB5" s="72"/>
      <c r="ICC5" s="72"/>
      <c r="ICD5" s="72"/>
      <c r="ICE5" s="72"/>
      <c r="ICF5" s="72"/>
      <c r="ICG5" s="72"/>
      <c r="ICH5" s="72"/>
      <c r="ICI5" s="72"/>
      <c r="ICJ5" s="72"/>
      <c r="ICK5" s="72"/>
      <c r="ICL5" s="72"/>
      <c r="ICM5" s="72"/>
      <c r="ICN5" s="72"/>
      <c r="ICO5" s="72"/>
      <c r="ICP5" s="72"/>
      <c r="ICQ5" s="72"/>
      <c r="ICR5" s="72"/>
      <c r="ICS5" s="72"/>
      <c r="ICT5" s="72"/>
      <c r="ICU5" s="72"/>
      <c r="ICV5" s="72"/>
      <c r="ICW5" s="72"/>
      <c r="ICX5" s="72"/>
      <c r="ICY5" s="72"/>
      <c r="ICZ5" s="72"/>
      <c r="IDA5" s="72"/>
      <c r="IDB5" s="72"/>
      <c r="IDC5" s="72"/>
      <c r="IDD5" s="72"/>
      <c r="IDE5" s="72"/>
      <c r="IDF5" s="72"/>
      <c r="IDG5" s="72"/>
      <c r="IDH5" s="72"/>
      <c r="IDI5" s="72"/>
      <c r="IDJ5" s="72"/>
      <c r="IDK5" s="72"/>
      <c r="IDL5" s="72"/>
      <c r="IDM5" s="72"/>
      <c r="IDN5" s="72"/>
      <c r="IDO5" s="72"/>
      <c r="IDP5" s="72"/>
      <c r="IDQ5" s="72"/>
      <c r="IDR5" s="72"/>
      <c r="IDS5" s="72"/>
      <c r="IDT5" s="72"/>
      <c r="IDU5" s="72"/>
      <c r="IDV5" s="72"/>
      <c r="IDW5" s="72"/>
      <c r="IDX5" s="72"/>
      <c r="IDY5" s="72"/>
      <c r="IDZ5" s="72"/>
      <c r="IEA5" s="72"/>
      <c r="IEB5" s="72"/>
      <c r="IEC5" s="72"/>
      <c r="IED5" s="72"/>
      <c r="IEE5" s="72"/>
      <c r="IEF5" s="72"/>
      <c r="IEG5" s="72"/>
      <c r="IEH5" s="72"/>
      <c r="IEI5" s="72"/>
      <c r="IEJ5" s="72"/>
      <c r="IEK5" s="72"/>
      <c r="IEL5" s="72"/>
      <c r="IEM5" s="72"/>
      <c r="IEN5" s="72"/>
      <c r="IEO5" s="72"/>
      <c r="IEP5" s="72"/>
      <c r="IEQ5" s="72"/>
      <c r="IER5" s="72"/>
      <c r="IES5" s="72"/>
      <c r="IET5" s="72"/>
      <c r="IEU5" s="72"/>
      <c r="IEV5" s="72"/>
      <c r="IEW5" s="72"/>
      <c r="IEX5" s="72"/>
      <c r="IEY5" s="72"/>
      <c r="IEZ5" s="72"/>
      <c r="IFA5" s="72"/>
      <c r="IFB5" s="72"/>
      <c r="IFC5" s="72"/>
      <c r="IFD5" s="72"/>
      <c r="IFE5" s="72"/>
      <c r="IFF5" s="72"/>
      <c r="IFG5" s="72"/>
      <c r="IFH5" s="72"/>
      <c r="IFI5" s="72"/>
      <c r="IFJ5" s="72"/>
      <c r="IFK5" s="72"/>
      <c r="IFL5" s="72"/>
      <c r="IFM5" s="72"/>
      <c r="IFN5" s="72"/>
      <c r="IFO5" s="72"/>
      <c r="IFP5" s="72"/>
      <c r="IFQ5" s="72"/>
      <c r="IFR5" s="72"/>
      <c r="IFS5" s="72"/>
      <c r="IFT5" s="72"/>
      <c r="IFU5" s="72"/>
      <c r="IFV5" s="72"/>
      <c r="IFW5" s="72"/>
      <c r="IFX5" s="72"/>
      <c r="IFY5" s="72"/>
      <c r="IFZ5" s="72"/>
      <c r="IGA5" s="72"/>
      <c r="IGB5" s="72"/>
      <c r="IGC5" s="72"/>
      <c r="IGD5" s="72"/>
      <c r="IGE5" s="72"/>
      <c r="IGF5" s="72"/>
      <c r="IGG5" s="72"/>
      <c r="IGH5" s="72"/>
      <c r="IGI5" s="72"/>
      <c r="IGJ5" s="72"/>
      <c r="IGK5" s="72"/>
      <c r="IGL5" s="72"/>
      <c r="IGM5" s="72"/>
      <c r="IGN5" s="72"/>
      <c r="IGO5" s="72"/>
      <c r="IGP5" s="72"/>
      <c r="IGQ5" s="72"/>
      <c r="IGR5" s="72"/>
      <c r="IGS5" s="72"/>
      <c r="IGT5" s="72"/>
      <c r="IGU5" s="72"/>
      <c r="IGV5" s="72"/>
      <c r="IGW5" s="72"/>
      <c r="IGX5" s="72"/>
      <c r="IGY5" s="72"/>
      <c r="IGZ5" s="72"/>
      <c r="IHA5" s="72"/>
      <c r="IHB5" s="72"/>
      <c r="IHC5" s="72"/>
      <c r="IHD5" s="72"/>
      <c r="IHE5" s="72"/>
      <c r="IHF5" s="72"/>
      <c r="IHG5" s="72"/>
      <c r="IHH5" s="72"/>
      <c r="IHI5" s="72"/>
      <c r="IHJ5" s="72"/>
      <c r="IHK5" s="72"/>
      <c r="IHL5" s="72"/>
      <c r="IHM5" s="72"/>
      <c r="IHN5" s="72"/>
      <c r="IHO5" s="72"/>
      <c r="IHP5" s="72"/>
      <c r="IHQ5" s="72"/>
      <c r="IHR5" s="72"/>
      <c r="IHS5" s="72"/>
      <c r="IHT5" s="72"/>
      <c r="IHU5" s="72"/>
      <c r="IHV5" s="72"/>
      <c r="IHW5" s="72"/>
      <c r="IHX5" s="72"/>
      <c r="IHY5" s="72"/>
      <c r="IHZ5" s="72"/>
      <c r="IIA5" s="72"/>
      <c r="IIB5" s="72"/>
      <c r="IIC5" s="72"/>
      <c r="IID5" s="72"/>
      <c r="IIE5" s="72"/>
      <c r="IIF5" s="72"/>
      <c r="IIG5" s="72"/>
      <c r="IIH5" s="72"/>
      <c r="III5" s="72"/>
      <c r="IIJ5" s="72"/>
      <c r="IIK5" s="72"/>
      <c r="IIL5" s="72"/>
      <c r="IIM5" s="72"/>
      <c r="IIN5" s="72"/>
      <c r="IIO5" s="72"/>
      <c r="IIP5" s="72"/>
      <c r="IIQ5" s="72"/>
      <c r="IIR5" s="72"/>
      <c r="IIS5" s="72"/>
      <c r="IIT5" s="72"/>
      <c r="IIU5" s="72"/>
      <c r="IIV5" s="72"/>
      <c r="IIW5" s="72"/>
      <c r="IIX5" s="72"/>
      <c r="IIY5" s="72"/>
      <c r="IIZ5" s="72"/>
      <c r="IJA5" s="72"/>
      <c r="IJB5" s="72"/>
      <c r="IJC5" s="72"/>
      <c r="IJD5" s="72"/>
      <c r="IJE5" s="72"/>
      <c r="IJF5" s="72"/>
      <c r="IJG5" s="72"/>
      <c r="IJH5" s="72"/>
      <c r="IJI5" s="72"/>
      <c r="IJJ5" s="72"/>
      <c r="IJK5" s="72"/>
      <c r="IJL5" s="72"/>
      <c r="IJM5" s="72"/>
      <c r="IJN5" s="72"/>
      <c r="IJO5" s="72"/>
      <c r="IJP5" s="72"/>
      <c r="IJQ5" s="72"/>
      <c r="IJR5" s="72"/>
      <c r="IJS5" s="72"/>
      <c r="IJT5" s="72"/>
      <c r="IJU5" s="72"/>
      <c r="IJV5" s="72"/>
      <c r="IJW5" s="72"/>
      <c r="IJX5" s="72"/>
      <c r="IJY5" s="72"/>
      <c r="IJZ5" s="72"/>
      <c r="IKA5" s="72"/>
      <c r="IKB5" s="72"/>
      <c r="IKC5" s="72"/>
      <c r="IKD5" s="72"/>
      <c r="IKE5" s="72"/>
      <c r="IKF5" s="72"/>
      <c r="IKG5" s="72"/>
      <c r="IKH5" s="72"/>
      <c r="IKI5" s="72"/>
      <c r="IKJ5" s="72"/>
      <c r="IKK5" s="72"/>
      <c r="IKL5" s="72"/>
      <c r="IKM5" s="72"/>
      <c r="IKN5" s="72"/>
      <c r="IKO5" s="72"/>
      <c r="IKP5" s="72"/>
      <c r="IKQ5" s="72"/>
      <c r="IKR5" s="72"/>
      <c r="IKS5" s="72"/>
      <c r="IKT5" s="72"/>
      <c r="IKU5" s="72"/>
      <c r="IKV5" s="72"/>
      <c r="IKW5" s="72"/>
      <c r="IKX5" s="72"/>
      <c r="IKY5" s="72"/>
      <c r="IKZ5" s="72"/>
      <c r="ILA5" s="72"/>
      <c r="ILB5" s="72"/>
      <c r="ILC5" s="72"/>
      <c r="ILD5" s="72"/>
      <c r="ILE5" s="72"/>
      <c r="ILF5" s="72"/>
      <c r="ILG5" s="72"/>
      <c r="ILH5" s="72"/>
      <c r="ILI5" s="72"/>
      <c r="ILJ5" s="72"/>
      <c r="ILK5" s="72"/>
      <c r="ILL5" s="72"/>
      <c r="ILM5" s="72"/>
      <c r="ILN5" s="72"/>
      <c r="ILO5" s="72"/>
      <c r="ILP5" s="72"/>
      <c r="ILQ5" s="72"/>
      <c r="ILR5" s="72"/>
      <c r="ILS5" s="72"/>
      <c r="ILT5" s="72"/>
      <c r="ILU5" s="72"/>
      <c r="ILV5" s="72"/>
      <c r="ILW5" s="72"/>
      <c r="ILX5" s="72"/>
      <c r="ILY5" s="72"/>
      <c r="ILZ5" s="72"/>
      <c r="IMA5" s="72"/>
      <c r="IMB5" s="72"/>
      <c r="IMC5" s="72"/>
      <c r="IMD5" s="72"/>
      <c r="IME5" s="72"/>
      <c r="IMF5" s="72"/>
      <c r="IMG5" s="72"/>
      <c r="IMH5" s="72"/>
      <c r="IMI5" s="72"/>
      <c r="IMJ5" s="72"/>
      <c r="IMK5" s="72"/>
      <c r="IML5" s="72"/>
      <c r="IMM5" s="72"/>
      <c r="IMN5" s="72"/>
      <c r="IMO5" s="72"/>
      <c r="IMP5" s="72"/>
      <c r="IMQ5" s="72"/>
      <c r="IMR5" s="72"/>
      <c r="IMS5" s="72"/>
      <c r="IMT5" s="72"/>
      <c r="IMU5" s="72"/>
      <c r="IMV5" s="72"/>
      <c r="IMW5" s="72"/>
      <c r="IMX5" s="72"/>
      <c r="IMY5" s="72"/>
      <c r="IMZ5" s="72"/>
      <c r="INA5" s="72"/>
      <c r="INB5" s="72"/>
      <c r="INC5" s="72"/>
      <c r="IND5" s="72"/>
      <c r="INE5" s="72"/>
      <c r="INF5" s="72"/>
      <c r="ING5" s="72"/>
      <c r="INH5" s="72"/>
      <c r="INI5" s="72"/>
      <c r="INJ5" s="72"/>
      <c r="INK5" s="72"/>
      <c r="INL5" s="72"/>
      <c r="INM5" s="72"/>
      <c r="INN5" s="72"/>
      <c r="INO5" s="72"/>
      <c r="INP5" s="72"/>
      <c r="INQ5" s="72"/>
      <c r="INR5" s="72"/>
      <c r="INS5" s="72"/>
      <c r="INT5" s="72"/>
      <c r="INU5" s="72"/>
      <c r="INV5" s="72"/>
      <c r="INW5" s="72"/>
      <c r="INX5" s="72"/>
      <c r="INY5" s="72"/>
      <c r="INZ5" s="72"/>
      <c r="IOA5" s="72"/>
      <c r="IOB5" s="72"/>
      <c r="IOC5" s="72"/>
      <c r="IOD5" s="72"/>
      <c r="IOE5" s="72"/>
      <c r="IOF5" s="72"/>
      <c r="IOG5" s="72"/>
      <c r="IOH5" s="72"/>
      <c r="IOI5" s="72"/>
      <c r="IOJ5" s="72"/>
      <c r="IOK5" s="72"/>
      <c r="IOL5" s="72"/>
      <c r="IOM5" s="72"/>
      <c r="ION5" s="72"/>
      <c r="IOO5" s="72"/>
      <c r="IOP5" s="72"/>
      <c r="IOQ5" s="72"/>
      <c r="IOR5" s="72"/>
      <c r="IOS5" s="72"/>
      <c r="IOT5" s="72"/>
      <c r="IOU5" s="72"/>
      <c r="IOV5" s="72"/>
      <c r="IOW5" s="72"/>
      <c r="IOX5" s="72"/>
      <c r="IOY5" s="72"/>
      <c r="IOZ5" s="72"/>
      <c r="IPA5" s="72"/>
      <c r="IPB5" s="72"/>
      <c r="IPC5" s="72"/>
      <c r="IPD5" s="72"/>
      <c r="IPE5" s="72"/>
      <c r="IPF5" s="72"/>
      <c r="IPG5" s="72"/>
      <c r="IPH5" s="72"/>
      <c r="IPI5" s="72"/>
      <c r="IPJ5" s="72"/>
      <c r="IPK5" s="72"/>
      <c r="IPL5" s="72"/>
      <c r="IPM5" s="72"/>
      <c r="IPN5" s="72"/>
      <c r="IPO5" s="72"/>
      <c r="IPP5" s="72"/>
      <c r="IPQ5" s="72"/>
      <c r="IPR5" s="72"/>
      <c r="IPS5" s="72"/>
      <c r="IPT5" s="72"/>
      <c r="IPU5" s="72"/>
      <c r="IPV5" s="72"/>
      <c r="IPW5" s="72"/>
      <c r="IPX5" s="72"/>
      <c r="IPY5" s="72"/>
      <c r="IPZ5" s="72"/>
      <c r="IQA5" s="72"/>
      <c r="IQB5" s="72"/>
      <c r="IQC5" s="72"/>
      <c r="IQD5" s="72"/>
      <c r="IQE5" s="72"/>
      <c r="IQF5" s="72"/>
      <c r="IQG5" s="72"/>
      <c r="IQH5" s="72"/>
      <c r="IQI5" s="72"/>
      <c r="IQJ5" s="72"/>
      <c r="IQK5" s="72"/>
      <c r="IQL5" s="72"/>
      <c r="IQM5" s="72"/>
      <c r="IQN5" s="72"/>
      <c r="IQO5" s="72"/>
      <c r="IQP5" s="72"/>
      <c r="IQQ5" s="72"/>
      <c r="IQR5" s="72"/>
      <c r="IQS5" s="72"/>
      <c r="IQT5" s="72"/>
      <c r="IQU5" s="72"/>
      <c r="IQV5" s="72"/>
      <c r="IQW5" s="72"/>
      <c r="IQX5" s="72"/>
      <c r="IQY5" s="72"/>
      <c r="IQZ5" s="72"/>
      <c r="IRA5" s="72"/>
      <c r="IRB5" s="72"/>
      <c r="IRC5" s="72"/>
      <c r="IRD5" s="72"/>
      <c r="IRE5" s="72"/>
      <c r="IRF5" s="72"/>
      <c r="IRG5" s="72"/>
      <c r="IRH5" s="72"/>
      <c r="IRI5" s="72"/>
      <c r="IRJ5" s="72"/>
      <c r="IRK5" s="72"/>
      <c r="IRL5" s="72"/>
      <c r="IRM5" s="72"/>
      <c r="IRN5" s="72"/>
      <c r="IRO5" s="72"/>
      <c r="IRP5" s="72"/>
      <c r="IRQ5" s="72"/>
      <c r="IRR5" s="72"/>
      <c r="IRS5" s="72"/>
      <c r="IRT5" s="72"/>
      <c r="IRU5" s="72"/>
      <c r="IRV5" s="72"/>
      <c r="IRW5" s="72"/>
      <c r="IRX5" s="72"/>
      <c r="IRY5" s="72"/>
      <c r="IRZ5" s="72"/>
      <c r="ISA5" s="72"/>
      <c r="ISB5" s="72"/>
      <c r="ISC5" s="72"/>
      <c r="ISD5" s="72"/>
      <c r="ISE5" s="72"/>
      <c r="ISF5" s="72"/>
      <c r="ISG5" s="72"/>
      <c r="ISH5" s="72"/>
      <c r="ISI5" s="72"/>
      <c r="ISJ5" s="72"/>
      <c r="ISK5" s="72"/>
      <c r="ISL5" s="72"/>
      <c r="ISM5" s="72"/>
      <c r="ISN5" s="72"/>
      <c r="ISO5" s="72"/>
      <c r="ISP5" s="72"/>
      <c r="ISQ5" s="72"/>
      <c r="ISR5" s="72"/>
      <c r="ISS5" s="72"/>
      <c r="IST5" s="72"/>
      <c r="ISU5" s="72"/>
      <c r="ISV5" s="72"/>
      <c r="ISW5" s="72"/>
      <c r="ISX5" s="72"/>
      <c r="ISY5" s="72"/>
      <c r="ISZ5" s="72"/>
      <c r="ITA5" s="72"/>
      <c r="ITB5" s="72"/>
      <c r="ITC5" s="72"/>
      <c r="ITD5" s="72"/>
      <c r="ITE5" s="72"/>
      <c r="ITF5" s="72"/>
      <c r="ITG5" s="72"/>
      <c r="ITH5" s="72"/>
      <c r="ITI5" s="72"/>
      <c r="ITJ5" s="72"/>
      <c r="ITK5" s="72"/>
      <c r="ITL5" s="72"/>
      <c r="ITM5" s="72"/>
      <c r="ITN5" s="72"/>
      <c r="ITO5" s="72"/>
      <c r="ITP5" s="72"/>
      <c r="ITQ5" s="72"/>
      <c r="ITR5" s="72"/>
      <c r="ITS5" s="72"/>
      <c r="ITT5" s="72"/>
      <c r="ITU5" s="72"/>
      <c r="ITV5" s="72"/>
      <c r="ITW5" s="72"/>
      <c r="ITX5" s="72"/>
      <c r="ITY5" s="72"/>
      <c r="ITZ5" s="72"/>
      <c r="IUA5" s="72"/>
      <c r="IUB5" s="72"/>
      <c r="IUC5" s="72"/>
      <c r="IUD5" s="72"/>
      <c r="IUE5" s="72"/>
      <c r="IUF5" s="72"/>
      <c r="IUG5" s="72"/>
      <c r="IUH5" s="72"/>
      <c r="IUI5" s="72"/>
      <c r="IUJ5" s="72"/>
      <c r="IUK5" s="72"/>
      <c r="IUL5" s="72"/>
      <c r="IUM5" s="72"/>
      <c r="IUN5" s="72"/>
      <c r="IUO5" s="72"/>
      <c r="IUP5" s="72"/>
      <c r="IUQ5" s="72"/>
      <c r="IUR5" s="72"/>
      <c r="IUS5" s="72"/>
      <c r="IUT5" s="72"/>
      <c r="IUU5" s="72"/>
      <c r="IUV5" s="72"/>
      <c r="IUW5" s="72"/>
      <c r="IUX5" s="72"/>
      <c r="IUY5" s="72"/>
      <c r="IUZ5" s="72"/>
      <c r="IVA5" s="72"/>
      <c r="IVB5" s="72"/>
      <c r="IVC5" s="72"/>
      <c r="IVD5" s="72"/>
      <c r="IVE5" s="72"/>
      <c r="IVF5" s="72"/>
      <c r="IVG5" s="72"/>
      <c r="IVH5" s="72"/>
      <c r="IVI5" s="72"/>
      <c r="IVJ5" s="72"/>
      <c r="IVK5" s="72"/>
      <c r="IVL5" s="72"/>
      <c r="IVM5" s="72"/>
      <c r="IVN5" s="72"/>
      <c r="IVO5" s="72"/>
      <c r="IVP5" s="72"/>
      <c r="IVQ5" s="72"/>
      <c r="IVR5" s="72"/>
      <c r="IVS5" s="72"/>
      <c r="IVT5" s="72"/>
      <c r="IVU5" s="72"/>
      <c r="IVV5" s="72"/>
      <c r="IVW5" s="72"/>
      <c r="IVX5" s="72"/>
      <c r="IVY5" s="72"/>
      <c r="IVZ5" s="72"/>
      <c r="IWA5" s="72"/>
      <c r="IWB5" s="72"/>
      <c r="IWC5" s="72"/>
      <c r="IWD5" s="72"/>
      <c r="IWE5" s="72"/>
      <c r="IWF5" s="72"/>
      <c r="IWG5" s="72"/>
      <c r="IWH5" s="72"/>
      <c r="IWI5" s="72"/>
      <c r="IWJ5" s="72"/>
      <c r="IWK5" s="72"/>
      <c r="IWL5" s="72"/>
      <c r="IWM5" s="72"/>
      <c r="IWN5" s="72"/>
      <c r="IWO5" s="72"/>
      <c r="IWP5" s="72"/>
      <c r="IWQ5" s="72"/>
      <c r="IWR5" s="72"/>
      <c r="IWS5" s="72"/>
      <c r="IWT5" s="72"/>
      <c r="IWU5" s="72"/>
      <c r="IWV5" s="72"/>
      <c r="IWW5" s="72"/>
      <c r="IWX5" s="72"/>
      <c r="IWY5" s="72"/>
      <c r="IWZ5" s="72"/>
      <c r="IXA5" s="72"/>
      <c r="IXB5" s="72"/>
      <c r="IXC5" s="72"/>
      <c r="IXD5" s="72"/>
      <c r="IXE5" s="72"/>
      <c r="IXF5" s="72"/>
      <c r="IXG5" s="72"/>
      <c r="IXH5" s="72"/>
      <c r="IXI5" s="72"/>
      <c r="IXJ5" s="72"/>
      <c r="IXK5" s="72"/>
      <c r="IXL5" s="72"/>
      <c r="IXM5" s="72"/>
      <c r="IXN5" s="72"/>
      <c r="IXO5" s="72"/>
      <c r="IXP5" s="72"/>
      <c r="IXQ5" s="72"/>
      <c r="IXR5" s="72"/>
      <c r="IXS5" s="72"/>
      <c r="IXT5" s="72"/>
      <c r="IXU5" s="72"/>
      <c r="IXV5" s="72"/>
      <c r="IXW5" s="72"/>
      <c r="IXX5" s="72"/>
      <c r="IXY5" s="72"/>
      <c r="IXZ5" s="72"/>
      <c r="IYA5" s="72"/>
      <c r="IYB5" s="72"/>
      <c r="IYC5" s="72"/>
      <c r="IYD5" s="72"/>
      <c r="IYE5" s="72"/>
      <c r="IYF5" s="72"/>
      <c r="IYG5" s="72"/>
      <c r="IYH5" s="72"/>
      <c r="IYI5" s="72"/>
      <c r="IYJ5" s="72"/>
      <c r="IYK5" s="72"/>
      <c r="IYL5" s="72"/>
      <c r="IYM5" s="72"/>
      <c r="IYN5" s="72"/>
      <c r="IYO5" s="72"/>
      <c r="IYP5" s="72"/>
      <c r="IYQ5" s="72"/>
      <c r="IYR5" s="72"/>
      <c r="IYS5" s="72"/>
      <c r="IYT5" s="72"/>
      <c r="IYU5" s="72"/>
      <c r="IYV5" s="72"/>
      <c r="IYW5" s="72"/>
      <c r="IYX5" s="72"/>
      <c r="IYY5" s="72"/>
      <c r="IYZ5" s="72"/>
      <c r="IZA5" s="72"/>
      <c r="IZB5" s="72"/>
      <c r="IZC5" s="72"/>
      <c r="IZD5" s="72"/>
      <c r="IZE5" s="72"/>
      <c r="IZF5" s="72"/>
      <c r="IZG5" s="72"/>
      <c r="IZH5" s="72"/>
      <c r="IZI5" s="72"/>
      <c r="IZJ5" s="72"/>
      <c r="IZK5" s="72"/>
      <c r="IZL5" s="72"/>
      <c r="IZM5" s="72"/>
      <c r="IZN5" s="72"/>
      <c r="IZO5" s="72"/>
      <c r="IZP5" s="72"/>
      <c r="IZQ5" s="72"/>
      <c r="IZR5" s="72"/>
      <c r="IZS5" s="72"/>
      <c r="IZT5" s="72"/>
      <c r="IZU5" s="72"/>
      <c r="IZV5" s="72"/>
      <c r="IZW5" s="72"/>
      <c r="IZX5" s="72"/>
      <c r="IZY5" s="72"/>
      <c r="IZZ5" s="72"/>
      <c r="JAA5" s="72"/>
      <c r="JAB5" s="72"/>
      <c r="JAC5" s="72"/>
      <c r="JAD5" s="72"/>
      <c r="JAE5" s="72"/>
      <c r="JAF5" s="72"/>
      <c r="JAG5" s="72"/>
      <c r="JAH5" s="72"/>
      <c r="JAI5" s="72"/>
      <c r="JAJ5" s="72"/>
      <c r="JAK5" s="72"/>
      <c r="JAL5" s="72"/>
      <c r="JAM5" s="72"/>
      <c r="JAN5" s="72"/>
      <c r="JAO5" s="72"/>
      <c r="JAP5" s="72"/>
      <c r="JAQ5" s="72"/>
      <c r="JAR5" s="72"/>
      <c r="JAS5" s="72"/>
      <c r="JAT5" s="72"/>
      <c r="JAU5" s="72"/>
      <c r="JAV5" s="72"/>
      <c r="JAW5" s="72"/>
      <c r="JAX5" s="72"/>
      <c r="JAY5" s="72"/>
      <c r="JAZ5" s="72"/>
      <c r="JBA5" s="72"/>
      <c r="JBB5" s="72"/>
      <c r="JBC5" s="72"/>
      <c r="JBD5" s="72"/>
      <c r="JBE5" s="72"/>
      <c r="JBF5" s="72"/>
      <c r="JBG5" s="72"/>
      <c r="JBH5" s="72"/>
      <c r="JBI5" s="72"/>
      <c r="JBJ5" s="72"/>
      <c r="JBK5" s="72"/>
      <c r="JBL5" s="72"/>
      <c r="JBM5" s="72"/>
      <c r="JBN5" s="72"/>
      <c r="JBO5" s="72"/>
      <c r="JBP5" s="72"/>
      <c r="JBQ5" s="72"/>
      <c r="JBR5" s="72"/>
      <c r="JBS5" s="72"/>
      <c r="JBT5" s="72"/>
      <c r="JBU5" s="72"/>
      <c r="JBV5" s="72"/>
      <c r="JBW5" s="72"/>
      <c r="JBX5" s="72"/>
      <c r="JBY5" s="72"/>
      <c r="JBZ5" s="72"/>
      <c r="JCA5" s="72"/>
      <c r="JCB5" s="72"/>
      <c r="JCC5" s="72"/>
      <c r="JCD5" s="72"/>
      <c r="JCE5" s="72"/>
      <c r="JCF5" s="72"/>
      <c r="JCG5" s="72"/>
      <c r="JCH5" s="72"/>
      <c r="JCI5" s="72"/>
      <c r="JCJ5" s="72"/>
      <c r="JCK5" s="72"/>
      <c r="JCL5" s="72"/>
      <c r="JCM5" s="72"/>
      <c r="JCN5" s="72"/>
      <c r="JCO5" s="72"/>
      <c r="JCP5" s="72"/>
      <c r="JCQ5" s="72"/>
      <c r="JCR5" s="72"/>
      <c r="JCS5" s="72"/>
      <c r="JCT5" s="72"/>
      <c r="JCU5" s="72"/>
      <c r="JCV5" s="72"/>
      <c r="JCW5" s="72"/>
      <c r="JCX5" s="72"/>
      <c r="JCY5" s="72"/>
      <c r="JCZ5" s="72"/>
      <c r="JDA5" s="72"/>
      <c r="JDB5" s="72"/>
      <c r="JDC5" s="72"/>
      <c r="JDD5" s="72"/>
      <c r="JDE5" s="72"/>
      <c r="JDF5" s="72"/>
      <c r="JDG5" s="72"/>
      <c r="JDH5" s="72"/>
      <c r="JDI5" s="72"/>
      <c r="JDJ5" s="72"/>
      <c r="JDK5" s="72"/>
      <c r="JDL5" s="72"/>
      <c r="JDM5" s="72"/>
      <c r="JDN5" s="72"/>
      <c r="JDO5" s="72"/>
      <c r="JDP5" s="72"/>
      <c r="JDQ5" s="72"/>
      <c r="JDR5" s="72"/>
      <c r="JDS5" s="72"/>
      <c r="JDT5" s="72"/>
      <c r="JDU5" s="72"/>
      <c r="JDV5" s="72"/>
      <c r="JDW5" s="72"/>
      <c r="JDX5" s="72"/>
      <c r="JDY5" s="72"/>
      <c r="JDZ5" s="72"/>
      <c r="JEA5" s="72"/>
      <c r="JEB5" s="72"/>
      <c r="JEC5" s="72"/>
      <c r="JED5" s="72"/>
      <c r="JEE5" s="72"/>
      <c r="JEF5" s="72"/>
      <c r="JEG5" s="72"/>
      <c r="JEH5" s="72"/>
      <c r="JEI5" s="72"/>
      <c r="JEJ5" s="72"/>
      <c r="JEK5" s="72"/>
      <c r="JEL5" s="72"/>
      <c r="JEM5" s="72"/>
      <c r="JEN5" s="72"/>
      <c r="JEO5" s="72"/>
      <c r="JEP5" s="72"/>
      <c r="JEQ5" s="72"/>
      <c r="JER5" s="72"/>
      <c r="JES5" s="72"/>
      <c r="JET5" s="72"/>
      <c r="JEU5" s="72"/>
      <c r="JEV5" s="72"/>
      <c r="JEW5" s="72"/>
      <c r="JEX5" s="72"/>
      <c r="JEY5" s="72"/>
      <c r="JEZ5" s="72"/>
      <c r="JFA5" s="72"/>
      <c r="JFB5" s="72"/>
      <c r="JFC5" s="72"/>
      <c r="JFD5" s="72"/>
      <c r="JFE5" s="72"/>
      <c r="JFF5" s="72"/>
      <c r="JFG5" s="72"/>
      <c r="JFH5" s="72"/>
      <c r="JFI5" s="72"/>
      <c r="JFJ5" s="72"/>
      <c r="JFK5" s="72"/>
      <c r="JFL5" s="72"/>
      <c r="JFM5" s="72"/>
      <c r="JFN5" s="72"/>
      <c r="JFO5" s="72"/>
      <c r="JFP5" s="72"/>
      <c r="JFQ5" s="72"/>
      <c r="JFR5" s="72"/>
      <c r="JFS5" s="72"/>
      <c r="JFT5" s="72"/>
      <c r="JFU5" s="72"/>
      <c r="JFV5" s="72"/>
      <c r="JFW5" s="72"/>
      <c r="JFX5" s="72"/>
      <c r="JFY5" s="72"/>
      <c r="JFZ5" s="72"/>
      <c r="JGA5" s="72"/>
      <c r="JGB5" s="72"/>
      <c r="JGC5" s="72"/>
      <c r="JGD5" s="72"/>
      <c r="JGE5" s="72"/>
      <c r="JGF5" s="72"/>
      <c r="JGG5" s="72"/>
      <c r="JGH5" s="72"/>
      <c r="JGI5" s="72"/>
      <c r="JGJ5" s="72"/>
      <c r="JGK5" s="72"/>
      <c r="JGL5" s="72"/>
      <c r="JGM5" s="72"/>
      <c r="JGN5" s="72"/>
      <c r="JGO5" s="72"/>
      <c r="JGP5" s="72"/>
      <c r="JGQ5" s="72"/>
      <c r="JGR5" s="72"/>
      <c r="JGS5" s="72"/>
      <c r="JGT5" s="72"/>
      <c r="JGU5" s="72"/>
      <c r="JGV5" s="72"/>
      <c r="JGW5" s="72"/>
      <c r="JGX5" s="72"/>
      <c r="JGY5" s="72"/>
      <c r="JGZ5" s="72"/>
      <c r="JHA5" s="72"/>
      <c r="JHB5" s="72"/>
      <c r="JHC5" s="72"/>
      <c r="JHD5" s="72"/>
      <c r="JHE5" s="72"/>
      <c r="JHF5" s="72"/>
      <c r="JHG5" s="72"/>
      <c r="JHH5" s="72"/>
      <c r="JHI5" s="72"/>
      <c r="JHJ5" s="72"/>
      <c r="JHK5" s="72"/>
      <c r="JHL5" s="72"/>
      <c r="JHM5" s="72"/>
      <c r="JHN5" s="72"/>
      <c r="JHO5" s="72"/>
      <c r="JHP5" s="72"/>
      <c r="JHQ5" s="72"/>
      <c r="JHR5" s="72"/>
      <c r="JHS5" s="72"/>
      <c r="JHT5" s="72"/>
      <c r="JHU5" s="72"/>
      <c r="JHV5" s="72"/>
      <c r="JHW5" s="72"/>
      <c r="JHX5" s="72"/>
      <c r="JHY5" s="72"/>
      <c r="JHZ5" s="72"/>
      <c r="JIA5" s="72"/>
      <c r="JIB5" s="72"/>
      <c r="JIC5" s="72"/>
      <c r="JID5" s="72"/>
      <c r="JIE5" s="72"/>
      <c r="JIF5" s="72"/>
      <c r="JIG5" s="72"/>
      <c r="JIH5" s="72"/>
      <c r="JII5" s="72"/>
      <c r="JIJ5" s="72"/>
      <c r="JIK5" s="72"/>
      <c r="JIL5" s="72"/>
      <c r="JIM5" s="72"/>
      <c r="JIN5" s="72"/>
      <c r="JIO5" s="72"/>
      <c r="JIP5" s="72"/>
      <c r="JIQ5" s="72"/>
      <c r="JIR5" s="72"/>
      <c r="JIS5" s="72"/>
      <c r="JIT5" s="72"/>
      <c r="JIU5" s="72"/>
      <c r="JIV5" s="72"/>
      <c r="JIW5" s="72"/>
      <c r="JIX5" s="72"/>
      <c r="JIY5" s="72"/>
      <c r="JIZ5" s="72"/>
      <c r="JJA5" s="72"/>
      <c r="JJB5" s="72"/>
      <c r="JJC5" s="72"/>
      <c r="JJD5" s="72"/>
      <c r="JJE5" s="72"/>
      <c r="JJF5" s="72"/>
      <c r="JJG5" s="72"/>
      <c r="JJH5" s="72"/>
      <c r="JJI5" s="72"/>
      <c r="JJJ5" s="72"/>
      <c r="JJK5" s="72"/>
      <c r="JJL5" s="72"/>
      <c r="JJM5" s="72"/>
      <c r="JJN5" s="72"/>
      <c r="JJO5" s="72"/>
      <c r="JJP5" s="72"/>
      <c r="JJQ5" s="72"/>
      <c r="JJR5" s="72"/>
      <c r="JJS5" s="72"/>
      <c r="JJT5" s="72"/>
      <c r="JJU5" s="72"/>
      <c r="JJV5" s="72"/>
      <c r="JJW5" s="72"/>
      <c r="JJX5" s="72"/>
      <c r="JJY5" s="72"/>
      <c r="JJZ5" s="72"/>
      <c r="JKA5" s="72"/>
      <c r="JKB5" s="72"/>
      <c r="JKC5" s="72"/>
      <c r="JKD5" s="72"/>
      <c r="JKE5" s="72"/>
      <c r="JKF5" s="72"/>
      <c r="JKG5" s="72"/>
      <c r="JKH5" s="72"/>
      <c r="JKI5" s="72"/>
      <c r="JKJ5" s="72"/>
      <c r="JKK5" s="72"/>
      <c r="JKL5" s="72"/>
      <c r="JKM5" s="72"/>
      <c r="JKN5" s="72"/>
      <c r="JKO5" s="72"/>
      <c r="JKP5" s="72"/>
      <c r="JKQ5" s="72"/>
      <c r="JKR5" s="72"/>
      <c r="JKS5" s="72"/>
      <c r="JKT5" s="72"/>
      <c r="JKU5" s="72"/>
      <c r="JKV5" s="72"/>
      <c r="JKW5" s="72"/>
      <c r="JKX5" s="72"/>
      <c r="JKY5" s="72"/>
      <c r="JKZ5" s="72"/>
      <c r="JLA5" s="72"/>
      <c r="JLB5" s="72"/>
      <c r="JLC5" s="72"/>
      <c r="JLD5" s="72"/>
      <c r="JLE5" s="72"/>
      <c r="JLF5" s="72"/>
      <c r="JLG5" s="72"/>
      <c r="JLH5" s="72"/>
      <c r="JLI5" s="72"/>
      <c r="JLJ5" s="72"/>
      <c r="JLK5" s="72"/>
      <c r="JLL5" s="72"/>
      <c r="JLM5" s="72"/>
      <c r="JLN5" s="72"/>
      <c r="JLO5" s="72"/>
      <c r="JLP5" s="72"/>
      <c r="JLQ5" s="72"/>
      <c r="JLR5" s="72"/>
      <c r="JLS5" s="72"/>
      <c r="JLT5" s="72"/>
      <c r="JLU5" s="72"/>
      <c r="JLV5" s="72"/>
      <c r="JLW5" s="72"/>
      <c r="JLX5" s="72"/>
      <c r="JLY5" s="72"/>
      <c r="JLZ5" s="72"/>
      <c r="JMA5" s="72"/>
      <c r="JMB5" s="72"/>
      <c r="JMC5" s="72"/>
      <c r="JMD5" s="72"/>
      <c r="JME5" s="72"/>
      <c r="JMF5" s="72"/>
      <c r="JMG5" s="72"/>
      <c r="JMH5" s="72"/>
      <c r="JMI5" s="72"/>
      <c r="JMJ5" s="72"/>
      <c r="JMK5" s="72"/>
      <c r="JML5" s="72"/>
      <c r="JMM5" s="72"/>
      <c r="JMN5" s="72"/>
      <c r="JMO5" s="72"/>
      <c r="JMP5" s="72"/>
      <c r="JMQ5" s="72"/>
      <c r="JMR5" s="72"/>
      <c r="JMS5" s="72"/>
      <c r="JMT5" s="72"/>
      <c r="JMU5" s="72"/>
      <c r="JMV5" s="72"/>
      <c r="JMW5" s="72"/>
      <c r="JMX5" s="72"/>
      <c r="JMY5" s="72"/>
      <c r="JMZ5" s="72"/>
      <c r="JNA5" s="72"/>
      <c r="JNB5" s="72"/>
      <c r="JNC5" s="72"/>
      <c r="JND5" s="72"/>
      <c r="JNE5" s="72"/>
      <c r="JNF5" s="72"/>
      <c r="JNG5" s="72"/>
      <c r="JNH5" s="72"/>
      <c r="JNI5" s="72"/>
      <c r="JNJ5" s="72"/>
      <c r="JNK5" s="72"/>
      <c r="JNL5" s="72"/>
      <c r="JNM5" s="72"/>
      <c r="JNN5" s="72"/>
      <c r="JNO5" s="72"/>
      <c r="JNP5" s="72"/>
      <c r="JNQ5" s="72"/>
      <c r="JNR5" s="72"/>
      <c r="JNS5" s="72"/>
      <c r="JNT5" s="72"/>
      <c r="JNU5" s="72"/>
      <c r="JNV5" s="72"/>
      <c r="JNW5" s="72"/>
      <c r="JNX5" s="72"/>
      <c r="JNY5" s="72"/>
      <c r="JNZ5" s="72"/>
      <c r="JOA5" s="72"/>
      <c r="JOB5" s="72"/>
      <c r="JOC5" s="72"/>
      <c r="JOD5" s="72"/>
      <c r="JOE5" s="72"/>
      <c r="JOF5" s="72"/>
      <c r="JOG5" s="72"/>
      <c r="JOH5" s="72"/>
      <c r="JOI5" s="72"/>
      <c r="JOJ5" s="72"/>
      <c r="JOK5" s="72"/>
      <c r="JOL5" s="72"/>
      <c r="JOM5" s="72"/>
      <c r="JON5" s="72"/>
      <c r="JOO5" s="72"/>
      <c r="JOP5" s="72"/>
      <c r="JOQ5" s="72"/>
      <c r="JOR5" s="72"/>
      <c r="JOS5" s="72"/>
      <c r="JOT5" s="72"/>
      <c r="JOU5" s="72"/>
      <c r="JOV5" s="72"/>
      <c r="JOW5" s="72"/>
      <c r="JOX5" s="72"/>
      <c r="JOY5" s="72"/>
      <c r="JOZ5" s="72"/>
      <c r="JPA5" s="72"/>
      <c r="JPB5" s="72"/>
      <c r="JPC5" s="72"/>
      <c r="JPD5" s="72"/>
      <c r="JPE5" s="72"/>
      <c r="JPF5" s="72"/>
      <c r="JPG5" s="72"/>
      <c r="JPH5" s="72"/>
      <c r="JPI5" s="72"/>
      <c r="JPJ5" s="72"/>
      <c r="JPK5" s="72"/>
      <c r="JPL5" s="72"/>
      <c r="JPM5" s="72"/>
      <c r="JPN5" s="72"/>
      <c r="JPO5" s="72"/>
      <c r="JPP5" s="72"/>
      <c r="JPQ5" s="72"/>
      <c r="JPR5" s="72"/>
      <c r="JPS5" s="72"/>
      <c r="JPT5" s="72"/>
      <c r="JPU5" s="72"/>
      <c r="JPV5" s="72"/>
      <c r="JPW5" s="72"/>
      <c r="JPX5" s="72"/>
      <c r="JPY5" s="72"/>
      <c r="JPZ5" s="72"/>
      <c r="JQA5" s="72"/>
      <c r="JQB5" s="72"/>
      <c r="JQC5" s="72"/>
      <c r="JQD5" s="72"/>
      <c r="JQE5" s="72"/>
      <c r="JQF5" s="72"/>
      <c r="JQG5" s="72"/>
      <c r="JQH5" s="72"/>
      <c r="JQI5" s="72"/>
      <c r="JQJ5" s="72"/>
      <c r="JQK5" s="72"/>
      <c r="JQL5" s="72"/>
      <c r="JQM5" s="72"/>
      <c r="JQN5" s="72"/>
      <c r="JQO5" s="72"/>
      <c r="JQP5" s="72"/>
      <c r="JQQ5" s="72"/>
      <c r="JQR5" s="72"/>
      <c r="JQS5" s="72"/>
      <c r="JQT5" s="72"/>
      <c r="JQU5" s="72"/>
      <c r="JQV5" s="72"/>
      <c r="JQW5" s="72"/>
      <c r="JQX5" s="72"/>
      <c r="JQY5" s="72"/>
      <c r="JQZ5" s="72"/>
      <c r="JRA5" s="72"/>
      <c r="JRB5" s="72"/>
      <c r="JRC5" s="72"/>
      <c r="JRD5" s="72"/>
      <c r="JRE5" s="72"/>
      <c r="JRF5" s="72"/>
      <c r="JRG5" s="72"/>
      <c r="JRH5" s="72"/>
      <c r="JRI5" s="72"/>
      <c r="JRJ5" s="72"/>
      <c r="JRK5" s="72"/>
      <c r="JRL5" s="72"/>
      <c r="JRM5" s="72"/>
      <c r="JRN5" s="72"/>
      <c r="JRO5" s="72"/>
      <c r="JRP5" s="72"/>
      <c r="JRQ5" s="72"/>
      <c r="JRR5" s="72"/>
      <c r="JRS5" s="72"/>
      <c r="JRT5" s="72"/>
      <c r="JRU5" s="72"/>
      <c r="JRV5" s="72"/>
      <c r="JRW5" s="72"/>
      <c r="JRX5" s="72"/>
      <c r="JRY5" s="72"/>
      <c r="JRZ5" s="72"/>
      <c r="JSA5" s="72"/>
      <c r="JSB5" s="72"/>
      <c r="JSC5" s="72"/>
      <c r="JSD5" s="72"/>
      <c r="JSE5" s="72"/>
      <c r="JSF5" s="72"/>
      <c r="JSG5" s="72"/>
      <c r="JSH5" s="72"/>
      <c r="JSI5" s="72"/>
      <c r="JSJ5" s="72"/>
      <c r="JSK5" s="72"/>
      <c r="JSL5" s="72"/>
      <c r="JSM5" s="72"/>
      <c r="JSN5" s="72"/>
      <c r="JSO5" s="72"/>
      <c r="JSP5" s="72"/>
      <c r="JSQ5" s="72"/>
      <c r="JSR5" s="72"/>
      <c r="JSS5" s="72"/>
      <c r="JST5" s="72"/>
      <c r="JSU5" s="72"/>
      <c r="JSV5" s="72"/>
      <c r="JSW5" s="72"/>
      <c r="JSX5" s="72"/>
      <c r="JSY5" s="72"/>
      <c r="JSZ5" s="72"/>
      <c r="JTA5" s="72"/>
      <c r="JTB5" s="72"/>
      <c r="JTC5" s="72"/>
      <c r="JTD5" s="72"/>
      <c r="JTE5" s="72"/>
      <c r="JTF5" s="72"/>
      <c r="JTG5" s="72"/>
      <c r="JTH5" s="72"/>
      <c r="JTI5" s="72"/>
      <c r="JTJ5" s="72"/>
      <c r="JTK5" s="72"/>
      <c r="JTL5" s="72"/>
      <c r="JTM5" s="72"/>
      <c r="JTN5" s="72"/>
      <c r="JTO5" s="72"/>
      <c r="JTP5" s="72"/>
      <c r="JTQ5" s="72"/>
      <c r="JTR5" s="72"/>
      <c r="JTS5" s="72"/>
      <c r="JTT5" s="72"/>
      <c r="JTU5" s="72"/>
      <c r="JTV5" s="72"/>
      <c r="JTW5" s="72"/>
      <c r="JTX5" s="72"/>
      <c r="JTY5" s="72"/>
      <c r="JTZ5" s="72"/>
      <c r="JUA5" s="72"/>
      <c r="JUB5" s="72"/>
      <c r="JUC5" s="72"/>
      <c r="JUD5" s="72"/>
      <c r="JUE5" s="72"/>
      <c r="JUF5" s="72"/>
      <c r="JUG5" s="72"/>
      <c r="JUH5" s="72"/>
      <c r="JUI5" s="72"/>
      <c r="JUJ5" s="72"/>
      <c r="JUK5" s="72"/>
      <c r="JUL5" s="72"/>
      <c r="JUM5" s="72"/>
      <c r="JUN5" s="72"/>
      <c r="JUO5" s="72"/>
      <c r="JUP5" s="72"/>
      <c r="JUQ5" s="72"/>
      <c r="JUR5" s="72"/>
      <c r="JUS5" s="72"/>
      <c r="JUT5" s="72"/>
      <c r="JUU5" s="72"/>
      <c r="JUV5" s="72"/>
      <c r="JUW5" s="72"/>
      <c r="JUX5" s="72"/>
      <c r="JUY5" s="72"/>
      <c r="JUZ5" s="72"/>
      <c r="JVA5" s="72"/>
      <c r="JVB5" s="72"/>
      <c r="JVC5" s="72"/>
      <c r="JVD5" s="72"/>
      <c r="JVE5" s="72"/>
      <c r="JVF5" s="72"/>
      <c r="JVG5" s="72"/>
      <c r="JVH5" s="72"/>
      <c r="JVI5" s="72"/>
      <c r="JVJ5" s="72"/>
      <c r="JVK5" s="72"/>
      <c r="JVL5" s="72"/>
      <c r="JVM5" s="72"/>
      <c r="JVN5" s="72"/>
      <c r="JVO5" s="72"/>
      <c r="JVP5" s="72"/>
      <c r="JVQ5" s="72"/>
      <c r="JVR5" s="72"/>
      <c r="JVS5" s="72"/>
      <c r="JVT5" s="72"/>
      <c r="JVU5" s="72"/>
      <c r="JVV5" s="72"/>
      <c r="JVW5" s="72"/>
      <c r="JVX5" s="72"/>
      <c r="JVY5" s="72"/>
      <c r="JVZ5" s="72"/>
      <c r="JWA5" s="72"/>
      <c r="JWB5" s="72"/>
      <c r="JWC5" s="72"/>
      <c r="JWD5" s="72"/>
      <c r="JWE5" s="72"/>
      <c r="JWF5" s="72"/>
      <c r="JWG5" s="72"/>
      <c r="JWH5" s="72"/>
      <c r="JWI5" s="72"/>
      <c r="JWJ5" s="72"/>
      <c r="JWK5" s="72"/>
      <c r="JWL5" s="72"/>
      <c r="JWM5" s="72"/>
      <c r="JWN5" s="72"/>
      <c r="JWO5" s="72"/>
      <c r="JWP5" s="72"/>
      <c r="JWQ5" s="72"/>
      <c r="JWR5" s="72"/>
      <c r="JWS5" s="72"/>
      <c r="JWT5" s="72"/>
      <c r="JWU5" s="72"/>
      <c r="JWV5" s="72"/>
      <c r="JWW5" s="72"/>
      <c r="JWX5" s="72"/>
      <c r="JWY5" s="72"/>
      <c r="JWZ5" s="72"/>
      <c r="JXA5" s="72"/>
      <c r="JXB5" s="72"/>
      <c r="JXC5" s="72"/>
      <c r="JXD5" s="72"/>
      <c r="JXE5" s="72"/>
      <c r="JXF5" s="72"/>
      <c r="JXG5" s="72"/>
      <c r="JXH5" s="72"/>
      <c r="JXI5" s="72"/>
      <c r="JXJ5" s="72"/>
      <c r="JXK5" s="72"/>
      <c r="JXL5" s="72"/>
      <c r="JXM5" s="72"/>
      <c r="JXN5" s="72"/>
      <c r="JXO5" s="72"/>
      <c r="JXP5" s="72"/>
      <c r="JXQ5" s="72"/>
      <c r="JXR5" s="72"/>
      <c r="JXS5" s="72"/>
      <c r="JXT5" s="72"/>
      <c r="JXU5" s="72"/>
      <c r="JXV5" s="72"/>
      <c r="JXW5" s="72"/>
      <c r="JXX5" s="72"/>
      <c r="JXY5" s="72"/>
      <c r="JXZ5" s="72"/>
      <c r="JYA5" s="72"/>
      <c r="JYB5" s="72"/>
      <c r="JYC5" s="72"/>
      <c r="JYD5" s="72"/>
      <c r="JYE5" s="72"/>
      <c r="JYF5" s="72"/>
      <c r="JYG5" s="72"/>
      <c r="JYH5" s="72"/>
      <c r="JYI5" s="72"/>
      <c r="JYJ5" s="72"/>
      <c r="JYK5" s="72"/>
      <c r="JYL5" s="72"/>
      <c r="JYM5" s="72"/>
      <c r="JYN5" s="72"/>
      <c r="JYO5" s="72"/>
      <c r="JYP5" s="72"/>
      <c r="JYQ5" s="72"/>
      <c r="JYR5" s="72"/>
      <c r="JYS5" s="72"/>
      <c r="JYT5" s="72"/>
      <c r="JYU5" s="72"/>
      <c r="JYV5" s="72"/>
      <c r="JYW5" s="72"/>
      <c r="JYX5" s="72"/>
      <c r="JYY5" s="72"/>
      <c r="JYZ5" s="72"/>
      <c r="JZA5" s="72"/>
      <c r="JZB5" s="72"/>
      <c r="JZC5" s="72"/>
      <c r="JZD5" s="72"/>
      <c r="JZE5" s="72"/>
      <c r="JZF5" s="72"/>
      <c r="JZG5" s="72"/>
      <c r="JZH5" s="72"/>
      <c r="JZI5" s="72"/>
      <c r="JZJ5" s="72"/>
      <c r="JZK5" s="72"/>
      <c r="JZL5" s="72"/>
      <c r="JZM5" s="72"/>
      <c r="JZN5" s="72"/>
      <c r="JZO5" s="72"/>
      <c r="JZP5" s="72"/>
      <c r="JZQ5" s="72"/>
      <c r="JZR5" s="72"/>
      <c r="JZS5" s="72"/>
      <c r="JZT5" s="72"/>
      <c r="JZU5" s="72"/>
      <c r="JZV5" s="72"/>
      <c r="JZW5" s="72"/>
      <c r="JZX5" s="72"/>
      <c r="JZY5" s="72"/>
      <c r="JZZ5" s="72"/>
      <c r="KAA5" s="72"/>
      <c r="KAB5" s="72"/>
      <c r="KAC5" s="72"/>
      <c r="KAD5" s="72"/>
      <c r="KAE5" s="72"/>
      <c r="KAF5" s="72"/>
      <c r="KAG5" s="72"/>
      <c r="KAH5" s="72"/>
      <c r="KAI5" s="72"/>
      <c r="KAJ5" s="72"/>
      <c r="KAK5" s="72"/>
      <c r="KAL5" s="72"/>
      <c r="KAM5" s="72"/>
      <c r="KAN5" s="72"/>
      <c r="KAO5" s="72"/>
      <c r="KAP5" s="72"/>
      <c r="KAQ5" s="72"/>
      <c r="KAR5" s="72"/>
      <c r="KAS5" s="72"/>
      <c r="KAT5" s="72"/>
      <c r="KAU5" s="72"/>
      <c r="KAV5" s="72"/>
      <c r="KAW5" s="72"/>
      <c r="KAX5" s="72"/>
      <c r="KAY5" s="72"/>
      <c r="KAZ5" s="72"/>
      <c r="KBA5" s="72"/>
      <c r="KBB5" s="72"/>
      <c r="KBC5" s="72"/>
      <c r="KBD5" s="72"/>
      <c r="KBE5" s="72"/>
      <c r="KBF5" s="72"/>
      <c r="KBG5" s="72"/>
      <c r="KBH5" s="72"/>
      <c r="KBI5" s="72"/>
      <c r="KBJ5" s="72"/>
      <c r="KBK5" s="72"/>
      <c r="KBL5" s="72"/>
      <c r="KBM5" s="72"/>
      <c r="KBN5" s="72"/>
      <c r="KBO5" s="72"/>
      <c r="KBP5" s="72"/>
      <c r="KBQ5" s="72"/>
      <c r="KBR5" s="72"/>
      <c r="KBS5" s="72"/>
      <c r="KBT5" s="72"/>
      <c r="KBU5" s="72"/>
      <c r="KBV5" s="72"/>
      <c r="KBW5" s="72"/>
      <c r="KBX5" s="72"/>
      <c r="KBY5" s="72"/>
      <c r="KBZ5" s="72"/>
      <c r="KCA5" s="72"/>
      <c r="KCB5" s="72"/>
      <c r="KCC5" s="72"/>
      <c r="KCD5" s="72"/>
      <c r="KCE5" s="72"/>
      <c r="KCF5" s="72"/>
      <c r="KCG5" s="72"/>
      <c r="KCH5" s="72"/>
      <c r="KCI5" s="72"/>
      <c r="KCJ5" s="72"/>
      <c r="KCK5" s="72"/>
      <c r="KCL5" s="72"/>
      <c r="KCM5" s="72"/>
      <c r="KCN5" s="72"/>
      <c r="KCO5" s="72"/>
      <c r="KCP5" s="72"/>
      <c r="KCQ5" s="72"/>
      <c r="KCR5" s="72"/>
      <c r="KCS5" s="72"/>
      <c r="KCT5" s="72"/>
      <c r="KCU5" s="72"/>
      <c r="KCV5" s="72"/>
      <c r="KCW5" s="72"/>
      <c r="KCX5" s="72"/>
      <c r="KCY5" s="72"/>
      <c r="KCZ5" s="72"/>
      <c r="KDA5" s="72"/>
      <c r="KDB5" s="72"/>
      <c r="KDC5" s="72"/>
      <c r="KDD5" s="72"/>
      <c r="KDE5" s="72"/>
      <c r="KDF5" s="72"/>
      <c r="KDG5" s="72"/>
      <c r="KDH5" s="72"/>
      <c r="KDI5" s="72"/>
      <c r="KDJ5" s="72"/>
      <c r="KDK5" s="72"/>
      <c r="KDL5" s="72"/>
      <c r="KDM5" s="72"/>
      <c r="KDN5" s="72"/>
      <c r="KDO5" s="72"/>
      <c r="KDP5" s="72"/>
      <c r="KDQ5" s="72"/>
      <c r="KDR5" s="72"/>
      <c r="KDS5" s="72"/>
      <c r="KDT5" s="72"/>
      <c r="KDU5" s="72"/>
      <c r="KDV5" s="72"/>
      <c r="KDW5" s="72"/>
      <c r="KDX5" s="72"/>
      <c r="KDY5" s="72"/>
      <c r="KDZ5" s="72"/>
      <c r="KEA5" s="72"/>
      <c r="KEB5" s="72"/>
      <c r="KEC5" s="72"/>
      <c r="KED5" s="72"/>
      <c r="KEE5" s="72"/>
      <c r="KEF5" s="72"/>
      <c r="KEG5" s="72"/>
      <c r="KEH5" s="72"/>
      <c r="KEI5" s="72"/>
      <c r="KEJ5" s="72"/>
      <c r="KEK5" s="72"/>
      <c r="KEL5" s="72"/>
      <c r="KEM5" s="72"/>
      <c r="KEN5" s="72"/>
      <c r="KEO5" s="72"/>
      <c r="KEP5" s="72"/>
      <c r="KEQ5" s="72"/>
      <c r="KER5" s="72"/>
      <c r="KES5" s="72"/>
      <c r="KET5" s="72"/>
      <c r="KEU5" s="72"/>
      <c r="KEV5" s="72"/>
      <c r="KEW5" s="72"/>
      <c r="KEX5" s="72"/>
      <c r="KEY5" s="72"/>
      <c r="KEZ5" s="72"/>
      <c r="KFA5" s="72"/>
      <c r="KFB5" s="72"/>
      <c r="KFC5" s="72"/>
      <c r="KFD5" s="72"/>
      <c r="KFE5" s="72"/>
      <c r="KFF5" s="72"/>
      <c r="KFG5" s="72"/>
      <c r="KFH5" s="72"/>
      <c r="KFI5" s="72"/>
      <c r="KFJ5" s="72"/>
      <c r="KFK5" s="72"/>
      <c r="KFL5" s="72"/>
      <c r="KFM5" s="72"/>
      <c r="KFN5" s="72"/>
      <c r="KFO5" s="72"/>
      <c r="KFP5" s="72"/>
      <c r="KFQ5" s="72"/>
      <c r="KFR5" s="72"/>
      <c r="KFS5" s="72"/>
      <c r="KFT5" s="72"/>
      <c r="KFU5" s="72"/>
      <c r="KFV5" s="72"/>
      <c r="KFW5" s="72"/>
      <c r="KFX5" s="72"/>
      <c r="KFY5" s="72"/>
      <c r="KFZ5" s="72"/>
      <c r="KGA5" s="72"/>
      <c r="KGB5" s="72"/>
      <c r="KGC5" s="72"/>
      <c r="KGD5" s="72"/>
      <c r="KGE5" s="72"/>
      <c r="KGF5" s="72"/>
      <c r="KGG5" s="72"/>
      <c r="KGH5" s="72"/>
      <c r="KGI5" s="72"/>
      <c r="KGJ5" s="72"/>
      <c r="KGK5" s="72"/>
      <c r="KGL5" s="72"/>
      <c r="KGM5" s="72"/>
      <c r="KGN5" s="72"/>
      <c r="KGO5" s="72"/>
      <c r="KGP5" s="72"/>
      <c r="KGQ5" s="72"/>
      <c r="KGR5" s="72"/>
      <c r="KGS5" s="72"/>
      <c r="KGT5" s="72"/>
      <c r="KGU5" s="72"/>
      <c r="KGV5" s="72"/>
      <c r="KGW5" s="72"/>
      <c r="KGX5" s="72"/>
      <c r="KGY5" s="72"/>
      <c r="KGZ5" s="72"/>
      <c r="KHA5" s="72"/>
      <c r="KHB5" s="72"/>
      <c r="KHC5" s="72"/>
      <c r="KHD5" s="72"/>
      <c r="KHE5" s="72"/>
      <c r="KHF5" s="72"/>
      <c r="KHG5" s="72"/>
      <c r="KHH5" s="72"/>
      <c r="KHI5" s="72"/>
      <c r="KHJ5" s="72"/>
      <c r="KHK5" s="72"/>
      <c r="KHL5" s="72"/>
      <c r="KHM5" s="72"/>
      <c r="KHN5" s="72"/>
      <c r="KHO5" s="72"/>
      <c r="KHP5" s="72"/>
      <c r="KHQ5" s="72"/>
      <c r="KHR5" s="72"/>
      <c r="KHS5" s="72"/>
      <c r="KHT5" s="72"/>
      <c r="KHU5" s="72"/>
      <c r="KHV5" s="72"/>
      <c r="KHW5" s="72"/>
      <c r="KHX5" s="72"/>
      <c r="KHY5" s="72"/>
      <c r="KHZ5" s="72"/>
      <c r="KIA5" s="72"/>
      <c r="KIB5" s="72"/>
      <c r="KIC5" s="72"/>
      <c r="KID5" s="72"/>
      <c r="KIE5" s="72"/>
      <c r="KIF5" s="72"/>
      <c r="KIG5" s="72"/>
      <c r="KIH5" s="72"/>
      <c r="KII5" s="72"/>
      <c r="KIJ5" s="72"/>
      <c r="KIK5" s="72"/>
      <c r="KIL5" s="72"/>
      <c r="KIM5" s="72"/>
      <c r="KIN5" s="72"/>
      <c r="KIO5" s="72"/>
      <c r="KIP5" s="72"/>
      <c r="KIQ5" s="72"/>
      <c r="KIR5" s="72"/>
      <c r="KIS5" s="72"/>
      <c r="KIT5" s="72"/>
      <c r="KIU5" s="72"/>
      <c r="KIV5" s="72"/>
      <c r="KIW5" s="72"/>
      <c r="KIX5" s="72"/>
      <c r="KIY5" s="72"/>
      <c r="KIZ5" s="72"/>
      <c r="KJA5" s="72"/>
      <c r="KJB5" s="72"/>
      <c r="KJC5" s="72"/>
      <c r="KJD5" s="72"/>
      <c r="KJE5" s="72"/>
      <c r="KJF5" s="72"/>
      <c r="KJG5" s="72"/>
      <c r="KJH5" s="72"/>
      <c r="KJI5" s="72"/>
      <c r="KJJ5" s="72"/>
      <c r="KJK5" s="72"/>
      <c r="KJL5" s="72"/>
      <c r="KJM5" s="72"/>
      <c r="KJN5" s="72"/>
      <c r="KJO5" s="72"/>
      <c r="KJP5" s="72"/>
      <c r="KJQ5" s="72"/>
      <c r="KJR5" s="72"/>
      <c r="KJS5" s="72"/>
      <c r="KJT5" s="72"/>
      <c r="KJU5" s="72"/>
      <c r="KJV5" s="72"/>
      <c r="KJW5" s="72"/>
      <c r="KJX5" s="72"/>
      <c r="KJY5" s="72"/>
      <c r="KJZ5" s="72"/>
      <c r="KKA5" s="72"/>
      <c r="KKB5" s="72"/>
      <c r="KKC5" s="72"/>
      <c r="KKD5" s="72"/>
      <c r="KKE5" s="72"/>
      <c r="KKF5" s="72"/>
      <c r="KKG5" s="72"/>
      <c r="KKH5" s="72"/>
      <c r="KKI5" s="72"/>
      <c r="KKJ5" s="72"/>
      <c r="KKK5" s="72"/>
      <c r="KKL5" s="72"/>
      <c r="KKM5" s="72"/>
      <c r="KKN5" s="72"/>
      <c r="KKO5" s="72"/>
      <c r="KKP5" s="72"/>
      <c r="KKQ5" s="72"/>
      <c r="KKR5" s="72"/>
      <c r="KKS5" s="72"/>
      <c r="KKT5" s="72"/>
      <c r="KKU5" s="72"/>
      <c r="KKV5" s="72"/>
      <c r="KKW5" s="72"/>
      <c r="KKX5" s="72"/>
      <c r="KKY5" s="72"/>
      <c r="KKZ5" s="72"/>
      <c r="KLA5" s="72"/>
      <c r="KLB5" s="72"/>
      <c r="KLC5" s="72"/>
      <c r="KLD5" s="72"/>
      <c r="KLE5" s="72"/>
      <c r="KLF5" s="72"/>
      <c r="KLG5" s="72"/>
      <c r="KLH5" s="72"/>
      <c r="KLI5" s="72"/>
      <c r="KLJ5" s="72"/>
      <c r="KLK5" s="72"/>
      <c r="KLL5" s="72"/>
      <c r="KLM5" s="72"/>
      <c r="KLN5" s="72"/>
      <c r="KLO5" s="72"/>
      <c r="KLP5" s="72"/>
      <c r="KLQ5" s="72"/>
      <c r="KLR5" s="72"/>
      <c r="KLS5" s="72"/>
      <c r="KLT5" s="72"/>
      <c r="KLU5" s="72"/>
      <c r="KLV5" s="72"/>
      <c r="KLW5" s="72"/>
      <c r="KLX5" s="72"/>
      <c r="KLY5" s="72"/>
      <c r="KLZ5" s="72"/>
      <c r="KMA5" s="72"/>
      <c r="KMB5" s="72"/>
      <c r="KMC5" s="72"/>
      <c r="KMD5" s="72"/>
      <c r="KME5" s="72"/>
      <c r="KMF5" s="72"/>
      <c r="KMG5" s="72"/>
      <c r="KMH5" s="72"/>
      <c r="KMI5" s="72"/>
      <c r="KMJ5" s="72"/>
      <c r="KMK5" s="72"/>
      <c r="KML5" s="72"/>
      <c r="KMM5" s="72"/>
      <c r="KMN5" s="72"/>
      <c r="KMO5" s="72"/>
      <c r="KMP5" s="72"/>
      <c r="KMQ5" s="72"/>
      <c r="KMR5" s="72"/>
      <c r="KMS5" s="72"/>
      <c r="KMT5" s="72"/>
      <c r="KMU5" s="72"/>
      <c r="KMV5" s="72"/>
      <c r="KMW5" s="72"/>
      <c r="KMX5" s="72"/>
      <c r="KMY5" s="72"/>
      <c r="KMZ5" s="72"/>
      <c r="KNA5" s="72"/>
      <c r="KNB5" s="72"/>
      <c r="KNC5" s="72"/>
      <c r="KND5" s="72"/>
      <c r="KNE5" s="72"/>
      <c r="KNF5" s="72"/>
      <c r="KNG5" s="72"/>
      <c r="KNH5" s="72"/>
      <c r="KNI5" s="72"/>
      <c r="KNJ5" s="72"/>
      <c r="KNK5" s="72"/>
      <c r="KNL5" s="72"/>
      <c r="KNM5" s="72"/>
      <c r="KNN5" s="72"/>
      <c r="KNO5" s="72"/>
      <c r="KNP5" s="72"/>
      <c r="KNQ5" s="72"/>
      <c r="KNR5" s="72"/>
      <c r="KNS5" s="72"/>
      <c r="KNT5" s="72"/>
      <c r="KNU5" s="72"/>
      <c r="KNV5" s="72"/>
      <c r="KNW5" s="72"/>
      <c r="KNX5" s="72"/>
      <c r="KNY5" s="72"/>
      <c r="KNZ5" s="72"/>
      <c r="KOA5" s="72"/>
      <c r="KOB5" s="72"/>
      <c r="KOC5" s="72"/>
      <c r="KOD5" s="72"/>
      <c r="KOE5" s="72"/>
      <c r="KOF5" s="72"/>
      <c r="KOG5" s="72"/>
      <c r="KOH5" s="72"/>
      <c r="KOI5" s="72"/>
      <c r="KOJ5" s="72"/>
      <c r="KOK5" s="72"/>
      <c r="KOL5" s="72"/>
      <c r="KOM5" s="72"/>
      <c r="KON5" s="72"/>
      <c r="KOO5" s="72"/>
      <c r="KOP5" s="72"/>
      <c r="KOQ5" s="72"/>
      <c r="KOR5" s="72"/>
      <c r="KOS5" s="72"/>
      <c r="KOT5" s="72"/>
      <c r="KOU5" s="72"/>
      <c r="KOV5" s="72"/>
      <c r="KOW5" s="72"/>
      <c r="KOX5" s="72"/>
      <c r="KOY5" s="72"/>
      <c r="KOZ5" s="72"/>
      <c r="KPA5" s="72"/>
      <c r="KPB5" s="72"/>
      <c r="KPC5" s="72"/>
      <c r="KPD5" s="72"/>
      <c r="KPE5" s="72"/>
      <c r="KPF5" s="72"/>
      <c r="KPG5" s="72"/>
      <c r="KPH5" s="72"/>
      <c r="KPI5" s="72"/>
      <c r="KPJ5" s="72"/>
      <c r="KPK5" s="72"/>
      <c r="KPL5" s="72"/>
      <c r="KPM5" s="72"/>
      <c r="KPN5" s="72"/>
      <c r="KPO5" s="72"/>
      <c r="KPP5" s="72"/>
      <c r="KPQ5" s="72"/>
      <c r="KPR5" s="72"/>
      <c r="KPS5" s="72"/>
      <c r="KPT5" s="72"/>
      <c r="KPU5" s="72"/>
      <c r="KPV5" s="72"/>
      <c r="KPW5" s="72"/>
      <c r="KPX5" s="72"/>
      <c r="KPY5" s="72"/>
      <c r="KPZ5" s="72"/>
      <c r="KQA5" s="72"/>
      <c r="KQB5" s="72"/>
      <c r="KQC5" s="72"/>
      <c r="KQD5" s="72"/>
      <c r="KQE5" s="72"/>
      <c r="KQF5" s="72"/>
      <c r="KQG5" s="72"/>
      <c r="KQH5" s="72"/>
      <c r="KQI5" s="72"/>
      <c r="KQJ5" s="72"/>
      <c r="KQK5" s="72"/>
      <c r="KQL5" s="72"/>
      <c r="KQM5" s="72"/>
      <c r="KQN5" s="72"/>
      <c r="KQO5" s="72"/>
      <c r="KQP5" s="72"/>
      <c r="KQQ5" s="72"/>
      <c r="KQR5" s="72"/>
      <c r="KQS5" s="72"/>
      <c r="KQT5" s="72"/>
      <c r="KQU5" s="72"/>
      <c r="KQV5" s="72"/>
      <c r="KQW5" s="72"/>
      <c r="KQX5" s="72"/>
      <c r="KQY5" s="72"/>
      <c r="KQZ5" s="72"/>
      <c r="KRA5" s="72"/>
      <c r="KRB5" s="72"/>
      <c r="KRC5" s="72"/>
      <c r="KRD5" s="72"/>
      <c r="KRE5" s="72"/>
      <c r="KRF5" s="72"/>
      <c r="KRG5" s="72"/>
      <c r="KRH5" s="72"/>
      <c r="KRI5" s="72"/>
      <c r="KRJ5" s="72"/>
      <c r="KRK5" s="72"/>
      <c r="KRL5" s="72"/>
      <c r="KRM5" s="72"/>
      <c r="KRN5" s="72"/>
      <c r="KRO5" s="72"/>
      <c r="KRP5" s="72"/>
      <c r="KRQ5" s="72"/>
      <c r="KRR5" s="72"/>
      <c r="KRS5" s="72"/>
      <c r="KRT5" s="72"/>
      <c r="KRU5" s="72"/>
      <c r="KRV5" s="72"/>
      <c r="KRW5" s="72"/>
      <c r="KRX5" s="72"/>
      <c r="KRY5" s="72"/>
      <c r="KRZ5" s="72"/>
      <c r="KSA5" s="72"/>
      <c r="KSB5" s="72"/>
      <c r="KSC5" s="72"/>
      <c r="KSD5" s="72"/>
      <c r="KSE5" s="72"/>
      <c r="KSF5" s="72"/>
      <c r="KSG5" s="72"/>
      <c r="KSH5" s="72"/>
      <c r="KSI5" s="72"/>
      <c r="KSJ5" s="72"/>
      <c r="KSK5" s="72"/>
      <c r="KSL5" s="72"/>
      <c r="KSM5" s="72"/>
      <c r="KSN5" s="72"/>
      <c r="KSO5" s="72"/>
      <c r="KSP5" s="72"/>
      <c r="KSQ5" s="72"/>
      <c r="KSR5" s="72"/>
      <c r="KSS5" s="72"/>
      <c r="KST5" s="72"/>
      <c r="KSU5" s="72"/>
      <c r="KSV5" s="72"/>
      <c r="KSW5" s="72"/>
      <c r="KSX5" s="72"/>
      <c r="KSY5" s="72"/>
      <c r="KSZ5" s="72"/>
      <c r="KTA5" s="72"/>
      <c r="KTB5" s="72"/>
      <c r="KTC5" s="72"/>
      <c r="KTD5" s="72"/>
      <c r="KTE5" s="72"/>
      <c r="KTF5" s="72"/>
      <c r="KTG5" s="72"/>
      <c r="KTH5" s="72"/>
      <c r="KTI5" s="72"/>
      <c r="KTJ5" s="72"/>
      <c r="KTK5" s="72"/>
      <c r="KTL5" s="72"/>
      <c r="KTM5" s="72"/>
      <c r="KTN5" s="72"/>
      <c r="KTO5" s="72"/>
      <c r="KTP5" s="72"/>
      <c r="KTQ5" s="72"/>
      <c r="KTR5" s="72"/>
      <c r="KTS5" s="72"/>
      <c r="KTT5" s="72"/>
      <c r="KTU5" s="72"/>
      <c r="KTV5" s="72"/>
      <c r="KTW5" s="72"/>
      <c r="KTX5" s="72"/>
      <c r="KTY5" s="72"/>
      <c r="KTZ5" s="72"/>
      <c r="KUA5" s="72"/>
      <c r="KUB5" s="72"/>
      <c r="KUC5" s="72"/>
      <c r="KUD5" s="72"/>
      <c r="KUE5" s="72"/>
      <c r="KUF5" s="72"/>
      <c r="KUG5" s="72"/>
      <c r="KUH5" s="72"/>
      <c r="KUI5" s="72"/>
      <c r="KUJ5" s="72"/>
      <c r="KUK5" s="72"/>
      <c r="KUL5" s="72"/>
      <c r="KUM5" s="72"/>
      <c r="KUN5" s="72"/>
      <c r="KUO5" s="72"/>
      <c r="KUP5" s="72"/>
      <c r="KUQ5" s="72"/>
      <c r="KUR5" s="72"/>
      <c r="KUS5" s="72"/>
      <c r="KUT5" s="72"/>
      <c r="KUU5" s="72"/>
      <c r="KUV5" s="72"/>
      <c r="KUW5" s="72"/>
      <c r="KUX5" s="72"/>
      <c r="KUY5" s="72"/>
      <c r="KUZ5" s="72"/>
      <c r="KVA5" s="72"/>
      <c r="KVB5" s="72"/>
      <c r="KVC5" s="72"/>
      <c r="KVD5" s="72"/>
      <c r="KVE5" s="72"/>
      <c r="KVF5" s="72"/>
      <c r="KVG5" s="72"/>
      <c r="KVH5" s="72"/>
      <c r="KVI5" s="72"/>
      <c r="KVJ5" s="72"/>
      <c r="KVK5" s="72"/>
      <c r="KVL5" s="72"/>
      <c r="KVM5" s="72"/>
      <c r="KVN5" s="72"/>
      <c r="KVO5" s="72"/>
      <c r="KVP5" s="72"/>
      <c r="KVQ5" s="72"/>
      <c r="KVR5" s="72"/>
      <c r="KVS5" s="72"/>
      <c r="KVT5" s="72"/>
      <c r="KVU5" s="72"/>
      <c r="KVV5" s="72"/>
      <c r="KVW5" s="72"/>
      <c r="KVX5" s="72"/>
      <c r="KVY5" s="72"/>
      <c r="KVZ5" s="72"/>
      <c r="KWA5" s="72"/>
      <c r="KWB5" s="72"/>
      <c r="KWC5" s="72"/>
      <c r="KWD5" s="72"/>
      <c r="KWE5" s="72"/>
      <c r="KWF5" s="72"/>
      <c r="KWG5" s="72"/>
      <c r="KWH5" s="72"/>
      <c r="KWI5" s="72"/>
      <c r="KWJ5" s="72"/>
      <c r="KWK5" s="72"/>
      <c r="KWL5" s="72"/>
      <c r="KWM5" s="72"/>
      <c r="KWN5" s="72"/>
      <c r="KWO5" s="72"/>
      <c r="KWP5" s="72"/>
      <c r="KWQ5" s="72"/>
      <c r="KWR5" s="72"/>
      <c r="KWS5" s="72"/>
      <c r="KWT5" s="72"/>
      <c r="KWU5" s="72"/>
      <c r="KWV5" s="72"/>
      <c r="KWW5" s="72"/>
      <c r="KWX5" s="72"/>
      <c r="KWY5" s="72"/>
      <c r="KWZ5" s="72"/>
      <c r="KXA5" s="72"/>
      <c r="KXB5" s="72"/>
      <c r="KXC5" s="72"/>
      <c r="KXD5" s="72"/>
      <c r="KXE5" s="72"/>
      <c r="KXF5" s="72"/>
      <c r="KXG5" s="72"/>
      <c r="KXH5" s="72"/>
      <c r="KXI5" s="72"/>
      <c r="KXJ5" s="72"/>
      <c r="KXK5" s="72"/>
      <c r="KXL5" s="72"/>
      <c r="KXM5" s="72"/>
      <c r="KXN5" s="72"/>
      <c r="KXO5" s="72"/>
      <c r="KXP5" s="72"/>
      <c r="KXQ5" s="72"/>
      <c r="KXR5" s="72"/>
      <c r="KXS5" s="72"/>
      <c r="KXT5" s="72"/>
      <c r="KXU5" s="72"/>
      <c r="KXV5" s="72"/>
      <c r="KXW5" s="72"/>
      <c r="KXX5" s="72"/>
      <c r="KXY5" s="72"/>
      <c r="KXZ5" s="72"/>
      <c r="KYA5" s="72"/>
      <c r="KYB5" s="72"/>
      <c r="KYC5" s="72"/>
      <c r="KYD5" s="72"/>
      <c r="KYE5" s="72"/>
      <c r="KYF5" s="72"/>
      <c r="KYG5" s="72"/>
      <c r="KYH5" s="72"/>
      <c r="KYI5" s="72"/>
      <c r="KYJ5" s="72"/>
      <c r="KYK5" s="72"/>
      <c r="KYL5" s="72"/>
      <c r="KYM5" s="72"/>
      <c r="KYN5" s="72"/>
      <c r="KYO5" s="72"/>
      <c r="KYP5" s="72"/>
      <c r="KYQ5" s="72"/>
      <c r="KYR5" s="72"/>
      <c r="KYS5" s="72"/>
      <c r="KYT5" s="72"/>
      <c r="KYU5" s="72"/>
      <c r="KYV5" s="72"/>
      <c r="KYW5" s="72"/>
      <c r="KYX5" s="72"/>
      <c r="KYY5" s="72"/>
      <c r="KYZ5" s="72"/>
      <c r="KZA5" s="72"/>
      <c r="KZB5" s="72"/>
      <c r="KZC5" s="72"/>
      <c r="KZD5" s="72"/>
      <c r="KZE5" s="72"/>
      <c r="KZF5" s="72"/>
      <c r="KZG5" s="72"/>
      <c r="KZH5" s="72"/>
      <c r="KZI5" s="72"/>
      <c r="KZJ5" s="72"/>
      <c r="KZK5" s="72"/>
      <c r="KZL5" s="72"/>
      <c r="KZM5" s="72"/>
      <c r="KZN5" s="72"/>
      <c r="KZO5" s="72"/>
      <c r="KZP5" s="72"/>
      <c r="KZQ5" s="72"/>
      <c r="KZR5" s="72"/>
      <c r="KZS5" s="72"/>
      <c r="KZT5" s="72"/>
      <c r="KZU5" s="72"/>
      <c r="KZV5" s="72"/>
      <c r="KZW5" s="72"/>
      <c r="KZX5" s="72"/>
      <c r="KZY5" s="72"/>
      <c r="KZZ5" s="72"/>
      <c r="LAA5" s="72"/>
      <c r="LAB5" s="72"/>
      <c r="LAC5" s="72"/>
      <c r="LAD5" s="72"/>
      <c r="LAE5" s="72"/>
      <c r="LAF5" s="72"/>
      <c r="LAG5" s="72"/>
      <c r="LAH5" s="72"/>
      <c r="LAI5" s="72"/>
      <c r="LAJ5" s="72"/>
      <c r="LAK5" s="72"/>
      <c r="LAL5" s="72"/>
      <c r="LAM5" s="72"/>
      <c r="LAN5" s="72"/>
      <c r="LAO5" s="72"/>
      <c r="LAP5" s="72"/>
      <c r="LAQ5" s="72"/>
      <c r="LAR5" s="72"/>
      <c r="LAS5" s="72"/>
      <c r="LAT5" s="72"/>
      <c r="LAU5" s="72"/>
      <c r="LAV5" s="72"/>
      <c r="LAW5" s="72"/>
      <c r="LAX5" s="72"/>
      <c r="LAY5" s="72"/>
      <c r="LAZ5" s="72"/>
      <c r="LBA5" s="72"/>
      <c r="LBB5" s="72"/>
      <c r="LBC5" s="72"/>
      <c r="LBD5" s="72"/>
      <c r="LBE5" s="72"/>
      <c r="LBF5" s="72"/>
      <c r="LBG5" s="72"/>
      <c r="LBH5" s="72"/>
      <c r="LBI5" s="72"/>
      <c r="LBJ5" s="72"/>
      <c r="LBK5" s="72"/>
      <c r="LBL5" s="72"/>
      <c r="LBM5" s="72"/>
      <c r="LBN5" s="72"/>
      <c r="LBO5" s="72"/>
      <c r="LBP5" s="72"/>
      <c r="LBQ5" s="72"/>
      <c r="LBR5" s="72"/>
      <c r="LBS5" s="72"/>
      <c r="LBT5" s="72"/>
      <c r="LBU5" s="72"/>
      <c r="LBV5" s="72"/>
      <c r="LBW5" s="72"/>
      <c r="LBX5" s="72"/>
      <c r="LBY5" s="72"/>
      <c r="LBZ5" s="72"/>
      <c r="LCA5" s="72"/>
      <c r="LCB5" s="72"/>
      <c r="LCC5" s="72"/>
      <c r="LCD5" s="72"/>
      <c r="LCE5" s="72"/>
      <c r="LCF5" s="72"/>
      <c r="LCG5" s="72"/>
      <c r="LCH5" s="72"/>
      <c r="LCI5" s="72"/>
      <c r="LCJ5" s="72"/>
      <c r="LCK5" s="72"/>
      <c r="LCL5" s="72"/>
      <c r="LCM5" s="72"/>
      <c r="LCN5" s="72"/>
      <c r="LCO5" s="72"/>
      <c r="LCP5" s="72"/>
      <c r="LCQ5" s="72"/>
      <c r="LCR5" s="72"/>
      <c r="LCS5" s="72"/>
      <c r="LCT5" s="72"/>
      <c r="LCU5" s="72"/>
      <c r="LCV5" s="72"/>
      <c r="LCW5" s="72"/>
      <c r="LCX5" s="72"/>
      <c r="LCY5" s="72"/>
      <c r="LCZ5" s="72"/>
      <c r="LDA5" s="72"/>
      <c r="LDB5" s="72"/>
      <c r="LDC5" s="72"/>
      <c r="LDD5" s="72"/>
      <c r="LDE5" s="72"/>
      <c r="LDF5" s="72"/>
      <c r="LDG5" s="72"/>
      <c r="LDH5" s="72"/>
      <c r="LDI5" s="72"/>
      <c r="LDJ5" s="72"/>
      <c r="LDK5" s="72"/>
      <c r="LDL5" s="72"/>
      <c r="LDM5" s="72"/>
      <c r="LDN5" s="72"/>
      <c r="LDO5" s="72"/>
      <c r="LDP5" s="72"/>
      <c r="LDQ5" s="72"/>
      <c r="LDR5" s="72"/>
      <c r="LDS5" s="72"/>
      <c r="LDT5" s="72"/>
      <c r="LDU5" s="72"/>
      <c r="LDV5" s="72"/>
      <c r="LDW5" s="72"/>
      <c r="LDX5" s="72"/>
      <c r="LDY5" s="72"/>
      <c r="LDZ5" s="72"/>
      <c r="LEA5" s="72"/>
      <c r="LEB5" s="72"/>
      <c r="LEC5" s="72"/>
      <c r="LED5" s="72"/>
      <c r="LEE5" s="72"/>
      <c r="LEF5" s="72"/>
      <c r="LEG5" s="72"/>
      <c r="LEH5" s="72"/>
      <c r="LEI5" s="72"/>
      <c r="LEJ5" s="72"/>
      <c r="LEK5" s="72"/>
      <c r="LEL5" s="72"/>
      <c r="LEM5" s="72"/>
      <c r="LEN5" s="72"/>
      <c r="LEO5" s="72"/>
      <c r="LEP5" s="72"/>
      <c r="LEQ5" s="72"/>
      <c r="LER5" s="72"/>
      <c r="LES5" s="72"/>
      <c r="LET5" s="72"/>
      <c r="LEU5" s="72"/>
      <c r="LEV5" s="72"/>
      <c r="LEW5" s="72"/>
      <c r="LEX5" s="72"/>
      <c r="LEY5" s="72"/>
      <c r="LEZ5" s="72"/>
      <c r="LFA5" s="72"/>
      <c r="LFB5" s="72"/>
      <c r="LFC5" s="72"/>
      <c r="LFD5" s="72"/>
      <c r="LFE5" s="72"/>
      <c r="LFF5" s="72"/>
      <c r="LFG5" s="72"/>
      <c r="LFH5" s="72"/>
      <c r="LFI5" s="72"/>
      <c r="LFJ5" s="72"/>
      <c r="LFK5" s="72"/>
      <c r="LFL5" s="72"/>
      <c r="LFM5" s="72"/>
      <c r="LFN5" s="72"/>
      <c r="LFO5" s="72"/>
      <c r="LFP5" s="72"/>
      <c r="LFQ5" s="72"/>
      <c r="LFR5" s="72"/>
      <c r="LFS5" s="72"/>
      <c r="LFT5" s="72"/>
      <c r="LFU5" s="72"/>
      <c r="LFV5" s="72"/>
      <c r="LFW5" s="72"/>
      <c r="LFX5" s="72"/>
      <c r="LFY5" s="72"/>
      <c r="LFZ5" s="72"/>
      <c r="LGA5" s="72"/>
      <c r="LGB5" s="72"/>
      <c r="LGC5" s="72"/>
      <c r="LGD5" s="72"/>
      <c r="LGE5" s="72"/>
      <c r="LGF5" s="72"/>
      <c r="LGG5" s="72"/>
      <c r="LGH5" s="72"/>
      <c r="LGI5" s="72"/>
      <c r="LGJ5" s="72"/>
      <c r="LGK5" s="72"/>
      <c r="LGL5" s="72"/>
      <c r="LGM5" s="72"/>
      <c r="LGN5" s="72"/>
      <c r="LGO5" s="72"/>
      <c r="LGP5" s="72"/>
      <c r="LGQ5" s="72"/>
      <c r="LGR5" s="72"/>
      <c r="LGS5" s="72"/>
      <c r="LGT5" s="72"/>
      <c r="LGU5" s="72"/>
      <c r="LGV5" s="72"/>
      <c r="LGW5" s="72"/>
      <c r="LGX5" s="72"/>
      <c r="LGY5" s="72"/>
      <c r="LGZ5" s="72"/>
      <c r="LHA5" s="72"/>
      <c r="LHB5" s="72"/>
      <c r="LHC5" s="72"/>
      <c r="LHD5" s="72"/>
      <c r="LHE5" s="72"/>
      <c r="LHF5" s="72"/>
      <c r="LHG5" s="72"/>
      <c r="LHH5" s="72"/>
      <c r="LHI5" s="72"/>
      <c r="LHJ5" s="72"/>
      <c r="LHK5" s="72"/>
      <c r="LHL5" s="72"/>
      <c r="LHM5" s="72"/>
      <c r="LHN5" s="72"/>
      <c r="LHO5" s="72"/>
      <c r="LHP5" s="72"/>
      <c r="LHQ5" s="72"/>
      <c r="LHR5" s="72"/>
      <c r="LHS5" s="72"/>
      <c r="LHT5" s="72"/>
      <c r="LHU5" s="72"/>
      <c r="LHV5" s="72"/>
      <c r="LHW5" s="72"/>
      <c r="LHX5" s="72"/>
      <c r="LHY5" s="72"/>
      <c r="LHZ5" s="72"/>
      <c r="LIA5" s="72"/>
      <c r="LIB5" s="72"/>
      <c r="LIC5" s="72"/>
      <c r="LID5" s="72"/>
      <c r="LIE5" s="72"/>
      <c r="LIF5" s="72"/>
      <c r="LIG5" s="72"/>
      <c r="LIH5" s="72"/>
      <c r="LII5" s="72"/>
      <c r="LIJ5" s="72"/>
      <c r="LIK5" s="72"/>
      <c r="LIL5" s="72"/>
      <c r="LIM5" s="72"/>
      <c r="LIN5" s="72"/>
      <c r="LIO5" s="72"/>
      <c r="LIP5" s="72"/>
      <c r="LIQ5" s="72"/>
      <c r="LIR5" s="72"/>
      <c r="LIS5" s="72"/>
      <c r="LIT5" s="72"/>
      <c r="LIU5" s="72"/>
      <c r="LIV5" s="72"/>
      <c r="LIW5" s="72"/>
      <c r="LIX5" s="72"/>
      <c r="LIY5" s="72"/>
      <c r="LIZ5" s="72"/>
      <c r="LJA5" s="72"/>
      <c r="LJB5" s="72"/>
      <c r="LJC5" s="72"/>
      <c r="LJD5" s="72"/>
      <c r="LJE5" s="72"/>
      <c r="LJF5" s="72"/>
      <c r="LJG5" s="72"/>
      <c r="LJH5" s="72"/>
      <c r="LJI5" s="72"/>
      <c r="LJJ5" s="72"/>
      <c r="LJK5" s="72"/>
      <c r="LJL5" s="72"/>
      <c r="LJM5" s="72"/>
      <c r="LJN5" s="72"/>
      <c r="LJO5" s="72"/>
      <c r="LJP5" s="72"/>
      <c r="LJQ5" s="72"/>
      <c r="LJR5" s="72"/>
      <c r="LJS5" s="72"/>
      <c r="LJT5" s="72"/>
      <c r="LJU5" s="72"/>
      <c r="LJV5" s="72"/>
      <c r="LJW5" s="72"/>
      <c r="LJX5" s="72"/>
      <c r="LJY5" s="72"/>
      <c r="LJZ5" s="72"/>
      <c r="LKA5" s="72"/>
      <c r="LKB5" s="72"/>
      <c r="LKC5" s="72"/>
      <c r="LKD5" s="72"/>
      <c r="LKE5" s="72"/>
      <c r="LKF5" s="72"/>
      <c r="LKG5" s="72"/>
      <c r="LKH5" s="72"/>
      <c r="LKI5" s="72"/>
      <c r="LKJ5" s="72"/>
      <c r="LKK5" s="72"/>
      <c r="LKL5" s="72"/>
      <c r="LKM5" s="72"/>
      <c r="LKN5" s="72"/>
      <c r="LKO5" s="72"/>
      <c r="LKP5" s="72"/>
      <c r="LKQ5" s="72"/>
      <c r="LKR5" s="72"/>
      <c r="LKS5" s="72"/>
      <c r="LKT5" s="72"/>
      <c r="LKU5" s="72"/>
      <c r="LKV5" s="72"/>
      <c r="LKW5" s="72"/>
      <c r="LKX5" s="72"/>
      <c r="LKY5" s="72"/>
      <c r="LKZ5" s="72"/>
      <c r="LLA5" s="72"/>
      <c r="LLB5" s="72"/>
      <c r="LLC5" s="72"/>
      <c r="LLD5" s="72"/>
      <c r="LLE5" s="72"/>
      <c r="LLF5" s="72"/>
      <c r="LLG5" s="72"/>
      <c r="LLH5" s="72"/>
      <c r="LLI5" s="72"/>
      <c r="LLJ5" s="72"/>
      <c r="LLK5" s="72"/>
      <c r="LLL5" s="72"/>
      <c r="LLM5" s="72"/>
      <c r="LLN5" s="72"/>
      <c r="LLO5" s="72"/>
      <c r="LLP5" s="72"/>
      <c r="LLQ5" s="72"/>
      <c r="LLR5" s="72"/>
      <c r="LLS5" s="72"/>
      <c r="LLT5" s="72"/>
      <c r="LLU5" s="72"/>
      <c r="LLV5" s="72"/>
      <c r="LLW5" s="72"/>
      <c r="LLX5" s="72"/>
      <c r="LLY5" s="72"/>
      <c r="LLZ5" s="72"/>
      <c r="LMA5" s="72"/>
      <c r="LMB5" s="72"/>
      <c r="LMC5" s="72"/>
      <c r="LMD5" s="72"/>
      <c r="LME5" s="72"/>
      <c r="LMF5" s="72"/>
      <c r="LMG5" s="72"/>
      <c r="LMH5" s="72"/>
      <c r="LMI5" s="72"/>
      <c r="LMJ5" s="72"/>
      <c r="LMK5" s="72"/>
      <c r="LML5" s="72"/>
      <c r="LMM5" s="72"/>
      <c r="LMN5" s="72"/>
      <c r="LMO5" s="72"/>
      <c r="LMP5" s="72"/>
      <c r="LMQ5" s="72"/>
      <c r="LMR5" s="72"/>
      <c r="LMS5" s="72"/>
      <c r="LMT5" s="72"/>
      <c r="LMU5" s="72"/>
      <c r="LMV5" s="72"/>
      <c r="LMW5" s="72"/>
      <c r="LMX5" s="72"/>
      <c r="LMY5" s="72"/>
      <c r="LMZ5" s="72"/>
      <c r="LNA5" s="72"/>
      <c r="LNB5" s="72"/>
      <c r="LNC5" s="72"/>
      <c r="LND5" s="72"/>
      <c r="LNE5" s="72"/>
      <c r="LNF5" s="72"/>
      <c r="LNG5" s="72"/>
      <c r="LNH5" s="72"/>
      <c r="LNI5" s="72"/>
      <c r="LNJ5" s="72"/>
      <c r="LNK5" s="72"/>
      <c r="LNL5" s="72"/>
      <c r="LNM5" s="72"/>
      <c r="LNN5" s="72"/>
      <c r="LNO5" s="72"/>
      <c r="LNP5" s="72"/>
      <c r="LNQ5" s="72"/>
      <c r="LNR5" s="72"/>
      <c r="LNS5" s="72"/>
      <c r="LNT5" s="72"/>
      <c r="LNU5" s="72"/>
      <c r="LNV5" s="72"/>
      <c r="LNW5" s="72"/>
      <c r="LNX5" s="72"/>
      <c r="LNY5" s="72"/>
      <c r="LNZ5" s="72"/>
      <c r="LOA5" s="72"/>
      <c r="LOB5" s="72"/>
      <c r="LOC5" s="72"/>
      <c r="LOD5" s="72"/>
      <c r="LOE5" s="72"/>
      <c r="LOF5" s="72"/>
      <c r="LOG5" s="72"/>
      <c r="LOH5" s="72"/>
      <c r="LOI5" s="72"/>
      <c r="LOJ5" s="72"/>
      <c r="LOK5" s="72"/>
      <c r="LOL5" s="72"/>
      <c r="LOM5" s="72"/>
      <c r="LON5" s="72"/>
      <c r="LOO5" s="72"/>
      <c r="LOP5" s="72"/>
      <c r="LOQ5" s="72"/>
      <c r="LOR5" s="72"/>
      <c r="LOS5" s="72"/>
      <c r="LOT5" s="72"/>
      <c r="LOU5" s="72"/>
      <c r="LOV5" s="72"/>
      <c r="LOW5" s="72"/>
      <c r="LOX5" s="72"/>
      <c r="LOY5" s="72"/>
      <c r="LOZ5" s="72"/>
      <c r="LPA5" s="72"/>
      <c r="LPB5" s="72"/>
      <c r="LPC5" s="72"/>
      <c r="LPD5" s="72"/>
      <c r="LPE5" s="72"/>
      <c r="LPF5" s="72"/>
      <c r="LPG5" s="72"/>
      <c r="LPH5" s="72"/>
      <c r="LPI5" s="72"/>
      <c r="LPJ5" s="72"/>
      <c r="LPK5" s="72"/>
      <c r="LPL5" s="72"/>
      <c r="LPM5" s="72"/>
      <c r="LPN5" s="72"/>
      <c r="LPO5" s="72"/>
      <c r="LPP5" s="72"/>
      <c r="LPQ5" s="72"/>
      <c r="LPR5" s="72"/>
      <c r="LPS5" s="72"/>
      <c r="LPT5" s="72"/>
      <c r="LPU5" s="72"/>
      <c r="LPV5" s="72"/>
      <c r="LPW5" s="72"/>
      <c r="LPX5" s="72"/>
      <c r="LPY5" s="72"/>
      <c r="LPZ5" s="72"/>
      <c r="LQA5" s="72"/>
      <c r="LQB5" s="72"/>
      <c r="LQC5" s="72"/>
      <c r="LQD5" s="72"/>
      <c r="LQE5" s="72"/>
      <c r="LQF5" s="72"/>
      <c r="LQG5" s="72"/>
      <c r="LQH5" s="72"/>
      <c r="LQI5" s="72"/>
      <c r="LQJ5" s="72"/>
      <c r="LQK5" s="72"/>
      <c r="LQL5" s="72"/>
      <c r="LQM5" s="72"/>
      <c r="LQN5" s="72"/>
      <c r="LQO5" s="72"/>
      <c r="LQP5" s="72"/>
      <c r="LQQ5" s="72"/>
      <c r="LQR5" s="72"/>
      <c r="LQS5" s="72"/>
      <c r="LQT5" s="72"/>
      <c r="LQU5" s="72"/>
      <c r="LQV5" s="72"/>
      <c r="LQW5" s="72"/>
      <c r="LQX5" s="72"/>
      <c r="LQY5" s="72"/>
      <c r="LQZ5" s="72"/>
      <c r="LRA5" s="72"/>
      <c r="LRB5" s="72"/>
      <c r="LRC5" s="72"/>
      <c r="LRD5" s="72"/>
      <c r="LRE5" s="72"/>
      <c r="LRF5" s="72"/>
      <c r="LRG5" s="72"/>
      <c r="LRH5" s="72"/>
      <c r="LRI5" s="72"/>
      <c r="LRJ5" s="72"/>
      <c r="LRK5" s="72"/>
      <c r="LRL5" s="72"/>
      <c r="LRM5" s="72"/>
      <c r="LRN5" s="72"/>
      <c r="LRO5" s="72"/>
      <c r="LRP5" s="72"/>
      <c r="LRQ5" s="72"/>
      <c r="LRR5" s="72"/>
      <c r="LRS5" s="72"/>
      <c r="LRT5" s="72"/>
      <c r="LRU5" s="72"/>
      <c r="LRV5" s="72"/>
      <c r="LRW5" s="72"/>
      <c r="LRX5" s="72"/>
      <c r="LRY5" s="72"/>
      <c r="LRZ5" s="72"/>
      <c r="LSA5" s="72"/>
      <c r="LSB5" s="72"/>
      <c r="LSC5" s="72"/>
      <c r="LSD5" s="72"/>
      <c r="LSE5" s="72"/>
      <c r="LSF5" s="72"/>
      <c r="LSG5" s="72"/>
      <c r="LSH5" s="72"/>
      <c r="LSI5" s="72"/>
      <c r="LSJ5" s="72"/>
      <c r="LSK5" s="72"/>
      <c r="LSL5" s="72"/>
      <c r="LSM5" s="72"/>
      <c r="LSN5" s="72"/>
      <c r="LSO5" s="72"/>
      <c r="LSP5" s="72"/>
      <c r="LSQ5" s="72"/>
      <c r="LSR5" s="72"/>
      <c r="LSS5" s="72"/>
      <c r="LST5" s="72"/>
      <c r="LSU5" s="72"/>
      <c r="LSV5" s="72"/>
      <c r="LSW5" s="72"/>
      <c r="LSX5" s="72"/>
      <c r="LSY5" s="72"/>
      <c r="LSZ5" s="72"/>
      <c r="LTA5" s="72"/>
      <c r="LTB5" s="72"/>
      <c r="LTC5" s="72"/>
      <c r="LTD5" s="72"/>
      <c r="LTE5" s="72"/>
      <c r="LTF5" s="72"/>
      <c r="LTG5" s="72"/>
      <c r="LTH5" s="72"/>
      <c r="LTI5" s="72"/>
      <c r="LTJ5" s="72"/>
      <c r="LTK5" s="72"/>
      <c r="LTL5" s="72"/>
      <c r="LTM5" s="72"/>
      <c r="LTN5" s="72"/>
      <c r="LTO5" s="72"/>
      <c r="LTP5" s="72"/>
      <c r="LTQ5" s="72"/>
      <c r="LTR5" s="72"/>
      <c r="LTS5" s="72"/>
      <c r="LTT5" s="72"/>
      <c r="LTU5" s="72"/>
      <c r="LTV5" s="72"/>
      <c r="LTW5" s="72"/>
      <c r="LTX5" s="72"/>
      <c r="LTY5" s="72"/>
      <c r="LTZ5" s="72"/>
      <c r="LUA5" s="72"/>
      <c r="LUB5" s="72"/>
      <c r="LUC5" s="72"/>
      <c r="LUD5" s="72"/>
      <c r="LUE5" s="72"/>
      <c r="LUF5" s="72"/>
      <c r="LUG5" s="72"/>
      <c r="LUH5" s="72"/>
      <c r="LUI5" s="72"/>
      <c r="LUJ5" s="72"/>
      <c r="LUK5" s="72"/>
      <c r="LUL5" s="72"/>
      <c r="LUM5" s="72"/>
      <c r="LUN5" s="72"/>
      <c r="LUO5" s="72"/>
      <c r="LUP5" s="72"/>
      <c r="LUQ5" s="72"/>
      <c r="LUR5" s="72"/>
      <c r="LUS5" s="72"/>
      <c r="LUT5" s="72"/>
      <c r="LUU5" s="72"/>
      <c r="LUV5" s="72"/>
      <c r="LUW5" s="72"/>
      <c r="LUX5" s="72"/>
      <c r="LUY5" s="72"/>
      <c r="LUZ5" s="72"/>
      <c r="LVA5" s="72"/>
      <c r="LVB5" s="72"/>
      <c r="LVC5" s="72"/>
      <c r="LVD5" s="72"/>
      <c r="LVE5" s="72"/>
      <c r="LVF5" s="72"/>
      <c r="LVG5" s="72"/>
      <c r="LVH5" s="72"/>
      <c r="LVI5" s="72"/>
      <c r="LVJ5" s="72"/>
      <c r="LVK5" s="72"/>
      <c r="LVL5" s="72"/>
      <c r="LVM5" s="72"/>
      <c r="LVN5" s="72"/>
      <c r="LVO5" s="72"/>
      <c r="LVP5" s="72"/>
      <c r="LVQ5" s="72"/>
      <c r="LVR5" s="72"/>
      <c r="LVS5" s="72"/>
      <c r="LVT5" s="72"/>
      <c r="LVU5" s="72"/>
      <c r="LVV5" s="72"/>
      <c r="LVW5" s="72"/>
      <c r="LVX5" s="72"/>
      <c r="LVY5" s="72"/>
      <c r="LVZ5" s="72"/>
      <c r="LWA5" s="72"/>
      <c r="LWB5" s="72"/>
      <c r="LWC5" s="72"/>
      <c r="LWD5" s="72"/>
      <c r="LWE5" s="72"/>
      <c r="LWF5" s="72"/>
      <c r="LWG5" s="72"/>
      <c r="LWH5" s="72"/>
      <c r="LWI5" s="72"/>
      <c r="LWJ5" s="72"/>
      <c r="LWK5" s="72"/>
      <c r="LWL5" s="72"/>
      <c r="LWM5" s="72"/>
      <c r="LWN5" s="72"/>
      <c r="LWO5" s="72"/>
      <c r="LWP5" s="72"/>
      <c r="LWQ5" s="72"/>
      <c r="LWR5" s="72"/>
      <c r="LWS5" s="72"/>
      <c r="LWT5" s="72"/>
      <c r="LWU5" s="72"/>
      <c r="LWV5" s="72"/>
      <c r="LWW5" s="72"/>
      <c r="LWX5" s="72"/>
      <c r="LWY5" s="72"/>
      <c r="LWZ5" s="72"/>
      <c r="LXA5" s="72"/>
      <c r="LXB5" s="72"/>
      <c r="LXC5" s="72"/>
      <c r="LXD5" s="72"/>
      <c r="LXE5" s="72"/>
      <c r="LXF5" s="72"/>
      <c r="LXG5" s="72"/>
      <c r="LXH5" s="72"/>
      <c r="LXI5" s="72"/>
      <c r="LXJ5" s="72"/>
      <c r="LXK5" s="72"/>
      <c r="LXL5" s="72"/>
      <c r="LXM5" s="72"/>
      <c r="LXN5" s="72"/>
      <c r="LXO5" s="72"/>
      <c r="LXP5" s="72"/>
      <c r="LXQ5" s="72"/>
      <c r="LXR5" s="72"/>
      <c r="LXS5" s="72"/>
      <c r="LXT5" s="72"/>
      <c r="LXU5" s="72"/>
      <c r="LXV5" s="72"/>
      <c r="LXW5" s="72"/>
      <c r="LXX5" s="72"/>
      <c r="LXY5" s="72"/>
      <c r="LXZ5" s="72"/>
      <c r="LYA5" s="72"/>
      <c r="LYB5" s="72"/>
      <c r="LYC5" s="72"/>
      <c r="LYD5" s="72"/>
      <c r="LYE5" s="72"/>
      <c r="LYF5" s="72"/>
      <c r="LYG5" s="72"/>
      <c r="LYH5" s="72"/>
      <c r="LYI5" s="72"/>
      <c r="LYJ5" s="72"/>
      <c r="LYK5" s="72"/>
      <c r="LYL5" s="72"/>
      <c r="LYM5" s="72"/>
      <c r="LYN5" s="72"/>
      <c r="LYO5" s="72"/>
      <c r="LYP5" s="72"/>
      <c r="LYQ5" s="72"/>
      <c r="LYR5" s="72"/>
      <c r="LYS5" s="72"/>
      <c r="LYT5" s="72"/>
      <c r="LYU5" s="72"/>
      <c r="LYV5" s="72"/>
      <c r="LYW5" s="72"/>
      <c r="LYX5" s="72"/>
      <c r="LYY5" s="72"/>
      <c r="LYZ5" s="72"/>
      <c r="LZA5" s="72"/>
      <c r="LZB5" s="72"/>
      <c r="LZC5" s="72"/>
      <c r="LZD5" s="72"/>
      <c r="LZE5" s="72"/>
      <c r="LZF5" s="72"/>
      <c r="LZG5" s="72"/>
      <c r="LZH5" s="72"/>
      <c r="LZI5" s="72"/>
      <c r="LZJ5" s="72"/>
      <c r="LZK5" s="72"/>
      <c r="LZL5" s="72"/>
      <c r="LZM5" s="72"/>
      <c r="LZN5" s="72"/>
      <c r="LZO5" s="72"/>
      <c r="LZP5" s="72"/>
      <c r="LZQ5" s="72"/>
      <c r="LZR5" s="72"/>
      <c r="LZS5" s="72"/>
      <c r="LZT5" s="72"/>
      <c r="LZU5" s="72"/>
      <c r="LZV5" s="72"/>
      <c r="LZW5" s="72"/>
      <c r="LZX5" s="72"/>
      <c r="LZY5" s="72"/>
      <c r="LZZ5" s="72"/>
      <c r="MAA5" s="72"/>
      <c r="MAB5" s="72"/>
      <c r="MAC5" s="72"/>
      <c r="MAD5" s="72"/>
      <c r="MAE5" s="72"/>
      <c r="MAF5" s="72"/>
      <c r="MAG5" s="72"/>
      <c r="MAH5" s="72"/>
      <c r="MAI5" s="72"/>
      <c r="MAJ5" s="72"/>
      <c r="MAK5" s="72"/>
      <c r="MAL5" s="72"/>
      <c r="MAM5" s="72"/>
      <c r="MAN5" s="72"/>
      <c r="MAO5" s="72"/>
      <c r="MAP5" s="72"/>
      <c r="MAQ5" s="72"/>
      <c r="MAR5" s="72"/>
      <c r="MAS5" s="72"/>
      <c r="MAT5" s="72"/>
      <c r="MAU5" s="72"/>
      <c r="MAV5" s="72"/>
      <c r="MAW5" s="72"/>
      <c r="MAX5" s="72"/>
      <c r="MAY5" s="72"/>
      <c r="MAZ5" s="72"/>
      <c r="MBA5" s="72"/>
      <c r="MBB5" s="72"/>
      <c r="MBC5" s="72"/>
      <c r="MBD5" s="72"/>
      <c r="MBE5" s="72"/>
      <c r="MBF5" s="72"/>
      <c r="MBG5" s="72"/>
      <c r="MBH5" s="72"/>
      <c r="MBI5" s="72"/>
      <c r="MBJ5" s="72"/>
      <c r="MBK5" s="72"/>
      <c r="MBL5" s="72"/>
      <c r="MBM5" s="72"/>
      <c r="MBN5" s="72"/>
      <c r="MBO5" s="72"/>
      <c r="MBP5" s="72"/>
      <c r="MBQ5" s="72"/>
      <c r="MBR5" s="72"/>
      <c r="MBS5" s="72"/>
      <c r="MBT5" s="72"/>
      <c r="MBU5" s="72"/>
      <c r="MBV5" s="72"/>
      <c r="MBW5" s="72"/>
      <c r="MBX5" s="72"/>
      <c r="MBY5" s="72"/>
      <c r="MBZ5" s="72"/>
      <c r="MCA5" s="72"/>
      <c r="MCB5" s="72"/>
      <c r="MCC5" s="72"/>
      <c r="MCD5" s="72"/>
      <c r="MCE5" s="72"/>
      <c r="MCF5" s="72"/>
      <c r="MCG5" s="72"/>
      <c r="MCH5" s="72"/>
      <c r="MCI5" s="72"/>
      <c r="MCJ5" s="72"/>
      <c r="MCK5" s="72"/>
      <c r="MCL5" s="72"/>
      <c r="MCM5" s="72"/>
      <c r="MCN5" s="72"/>
      <c r="MCO5" s="72"/>
      <c r="MCP5" s="72"/>
      <c r="MCQ5" s="72"/>
      <c r="MCR5" s="72"/>
      <c r="MCS5" s="72"/>
      <c r="MCT5" s="72"/>
      <c r="MCU5" s="72"/>
      <c r="MCV5" s="72"/>
      <c r="MCW5" s="72"/>
      <c r="MCX5" s="72"/>
      <c r="MCY5" s="72"/>
      <c r="MCZ5" s="72"/>
      <c r="MDA5" s="72"/>
      <c r="MDB5" s="72"/>
      <c r="MDC5" s="72"/>
      <c r="MDD5" s="72"/>
      <c r="MDE5" s="72"/>
      <c r="MDF5" s="72"/>
      <c r="MDG5" s="72"/>
      <c r="MDH5" s="72"/>
      <c r="MDI5" s="72"/>
      <c r="MDJ5" s="72"/>
      <c r="MDK5" s="72"/>
      <c r="MDL5" s="72"/>
      <c r="MDM5" s="72"/>
      <c r="MDN5" s="72"/>
      <c r="MDO5" s="72"/>
      <c r="MDP5" s="72"/>
      <c r="MDQ5" s="72"/>
      <c r="MDR5" s="72"/>
      <c r="MDS5" s="72"/>
      <c r="MDT5" s="72"/>
      <c r="MDU5" s="72"/>
      <c r="MDV5" s="72"/>
      <c r="MDW5" s="72"/>
      <c r="MDX5" s="72"/>
      <c r="MDY5" s="72"/>
      <c r="MDZ5" s="72"/>
      <c r="MEA5" s="72"/>
      <c r="MEB5" s="72"/>
      <c r="MEC5" s="72"/>
      <c r="MED5" s="72"/>
      <c r="MEE5" s="72"/>
      <c r="MEF5" s="72"/>
      <c r="MEG5" s="72"/>
      <c r="MEH5" s="72"/>
      <c r="MEI5" s="72"/>
      <c r="MEJ5" s="72"/>
      <c r="MEK5" s="72"/>
      <c r="MEL5" s="72"/>
      <c r="MEM5" s="72"/>
      <c r="MEN5" s="72"/>
      <c r="MEO5" s="72"/>
      <c r="MEP5" s="72"/>
      <c r="MEQ5" s="72"/>
      <c r="MER5" s="72"/>
      <c r="MES5" s="72"/>
      <c r="MET5" s="72"/>
      <c r="MEU5" s="72"/>
      <c r="MEV5" s="72"/>
      <c r="MEW5" s="72"/>
      <c r="MEX5" s="72"/>
      <c r="MEY5" s="72"/>
      <c r="MEZ5" s="72"/>
      <c r="MFA5" s="72"/>
      <c r="MFB5" s="72"/>
      <c r="MFC5" s="72"/>
      <c r="MFD5" s="72"/>
      <c r="MFE5" s="72"/>
      <c r="MFF5" s="72"/>
      <c r="MFG5" s="72"/>
      <c r="MFH5" s="72"/>
      <c r="MFI5" s="72"/>
      <c r="MFJ5" s="72"/>
      <c r="MFK5" s="72"/>
      <c r="MFL5" s="72"/>
      <c r="MFM5" s="72"/>
      <c r="MFN5" s="72"/>
      <c r="MFO5" s="72"/>
      <c r="MFP5" s="72"/>
      <c r="MFQ5" s="72"/>
      <c r="MFR5" s="72"/>
      <c r="MFS5" s="72"/>
      <c r="MFT5" s="72"/>
      <c r="MFU5" s="72"/>
      <c r="MFV5" s="72"/>
      <c r="MFW5" s="72"/>
      <c r="MFX5" s="72"/>
      <c r="MFY5" s="72"/>
      <c r="MFZ5" s="72"/>
      <c r="MGA5" s="72"/>
      <c r="MGB5" s="72"/>
      <c r="MGC5" s="72"/>
      <c r="MGD5" s="72"/>
      <c r="MGE5" s="72"/>
      <c r="MGF5" s="72"/>
      <c r="MGG5" s="72"/>
      <c r="MGH5" s="72"/>
      <c r="MGI5" s="72"/>
      <c r="MGJ5" s="72"/>
      <c r="MGK5" s="72"/>
      <c r="MGL5" s="72"/>
      <c r="MGM5" s="72"/>
      <c r="MGN5" s="72"/>
      <c r="MGO5" s="72"/>
      <c r="MGP5" s="72"/>
      <c r="MGQ5" s="72"/>
      <c r="MGR5" s="72"/>
      <c r="MGS5" s="72"/>
      <c r="MGT5" s="72"/>
      <c r="MGU5" s="72"/>
      <c r="MGV5" s="72"/>
      <c r="MGW5" s="72"/>
      <c r="MGX5" s="72"/>
      <c r="MGY5" s="72"/>
      <c r="MGZ5" s="72"/>
      <c r="MHA5" s="72"/>
      <c r="MHB5" s="72"/>
      <c r="MHC5" s="72"/>
      <c r="MHD5" s="72"/>
      <c r="MHE5" s="72"/>
      <c r="MHF5" s="72"/>
      <c r="MHG5" s="72"/>
      <c r="MHH5" s="72"/>
      <c r="MHI5" s="72"/>
      <c r="MHJ5" s="72"/>
      <c r="MHK5" s="72"/>
      <c r="MHL5" s="72"/>
      <c r="MHM5" s="72"/>
      <c r="MHN5" s="72"/>
      <c r="MHO5" s="72"/>
      <c r="MHP5" s="72"/>
      <c r="MHQ5" s="72"/>
      <c r="MHR5" s="72"/>
      <c r="MHS5" s="72"/>
      <c r="MHT5" s="72"/>
      <c r="MHU5" s="72"/>
      <c r="MHV5" s="72"/>
      <c r="MHW5" s="72"/>
      <c r="MHX5" s="72"/>
      <c r="MHY5" s="72"/>
      <c r="MHZ5" s="72"/>
      <c r="MIA5" s="72"/>
      <c r="MIB5" s="72"/>
      <c r="MIC5" s="72"/>
      <c r="MID5" s="72"/>
      <c r="MIE5" s="72"/>
      <c r="MIF5" s="72"/>
      <c r="MIG5" s="72"/>
      <c r="MIH5" s="72"/>
      <c r="MII5" s="72"/>
      <c r="MIJ5" s="72"/>
      <c r="MIK5" s="72"/>
      <c r="MIL5" s="72"/>
      <c r="MIM5" s="72"/>
      <c r="MIN5" s="72"/>
      <c r="MIO5" s="72"/>
      <c r="MIP5" s="72"/>
      <c r="MIQ5" s="72"/>
      <c r="MIR5" s="72"/>
      <c r="MIS5" s="72"/>
      <c r="MIT5" s="72"/>
      <c r="MIU5" s="72"/>
      <c r="MIV5" s="72"/>
      <c r="MIW5" s="72"/>
      <c r="MIX5" s="72"/>
      <c r="MIY5" s="72"/>
      <c r="MIZ5" s="72"/>
      <c r="MJA5" s="72"/>
      <c r="MJB5" s="72"/>
      <c r="MJC5" s="72"/>
      <c r="MJD5" s="72"/>
      <c r="MJE5" s="72"/>
      <c r="MJF5" s="72"/>
      <c r="MJG5" s="72"/>
      <c r="MJH5" s="72"/>
      <c r="MJI5" s="72"/>
      <c r="MJJ5" s="72"/>
      <c r="MJK5" s="72"/>
      <c r="MJL5" s="72"/>
      <c r="MJM5" s="72"/>
      <c r="MJN5" s="72"/>
      <c r="MJO5" s="72"/>
      <c r="MJP5" s="72"/>
      <c r="MJQ5" s="72"/>
      <c r="MJR5" s="72"/>
      <c r="MJS5" s="72"/>
      <c r="MJT5" s="72"/>
      <c r="MJU5" s="72"/>
      <c r="MJV5" s="72"/>
      <c r="MJW5" s="72"/>
      <c r="MJX5" s="72"/>
      <c r="MJY5" s="72"/>
      <c r="MJZ5" s="72"/>
      <c r="MKA5" s="72"/>
      <c r="MKB5" s="72"/>
      <c r="MKC5" s="72"/>
      <c r="MKD5" s="72"/>
      <c r="MKE5" s="72"/>
      <c r="MKF5" s="72"/>
      <c r="MKG5" s="72"/>
      <c r="MKH5" s="72"/>
      <c r="MKI5" s="72"/>
      <c r="MKJ5" s="72"/>
      <c r="MKK5" s="72"/>
      <c r="MKL5" s="72"/>
      <c r="MKM5" s="72"/>
      <c r="MKN5" s="72"/>
      <c r="MKO5" s="72"/>
      <c r="MKP5" s="72"/>
      <c r="MKQ5" s="72"/>
      <c r="MKR5" s="72"/>
      <c r="MKS5" s="72"/>
      <c r="MKT5" s="72"/>
      <c r="MKU5" s="72"/>
      <c r="MKV5" s="72"/>
      <c r="MKW5" s="72"/>
      <c r="MKX5" s="72"/>
      <c r="MKY5" s="72"/>
      <c r="MKZ5" s="72"/>
      <c r="MLA5" s="72"/>
      <c r="MLB5" s="72"/>
      <c r="MLC5" s="72"/>
      <c r="MLD5" s="72"/>
      <c r="MLE5" s="72"/>
      <c r="MLF5" s="72"/>
      <c r="MLG5" s="72"/>
      <c r="MLH5" s="72"/>
      <c r="MLI5" s="72"/>
      <c r="MLJ5" s="72"/>
      <c r="MLK5" s="72"/>
      <c r="MLL5" s="72"/>
      <c r="MLM5" s="72"/>
      <c r="MLN5" s="72"/>
      <c r="MLO5" s="72"/>
      <c r="MLP5" s="72"/>
      <c r="MLQ5" s="72"/>
      <c r="MLR5" s="72"/>
      <c r="MLS5" s="72"/>
      <c r="MLT5" s="72"/>
      <c r="MLU5" s="72"/>
      <c r="MLV5" s="72"/>
      <c r="MLW5" s="72"/>
      <c r="MLX5" s="72"/>
      <c r="MLY5" s="72"/>
      <c r="MLZ5" s="72"/>
      <c r="MMA5" s="72"/>
      <c r="MMB5" s="72"/>
      <c r="MMC5" s="72"/>
      <c r="MMD5" s="72"/>
      <c r="MME5" s="72"/>
      <c r="MMF5" s="72"/>
      <c r="MMG5" s="72"/>
      <c r="MMH5" s="72"/>
      <c r="MMI5" s="72"/>
      <c r="MMJ5" s="72"/>
      <c r="MMK5" s="72"/>
      <c r="MML5" s="72"/>
      <c r="MMM5" s="72"/>
      <c r="MMN5" s="72"/>
      <c r="MMO5" s="72"/>
      <c r="MMP5" s="72"/>
      <c r="MMQ5" s="72"/>
      <c r="MMR5" s="72"/>
      <c r="MMS5" s="72"/>
      <c r="MMT5" s="72"/>
      <c r="MMU5" s="72"/>
      <c r="MMV5" s="72"/>
      <c r="MMW5" s="72"/>
      <c r="MMX5" s="72"/>
      <c r="MMY5" s="72"/>
      <c r="MMZ5" s="72"/>
      <c r="MNA5" s="72"/>
      <c r="MNB5" s="72"/>
      <c r="MNC5" s="72"/>
      <c r="MND5" s="72"/>
      <c r="MNE5" s="72"/>
      <c r="MNF5" s="72"/>
      <c r="MNG5" s="72"/>
      <c r="MNH5" s="72"/>
      <c r="MNI5" s="72"/>
      <c r="MNJ5" s="72"/>
      <c r="MNK5" s="72"/>
      <c r="MNL5" s="72"/>
      <c r="MNM5" s="72"/>
      <c r="MNN5" s="72"/>
      <c r="MNO5" s="72"/>
      <c r="MNP5" s="72"/>
      <c r="MNQ5" s="72"/>
      <c r="MNR5" s="72"/>
      <c r="MNS5" s="72"/>
      <c r="MNT5" s="72"/>
      <c r="MNU5" s="72"/>
      <c r="MNV5" s="72"/>
      <c r="MNW5" s="72"/>
      <c r="MNX5" s="72"/>
      <c r="MNY5" s="72"/>
      <c r="MNZ5" s="72"/>
      <c r="MOA5" s="72"/>
      <c r="MOB5" s="72"/>
      <c r="MOC5" s="72"/>
      <c r="MOD5" s="72"/>
      <c r="MOE5" s="72"/>
      <c r="MOF5" s="72"/>
      <c r="MOG5" s="72"/>
      <c r="MOH5" s="72"/>
      <c r="MOI5" s="72"/>
      <c r="MOJ5" s="72"/>
      <c r="MOK5" s="72"/>
      <c r="MOL5" s="72"/>
      <c r="MOM5" s="72"/>
      <c r="MON5" s="72"/>
      <c r="MOO5" s="72"/>
      <c r="MOP5" s="72"/>
      <c r="MOQ5" s="72"/>
      <c r="MOR5" s="72"/>
      <c r="MOS5" s="72"/>
      <c r="MOT5" s="72"/>
      <c r="MOU5" s="72"/>
      <c r="MOV5" s="72"/>
      <c r="MOW5" s="72"/>
      <c r="MOX5" s="72"/>
      <c r="MOY5" s="72"/>
      <c r="MOZ5" s="72"/>
      <c r="MPA5" s="72"/>
      <c r="MPB5" s="72"/>
      <c r="MPC5" s="72"/>
      <c r="MPD5" s="72"/>
      <c r="MPE5" s="72"/>
      <c r="MPF5" s="72"/>
      <c r="MPG5" s="72"/>
      <c r="MPH5" s="72"/>
      <c r="MPI5" s="72"/>
      <c r="MPJ5" s="72"/>
      <c r="MPK5" s="72"/>
      <c r="MPL5" s="72"/>
      <c r="MPM5" s="72"/>
      <c r="MPN5" s="72"/>
      <c r="MPO5" s="72"/>
      <c r="MPP5" s="72"/>
      <c r="MPQ5" s="72"/>
      <c r="MPR5" s="72"/>
      <c r="MPS5" s="72"/>
      <c r="MPT5" s="72"/>
      <c r="MPU5" s="72"/>
      <c r="MPV5" s="72"/>
      <c r="MPW5" s="72"/>
      <c r="MPX5" s="72"/>
      <c r="MPY5" s="72"/>
      <c r="MPZ5" s="72"/>
      <c r="MQA5" s="72"/>
      <c r="MQB5" s="72"/>
      <c r="MQC5" s="72"/>
      <c r="MQD5" s="72"/>
      <c r="MQE5" s="72"/>
      <c r="MQF5" s="72"/>
      <c r="MQG5" s="72"/>
      <c r="MQH5" s="72"/>
      <c r="MQI5" s="72"/>
      <c r="MQJ5" s="72"/>
      <c r="MQK5" s="72"/>
      <c r="MQL5" s="72"/>
      <c r="MQM5" s="72"/>
      <c r="MQN5" s="72"/>
      <c r="MQO5" s="72"/>
      <c r="MQP5" s="72"/>
      <c r="MQQ5" s="72"/>
      <c r="MQR5" s="72"/>
      <c r="MQS5" s="72"/>
      <c r="MQT5" s="72"/>
      <c r="MQU5" s="72"/>
      <c r="MQV5" s="72"/>
      <c r="MQW5" s="72"/>
      <c r="MQX5" s="72"/>
      <c r="MQY5" s="72"/>
      <c r="MQZ5" s="72"/>
      <c r="MRA5" s="72"/>
      <c r="MRB5" s="72"/>
      <c r="MRC5" s="72"/>
      <c r="MRD5" s="72"/>
      <c r="MRE5" s="72"/>
      <c r="MRF5" s="72"/>
      <c r="MRG5" s="72"/>
      <c r="MRH5" s="72"/>
      <c r="MRI5" s="72"/>
      <c r="MRJ5" s="72"/>
      <c r="MRK5" s="72"/>
      <c r="MRL5" s="72"/>
      <c r="MRM5" s="72"/>
      <c r="MRN5" s="72"/>
      <c r="MRO5" s="72"/>
      <c r="MRP5" s="72"/>
      <c r="MRQ5" s="72"/>
      <c r="MRR5" s="72"/>
      <c r="MRS5" s="72"/>
      <c r="MRT5" s="72"/>
      <c r="MRU5" s="72"/>
      <c r="MRV5" s="72"/>
      <c r="MRW5" s="72"/>
      <c r="MRX5" s="72"/>
      <c r="MRY5" s="72"/>
      <c r="MRZ5" s="72"/>
      <c r="MSA5" s="72"/>
      <c r="MSB5" s="72"/>
      <c r="MSC5" s="72"/>
      <c r="MSD5" s="72"/>
      <c r="MSE5" s="72"/>
      <c r="MSF5" s="72"/>
      <c r="MSG5" s="72"/>
      <c r="MSH5" s="72"/>
      <c r="MSI5" s="72"/>
      <c r="MSJ5" s="72"/>
      <c r="MSK5" s="72"/>
      <c r="MSL5" s="72"/>
      <c r="MSM5" s="72"/>
      <c r="MSN5" s="72"/>
      <c r="MSO5" s="72"/>
      <c r="MSP5" s="72"/>
      <c r="MSQ5" s="72"/>
      <c r="MSR5" s="72"/>
      <c r="MSS5" s="72"/>
      <c r="MST5" s="72"/>
      <c r="MSU5" s="72"/>
      <c r="MSV5" s="72"/>
      <c r="MSW5" s="72"/>
      <c r="MSX5" s="72"/>
      <c r="MSY5" s="72"/>
      <c r="MSZ5" s="72"/>
      <c r="MTA5" s="72"/>
      <c r="MTB5" s="72"/>
      <c r="MTC5" s="72"/>
      <c r="MTD5" s="72"/>
      <c r="MTE5" s="72"/>
      <c r="MTF5" s="72"/>
      <c r="MTG5" s="72"/>
      <c r="MTH5" s="72"/>
      <c r="MTI5" s="72"/>
      <c r="MTJ5" s="72"/>
      <c r="MTK5" s="72"/>
      <c r="MTL5" s="72"/>
      <c r="MTM5" s="72"/>
      <c r="MTN5" s="72"/>
      <c r="MTO5" s="72"/>
      <c r="MTP5" s="72"/>
      <c r="MTQ5" s="72"/>
      <c r="MTR5" s="72"/>
      <c r="MTS5" s="72"/>
      <c r="MTT5" s="72"/>
      <c r="MTU5" s="72"/>
      <c r="MTV5" s="72"/>
      <c r="MTW5" s="72"/>
      <c r="MTX5" s="72"/>
      <c r="MTY5" s="72"/>
      <c r="MTZ5" s="72"/>
      <c r="MUA5" s="72"/>
      <c r="MUB5" s="72"/>
      <c r="MUC5" s="72"/>
      <c r="MUD5" s="72"/>
      <c r="MUE5" s="72"/>
      <c r="MUF5" s="72"/>
      <c r="MUG5" s="72"/>
      <c r="MUH5" s="72"/>
      <c r="MUI5" s="72"/>
      <c r="MUJ5" s="72"/>
      <c r="MUK5" s="72"/>
      <c r="MUL5" s="72"/>
      <c r="MUM5" s="72"/>
      <c r="MUN5" s="72"/>
      <c r="MUO5" s="72"/>
      <c r="MUP5" s="72"/>
      <c r="MUQ5" s="72"/>
      <c r="MUR5" s="72"/>
      <c r="MUS5" s="72"/>
      <c r="MUT5" s="72"/>
      <c r="MUU5" s="72"/>
      <c r="MUV5" s="72"/>
      <c r="MUW5" s="72"/>
      <c r="MUX5" s="72"/>
      <c r="MUY5" s="72"/>
      <c r="MUZ5" s="72"/>
      <c r="MVA5" s="72"/>
      <c r="MVB5" s="72"/>
      <c r="MVC5" s="72"/>
      <c r="MVD5" s="72"/>
      <c r="MVE5" s="72"/>
      <c r="MVF5" s="72"/>
      <c r="MVG5" s="72"/>
      <c r="MVH5" s="72"/>
      <c r="MVI5" s="72"/>
      <c r="MVJ5" s="72"/>
      <c r="MVK5" s="72"/>
      <c r="MVL5" s="72"/>
      <c r="MVM5" s="72"/>
      <c r="MVN5" s="72"/>
      <c r="MVO5" s="72"/>
      <c r="MVP5" s="72"/>
      <c r="MVQ5" s="72"/>
      <c r="MVR5" s="72"/>
      <c r="MVS5" s="72"/>
      <c r="MVT5" s="72"/>
      <c r="MVU5" s="72"/>
      <c r="MVV5" s="72"/>
      <c r="MVW5" s="72"/>
      <c r="MVX5" s="72"/>
      <c r="MVY5" s="72"/>
      <c r="MVZ5" s="72"/>
      <c r="MWA5" s="72"/>
      <c r="MWB5" s="72"/>
      <c r="MWC5" s="72"/>
      <c r="MWD5" s="72"/>
      <c r="MWE5" s="72"/>
      <c r="MWF5" s="72"/>
      <c r="MWG5" s="72"/>
      <c r="MWH5" s="72"/>
      <c r="MWI5" s="72"/>
      <c r="MWJ5" s="72"/>
      <c r="MWK5" s="72"/>
      <c r="MWL5" s="72"/>
      <c r="MWM5" s="72"/>
      <c r="MWN5" s="72"/>
      <c r="MWO5" s="72"/>
      <c r="MWP5" s="72"/>
      <c r="MWQ5" s="72"/>
      <c r="MWR5" s="72"/>
      <c r="MWS5" s="72"/>
      <c r="MWT5" s="72"/>
      <c r="MWU5" s="72"/>
      <c r="MWV5" s="72"/>
      <c r="MWW5" s="72"/>
      <c r="MWX5" s="72"/>
      <c r="MWY5" s="72"/>
      <c r="MWZ5" s="72"/>
      <c r="MXA5" s="72"/>
      <c r="MXB5" s="72"/>
      <c r="MXC5" s="72"/>
      <c r="MXD5" s="72"/>
      <c r="MXE5" s="72"/>
      <c r="MXF5" s="72"/>
      <c r="MXG5" s="72"/>
      <c r="MXH5" s="72"/>
      <c r="MXI5" s="72"/>
      <c r="MXJ5" s="72"/>
      <c r="MXK5" s="72"/>
      <c r="MXL5" s="72"/>
      <c r="MXM5" s="72"/>
      <c r="MXN5" s="72"/>
      <c r="MXO5" s="72"/>
      <c r="MXP5" s="72"/>
      <c r="MXQ5" s="72"/>
      <c r="MXR5" s="72"/>
      <c r="MXS5" s="72"/>
      <c r="MXT5" s="72"/>
      <c r="MXU5" s="72"/>
      <c r="MXV5" s="72"/>
      <c r="MXW5" s="72"/>
      <c r="MXX5" s="72"/>
      <c r="MXY5" s="72"/>
      <c r="MXZ5" s="72"/>
      <c r="MYA5" s="72"/>
      <c r="MYB5" s="72"/>
      <c r="MYC5" s="72"/>
      <c r="MYD5" s="72"/>
      <c r="MYE5" s="72"/>
      <c r="MYF5" s="72"/>
      <c r="MYG5" s="72"/>
      <c r="MYH5" s="72"/>
      <c r="MYI5" s="72"/>
      <c r="MYJ5" s="72"/>
      <c r="MYK5" s="72"/>
      <c r="MYL5" s="72"/>
      <c r="MYM5" s="72"/>
      <c r="MYN5" s="72"/>
      <c r="MYO5" s="72"/>
      <c r="MYP5" s="72"/>
      <c r="MYQ5" s="72"/>
      <c r="MYR5" s="72"/>
      <c r="MYS5" s="72"/>
      <c r="MYT5" s="72"/>
      <c r="MYU5" s="72"/>
      <c r="MYV5" s="72"/>
      <c r="MYW5" s="72"/>
      <c r="MYX5" s="72"/>
      <c r="MYY5" s="72"/>
      <c r="MYZ5" s="72"/>
      <c r="MZA5" s="72"/>
      <c r="MZB5" s="72"/>
      <c r="MZC5" s="72"/>
      <c r="MZD5" s="72"/>
      <c r="MZE5" s="72"/>
      <c r="MZF5" s="72"/>
      <c r="MZG5" s="72"/>
      <c r="MZH5" s="72"/>
      <c r="MZI5" s="72"/>
      <c r="MZJ5" s="72"/>
      <c r="MZK5" s="72"/>
      <c r="MZL5" s="72"/>
      <c r="MZM5" s="72"/>
      <c r="MZN5" s="72"/>
      <c r="MZO5" s="72"/>
      <c r="MZP5" s="72"/>
      <c r="MZQ5" s="72"/>
      <c r="MZR5" s="72"/>
      <c r="MZS5" s="72"/>
      <c r="MZT5" s="72"/>
      <c r="MZU5" s="72"/>
      <c r="MZV5" s="72"/>
      <c r="MZW5" s="72"/>
      <c r="MZX5" s="72"/>
      <c r="MZY5" s="72"/>
      <c r="MZZ5" s="72"/>
      <c r="NAA5" s="72"/>
      <c r="NAB5" s="72"/>
      <c r="NAC5" s="72"/>
      <c r="NAD5" s="72"/>
      <c r="NAE5" s="72"/>
      <c r="NAF5" s="72"/>
      <c r="NAG5" s="72"/>
      <c r="NAH5" s="72"/>
      <c r="NAI5" s="72"/>
      <c r="NAJ5" s="72"/>
      <c r="NAK5" s="72"/>
      <c r="NAL5" s="72"/>
      <c r="NAM5" s="72"/>
      <c r="NAN5" s="72"/>
      <c r="NAO5" s="72"/>
      <c r="NAP5" s="72"/>
      <c r="NAQ5" s="72"/>
      <c r="NAR5" s="72"/>
      <c r="NAS5" s="72"/>
      <c r="NAT5" s="72"/>
      <c r="NAU5" s="72"/>
      <c r="NAV5" s="72"/>
      <c r="NAW5" s="72"/>
      <c r="NAX5" s="72"/>
      <c r="NAY5" s="72"/>
      <c r="NAZ5" s="72"/>
      <c r="NBA5" s="72"/>
      <c r="NBB5" s="72"/>
      <c r="NBC5" s="72"/>
      <c r="NBD5" s="72"/>
      <c r="NBE5" s="72"/>
      <c r="NBF5" s="72"/>
      <c r="NBG5" s="72"/>
      <c r="NBH5" s="72"/>
      <c r="NBI5" s="72"/>
      <c r="NBJ5" s="72"/>
      <c r="NBK5" s="72"/>
      <c r="NBL5" s="72"/>
      <c r="NBM5" s="72"/>
      <c r="NBN5" s="72"/>
      <c r="NBO5" s="72"/>
      <c r="NBP5" s="72"/>
      <c r="NBQ5" s="72"/>
      <c r="NBR5" s="72"/>
      <c r="NBS5" s="72"/>
      <c r="NBT5" s="72"/>
      <c r="NBU5" s="72"/>
      <c r="NBV5" s="72"/>
      <c r="NBW5" s="72"/>
      <c r="NBX5" s="72"/>
      <c r="NBY5" s="72"/>
      <c r="NBZ5" s="72"/>
      <c r="NCA5" s="72"/>
      <c r="NCB5" s="72"/>
      <c r="NCC5" s="72"/>
      <c r="NCD5" s="72"/>
      <c r="NCE5" s="72"/>
      <c r="NCF5" s="72"/>
      <c r="NCG5" s="72"/>
      <c r="NCH5" s="72"/>
      <c r="NCI5" s="72"/>
      <c r="NCJ5" s="72"/>
      <c r="NCK5" s="72"/>
      <c r="NCL5" s="72"/>
      <c r="NCM5" s="72"/>
      <c r="NCN5" s="72"/>
      <c r="NCO5" s="72"/>
      <c r="NCP5" s="72"/>
      <c r="NCQ5" s="72"/>
      <c r="NCR5" s="72"/>
      <c r="NCS5" s="72"/>
      <c r="NCT5" s="72"/>
      <c r="NCU5" s="72"/>
      <c r="NCV5" s="72"/>
      <c r="NCW5" s="72"/>
      <c r="NCX5" s="72"/>
      <c r="NCY5" s="72"/>
      <c r="NCZ5" s="72"/>
      <c r="NDA5" s="72"/>
      <c r="NDB5" s="72"/>
      <c r="NDC5" s="72"/>
      <c r="NDD5" s="72"/>
      <c r="NDE5" s="72"/>
      <c r="NDF5" s="72"/>
      <c r="NDG5" s="72"/>
      <c r="NDH5" s="72"/>
      <c r="NDI5" s="72"/>
      <c r="NDJ5" s="72"/>
      <c r="NDK5" s="72"/>
      <c r="NDL5" s="72"/>
      <c r="NDM5" s="72"/>
      <c r="NDN5" s="72"/>
      <c r="NDO5" s="72"/>
      <c r="NDP5" s="72"/>
      <c r="NDQ5" s="72"/>
      <c r="NDR5" s="72"/>
      <c r="NDS5" s="72"/>
      <c r="NDT5" s="72"/>
      <c r="NDU5" s="72"/>
      <c r="NDV5" s="72"/>
      <c r="NDW5" s="72"/>
      <c r="NDX5" s="72"/>
      <c r="NDY5" s="72"/>
      <c r="NDZ5" s="72"/>
      <c r="NEA5" s="72"/>
      <c r="NEB5" s="72"/>
      <c r="NEC5" s="72"/>
      <c r="NED5" s="72"/>
      <c r="NEE5" s="72"/>
      <c r="NEF5" s="72"/>
      <c r="NEG5" s="72"/>
      <c r="NEH5" s="72"/>
      <c r="NEI5" s="72"/>
      <c r="NEJ5" s="72"/>
      <c r="NEK5" s="72"/>
      <c r="NEL5" s="72"/>
      <c r="NEM5" s="72"/>
      <c r="NEN5" s="72"/>
      <c r="NEO5" s="72"/>
      <c r="NEP5" s="72"/>
      <c r="NEQ5" s="72"/>
      <c r="NER5" s="72"/>
      <c r="NES5" s="72"/>
      <c r="NET5" s="72"/>
      <c r="NEU5" s="72"/>
      <c r="NEV5" s="72"/>
      <c r="NEW5" s="72"/>
      <c r="NEX5" s="72"/>
      <c r="NEY5" s="72"/>
      <c r="NEZ5" s="72"/>
      <c r="NFA5" s="72"/>
      <c r="NFB5" s="72"/>
      <c r="NFC5" s="72"/>
      <c r="NFD5" s="72"/>
      <c r="NFE5" s="72"/>
      <c r="NFF5" s="72"/>
      <c r="NFG5" s="72"/>
      <c r="NFH5" s="72"/>
      <c r="NFI5" s="72"/>
      <c r="NFJ5" s="72"/>
      <c r="NFK5" s="72"/>
      <c r="NFL5" s="72"/>
      <c r="NFM5" s="72"/>
      <c r="NFN5" s="72"/>
      <c r="NFO5" s="72"/>
      <c r="NFP5" s="72"/>
      <c r="NFQ5" s="72"/>
      <c r="NFR5" s="72"/>
      <c r="NFS5" s="72"/>
      <c r="NFT5" s="72"/>
      <c r="NFU5" s="72"/>
      <c r="NFV5" s="72"/>
      <c r="NFW5" s="72"/>
      <c r="NFX5" s="72"/>
      <c r="NFY5" s="72"/>
      <c r="NFZ5" s="72"/>
      <c r="NGA5" s="72"/>
      <c r="NGB5" s="72"/>
      <c r="NGC5" s="72"/>
      <c r="NGD5" s="72"/>
      <c r="NGE5" s="72"/>
      <c r="NGF5" s="72"/>
      <c r="NGG5" s="72"/>
      <c r="NGH5" s="72"/>
      <c r="NGI5" s="72"/>
      <c r="NGJ5" s="72"/>
      <c r="NGK5" s="72"/>
      <c r="NGL5" s="72"/>
      <c r="NGM5" s="72"/>
      <c r="NGN5" s="72"/>
      <c r="NGO5" s="72"/>
      <c r="NGP5" s="72"/>
      <c r="NGQ5" s="72"/>
      <c r="NGR5" s="72"/>
      <c r="NGS5" s="72"/>
      <c r="NGT5" s="72"/>
      <c r="NGU5" s="72"/>
      <c r="NGV5" s="72"/>
      <c r="NGW5" s="72"/>
      <c r="NGX5" s="72"/>
      <c r="NGY5" s="72"/>
      <c r="NGZ5" s="72"/>
      <c r="NHA5" s="72"/>
      <c r="NHB5" s="72"/>
      <c r="NHC5" s="72"/>
      <c r="NHD5" s="72"/>
      <c r="NHE5" s="72"/>
      <c r="NHF5" s="72"/>
      <c r="NHG5" s="72"/>
      <c r="NHH5" s="72"/>
      <c r="NHI5" s="72"/>
      <c r="NHJ5" s="72"/>
      <c r="NHK5" s="72"/>
      <c r="NHL5" s="72"/>
      <c r="NHM5" s="72"/>
      <c r="NHN5" s="72"/>
      <c r="NHO5" s="72"/>
      <c r="NHP5" s="72"/>
      <c r="NHQ5" s="72"/>
      <c r="NHR5" s="72"/>
      <c r="NHS5" s="72"/>
      <c r="NHT5" s="72"/>
      <c r="NHU5" s="72"/>
      <c r="NHV5" s="72"/>
      <c r="NHW5" s="72"/>
      <c r="NHX5" s="72"/>
      <c r="NHY5" s="72"/>
      <c r="NHZ5" s="72"/>
      <c r="NIA5" s="72"/>
      <c r="NIB5" s="72"/>
      <c r="NIC5" s="72"/>
      <c r="NID5" s="72"/>
      <c r="NIE5" s="72"/>
      <c r="NIF5" s="72"/>
      <c r="NIG5" s="72"/>
      <c r="NIH5" s="72"/>
      <c r="NII5" s="72"/>
      <c r="NIJ5" s="72"/>
      <c r="NIK5" s="72"/>
      <c r="NIL5" s="72"/>
      <c r="NIM5" s="72"/>
      <c r="NIN5" s="72"/>
      <c r="NIO5" s="72"/>
      <c r="NIP5" s="72"/>
      <c r="NIQ5" s="72"/>
      <c r="NIR5" s="72"/>
      <c r="NIS5" s="72"/>
      <c r="NIT5" s="72"/>
      <c r="NIU5" s="72"/>
      <c r="NIV5" s="72"/>
      <c r="NIW5" s="72"/>
      <c r="NIX5" s="72"/>
      <c r="NIY5" s="72"/>
      <c r="NIZ5" s="72"/>
      <c r="NJA5" s="72"/>
      <c r="NJB5" s="72"/>
      <c r="NJC5" s="72"/>
      <c r="NJD5" s="72"/>
      <c r="NJE5" s="72"/>
      <c r="NJF5" s="72"/>
      <c r="NJG5" s="72"/>
      <c r="NJH5" s="72"/>
      <c r="NJI5" s="72"/>
      <c r="NJJ5" s="72"/>
      <c r="NJK5" s="72"/>
      <c r="NJL5" s="72"/>
      <c r="NJM5" s="72"/>
      <c r="NJN5" s="72"/>
      <c r="NJO5" s="72"/>
      <c r="NJP5" s="72"/>
      <c r="NJQ5" s="72"/>
      <c r="NJR5" s="72"/>
      <c r="NJS5" s="72"/>
      <c r="NJT5" s="72"/>
      <c r="NJU5" s="72"/>
      <c r="NJV5" s="72"/>
      <c r="NJW5" s="72"/>
      <c r="NJX5" s="72"/>
      <c r="NJY5" s="72"/>
      <c r="NJZ5" s="72"/>
      <c r="NKA5" s="72"/>
      <c r="NKB5" s="72"/>
      <c r="NKC5" s="72"/>
      <c r="NKD5" s="72"/>
      <c r="NKE5" s="72"/>
      <c r="NKF5" s="72"/>
      <c r="NKG5" s="72"/>
      <c r="NKH5" s="72"/>
      <c r="NKI5" s="72"/>
      <c r="NKJ5" s="72"/>
      <c r="NKK5" s="72"/>
      <c r="NKL5" s="72"/>
      <c r="NKM5" s="72"/>
      <c r="NKN5" s="72"/>
      <c r="NKO5" s="72"/>
      <c r="NKP5" s="72"/>
      <c r="NKQ5" s="72"/>
      <c r="NKR5" s="72"/>
      <c r="NKS5" s="72"/>
      <c r="NKT5" s="72"/>
      <c r="NKU5" s="72"/>
      <c r="NKV5" s="72"/>
      <c r="NKW5" s="72"/>
      <c r="NKX5" s="72"/>
      <c r="NKY5" s="72"/>
      <c r="NKZ5" s="72"/>
      <c r="NLA5" s="72"/>
      <c r="NLB5" s="72"/>
      <c r="NLC5" s="72"/>
      <c r="NLD5" s="72"/>
      <c r="NLE5" s="72"/>
      <c r="NLF5" s="72"/>
      <c r="NLG5" s="72"/>
      <c r="NLH5" s="72"/>
      <c r="NLI5" s="72"/>
      <c r="NLJ5" s="72"/>
      <c r="NLK5" s="72"/>
      <c r="NLL5" s="72"/>
      <c r="NLM5" s="72"/>
      <c r="NLN5" s="72"/>
      <c r="NLO5" s="72"/>
      <c r="NLP5" s="72"/>
      <c r="NLQ5" s="72"/>
      <c r="NLR5" s="72"/>
      <c r="NLS5" s="72"/>
      <c r="NLT5" s="72"/>
      <c r="NLU5" s="72"/>
      <c r="NLV5" s="72"/>
      <c r="NLW5" s="72"/>
      <c r="NLX5" s="72"/>
      <c r="NLY5" s="72"/>
      <c r="NLZ5" s="72"/>
      <c r="NMA5" s="72"/>
      <c r="NMB5" s="72"/>
      <c r="NMC5" s="72"/>
      <c r="NMD5" s="72"/>
      <c r="NME5" s="72"/>
      <c r="NMF5" s="72"/>
      <c r="NMG5" s="72"/>
      <c r="NMH5" s="72"/>
      <c r="NMI5" s="72"/>
      <c r="NMJ5" s="72"/>
      <c r="NMK5" s="72"/>
      <c r="NML5" s="72"/>
      <c r="NMM5" s="72"/>
      <c r="NMN5" s="72"/>
      <c r="NMO5" s="72"/>
      <c r="NMP5" s="72"/>
      <c r="NMQ5" s="72"/>
      <c r="NMR5" s="72"/>
      <c r="NMS5" s="72"/>
      <c r="NMT5" s="72"/>
      <c r="NMU5" s="72"/>
      <c r="NMV5" s="72"/>
      <c r="NMW5" s="72"/>
      <c r="NMX5" s="72"/>
      <c r="NMY5" s="72"/>
      <c r="NMZ5" s="72"/>
      <c r="NNA5" s="72"/>
      <c r="NNB5" s="72"/>
      <c r="NNC5" s="72"/>
      <c r="NND5" s="72"/>
      <c r="NNE5" s="72"/>
      <c r="NNF5" s="72"/>
      <c r="NNG5" s="72"/>
      <c r="NNH5" s="72"/>
      <c r="NNI5" s="72"/>
      <c r="NNJ5" s="72"/>
      <c r="NNK5" s="72"/>
      <c r="NNL5" s="72"/>
      <c r="NNM5" s="72"/>
      <c r="NNN5" s="72"/>
      <c r="NNO5" s="72"/>
      <c r="NNP5" s="72"/>
      <c r="NNQ5" s="72"/>
      <c r="NNR5" s="72"/>
      <c r="NNS5" s="72"/>
      <c r="NNT5" s="72"/>
      <c r="NNU5" s="72"/>
      <c r="NNV5" s="72"/>
      <c r="NNW5" s="72"/>
      <c r="NNX5" s="72"/>
      <c r="NNY5" s="72"/>
      <c r="NNZ5" s="72"/>
      <c r="NOA5" s="72"/>
      <c r="NOB5" s="72"/>
      <c r="NOC5" s="72"/>
      <c r="NOD5" s="72"/>
      <c r="NOE5" s="72"/>
      <c r="NOF5" s="72"/>
      <c r="NOG5" s="72"/>
      <c r="NOH5" s="72"/>
      <c r="NOI5" s="72"/>
      <c r="NOJ5" s="72"/>
      <c r="NOK5" s="72"/>
      <c r="NOL5" s="72"/>
      <c r="NOM5" s="72"/>
      <c r="NON5" s="72"/>
      <c r="NOO5" s="72"/>
      <c r="NOP5" s="72"/>
      <c r="NOQ5" s="72"/>
      <c r="NOR5" s="72"/>
      <c r="NOS5" s="72"/>
      <c r="NOT5" s="72"/>
      <c r="NOU5" s="72"/>
      <c r="NOV5" s="72"/>
      <c r="NOW5" s="72"/>
      <c r="NOX5" s="72"/>
      <c r="NOY5" s="72"/>
      <c r="NOZ5" s="72"/>
      <c r="NPA5" s="72"/>
      <c r="NPB5" s="72"/>
      <c r="NPC5" s="72"/>
      <c r="NPD5" s="72"/>
      <c r="NPE5" s="72"/>
      <c r="NPF5" s="72"/>
      <c r="NPG5" s="72"/>
      <c r="NPH5" s="72"/>
      <c r="NPI5" s="72"/>
      <c r="NPJ5" s="72"/>
      <c r="NPK5" s="72"/>
      <c r="NPL5" s="72"/>
      <c r="NPM5" s="72"/>
      <c r="NPN5" s="72"/>
      <c r="NPO5" s="72"/>
      <c r="NPP5" s="72"/>
      <c r="NPQ5" s="72"/>
      <c r="NPR5" s="72"/>
      <c r="NPS5" s="72"/>
      <c r="NPT5" s="72"/>
      <c r="NPU5" s="72"/>
      <c r="NPV5" s="72"/>
      <c r="NPW5" s="72"/>
      <c r="NPX5" s="72"/>
      <c r="NPY5" s="72"/>
      <c r="NPZ5" s="72"/>
      <c r="NQA5" s="72"/>
      <c r="NQB5" s="72"/>
      <c r="NQC5" s="72"/>
      <c r="NQD5" s="72"/>
      <c r="NQE5" s="72"/>
      <c r="NQF5" s="72"/>
      <c r="NQG5" s="72"/>
      <c r="NQH5" s="72"/>
      <c r="NQI5" s="72"/>
      <c r="NQJ5" s="72"/>
      <c r="NQK5" s="72"/>
      <c r="NQL5" s="72"/>
      <c r="NQM5" s="72"/>
      <c r="NQN5" s="72"/>
      <c r="NQO5" s="72"/>
      <c r="NQP5" s="72"/>
      <c r="NQQ5" s="72"/>
      <c r="NQR5" s="72"/>
      <c r="NQS5" s="72"/>
      <c r="NQT5" s="72"/>
      <c r="NQU5" s="72"/>
      <c r="NQV5" s="72"/>
      <c r="NQW5" s="72"/>
      <c r="NQX5" s="72"/>
      <c r="NQY5" s="72"/>
      <c r="NQZ5" s="72"/>
      <c r="NRA5" s="72"/>
      <c r="NRB5" s="72"/>
      <c r="NRC5" s="72"/>
      <c r="NRD5" s="72"/>
      <c r="NRE5" s="72"/>
      <c r="NRF5" s="72"/>
      <c r="NRG5" s="72"/>
      <c r="NRH5" s="72"/>
      <c r="NRI5" s="72"/>
      <c r="NRJ5" s="72"/>
      <c r="NRK5" s="72"/>
      <c r="NRL5" s="72"/>
      <c r="NRM5" s="72"/>
      <c r="NRN5" s="72"/>
      <c r="NRO5" s="72"/>
      <c r="NRP5" s="72"/>
      <c r="NRQ5" s="72"/>
      <c r="NRR5" s="72"/>
      <c r="NRS5" s="72"/>
      <c r="NRT5" s="72"/>
      <c r="NRU5" s="72"/>
      <c r="NRV5" s="72"/>
      <c r="NRW5" s="72"/>
      <c r="NRX5" s="72"/>
      <c r="NRY5" s="72"/>
      <c r="NRZ5" s="72"/>
      <c r="NSA5" s="72"/>
      <c r="NSB5" s="72"/>
      <c r="NSC5" s="72"/>
      <c r="NSD5" s="72"/>
      <c r="NSE5" s="72"/>
      <c r="NSF5" s="72"/>
      <c r="NSG5" s="72"/>
      <c r="NSH5" s="72"/>
      <c r="NSI5" s="72"/>
      <c r="NSJ5" s="72"/>
      <c r="NSK5" s="72"/>
      <c r="NSL5" s="72"/>
      <c r="NSM5" s="72"/>
      <c r="NSN5" s="72"/>
      <c r="NSO5" s="72"/>
      <c r="NSP5" s="72"/>
      <c r="NSQ5" s="72"/>
      <c r="NSR5" s="72"/>
      <c r="NSS5" s="72"/>
      <c r="NST5" s="72"/>
      <c r="NSU5" s="72"/>
      <c r="NSV5" s="72"/>
      <c r="NSW5" s="72"/>
      <c r="NSX5" s="72"/>
      <c r="NSY5" s="72"/>
      <c r="NSZ5" s="72"/>
      <c r="NTA5" s="72"/>
      <c r="NTB5" s="72"/>
      <c r="NTC5" s="72"/>
      <c r="NTD5" s="72"/>
      <c r="NTE5" s="72"/>
      <c r="NTF5" s="72"/>
      <c r="NTG5" s="72"/>
      <c r="NTH5" s="72"/>
      <c r="NTI5" s="72"/>
      <c r="NTJ5" s="72"/>
      <c r="NTK5" s="72"/>
      <c r="NTL5" s="72"/>
      <c r="NTM5" s="72"/>
      <c r="NTN5" s="72"/>
      <c r="NTO5" s="72"/>
      <c r="NTP5" s="72"/>
      <c r="NTQ5" s="72"/>
      <c r="NTR5" s="72"/>
      <c r="NTS5" s="72"/>
      <c r="NTT5" s="72"/>
      <c r="NTU5" s="72"/>
      <c r="NTV5" s="72"/>
      <c r="NTW5" s="72"/>
      <c r="NTX5" s="72"/>
      <c r="NTY5" s="72"/>
      <c r="NTZ5" s="72"/>
      <c r="NUA5" s="72"/>
      <c r="NUB5" s="72"/>
      <c r="NUC5" s="72"/>
      <c r="NUD5" s="72"/>
      <c r="NUE5" s="72"/>
      <c r="NUF5" s="72"/>
      <c r="NUG5" s="72"/>
      <c r="NUH5" s="72"/>
      <c r="NUI5" s="72"/>
      <c r="NUJ5" s="72"/>
      <c r="NUK5" s="72"/>
      <c r="NUL5" s="72"/>
      <c r="NUM5" s="72"/>
      <c r="NUN5" s="72"/>
      <c r="NUO5" s="72"/>
      <c r="NUP5" s="72"/>
      <c r="NUQ5" s="72"/>
      <c r="NUR5" s="72"/>
      <c r="NUS5" s="72"/>
      <c r="NUT5" s="72"/>
      <c r="NUU5" s="72"/>
      <c r="NUV5" s="72"/>
      <c r="NUW5" s="72"/>
      <c r="NUX5" s="72"/>
      <c r="NUY5" s="72"/>
      <c r="NUZ5" s="72"/>
      <c r="NVA5" s="72"/>
      <c r="NVB5" s="72"/>
      <c r="NVC5" s="72"/>
      <c r="NVD5" s="72"/>
      <c r="NVE5" s="72"/>
      <c r="NVF5" s="72"/>
      <c r="NVG5" s="72"/>
      <c r="NVH5" s="72"/>
      <c r="NVI5" s="72"/>
      <c r="NVJ5" s="72"/>
      <c r="NVK5" s="72"/>
      <c r="NVL5" s="72"/>
      <c r="NVM5" s="72"/>
      <c r="NVN5" s="72"/>
      <c r="NVO5" s="72"/>
      <c r="NVP5" s="72"/>
      <c r="NVQ5" s="72"/>
      <c r="NVR5" s="72"/>
      <c r="NVS5" s="72"/>
      <c r="NVT5" s="72"/>
      <c r="NVU5" s="72"/>
      <c r="NVV5" s="72"/>
      <c r="NVW5" s="72"/>
      <c r="NVX5" s="72"/>
      <c r="NVY5" s="72"/>
      <c r="NVZ5" s="72"/>
      <c r="NWA5" s="72"/>
      <c r="NWB5" s="72"/>
      <c r="NWC5" s="72"/>
      <c r="NWD5" s="72"/>
      <c r="NWE5" s="72"/>
      <c r="NWF5" s="72"/>
      <c r="NWG5" s="72"/>
      <c r="NWH5" s="72"/>
      <c r="NWI5" s="72"/>
      <c r="NWJ5" s="72"/>
      <c r="NWK5" s="72"/>
      <c r="NWL5" s="72"/>
      <c r="NWM5" s="72"/>
      <c r="NWN5" s="72"/>
      <c r="NWO5" s="72"/>
      <c r="NWP5" s="72"/>
      <c r="NWQ5" s="72"/>
      <c r="NWR5" s="72"/>
      <c r="NWS5" s="72"/>
      <c r="NWT5" s="72"/>
      <c r="NWU5" s="72"/>
      <c r="NWV5" s="72"/>
      <c r="NWW5" s="72"/>
      <c r="NWX5" s="72"/>
      <c r="NWY5" s="72"/>
      <c r="NWZ5" s="72"/>
      <c r="NXA5" s="72"/>
      <c r="NXB5" s="72"/>
      <c r="NXC5" s="72"/>
      <c r="NXD5" s="72"/>
      <c r="NXE5" s="72"/>
      <c r="NXF5" s="72"/>
      <c r="NXG5" s="72"/>
      <c r="NXH5" s="72"/>
      <c r="NXI5" s="72"/>
      <c r="NXJ5" s="72"/>
      <c r="NXK5" s="72"/>
      <c r="NXL5" s="72"/>
      <c r="NXM5" s="72"/>
      <c r="NXN5" s="72"/>
      <c r="NXO5" s="72"/>
      <c r="NXP5" s="72"/>
      <c r="NXQ5" s="72"/>
      <c r="NXR5" s="72"/>
      <c r="NXS5" s="72"/>
      <c r="NXT5" s="72"/>
      <c r="NXU5" s="72"/>
      <c r="NXV5" s="72"/>
      <c r="NXW5" s="72"/>
      <c r="NXX5" s="72"/>
      <c r="NXY5" s="72"/>
      <c r="NXZ5" s="72"/>
      <c r="NYA5" s="72"/>
      <c r="NYB5" s="72"/>
      <c r="NYC5" s="72"/>
      <c r="NYD5" s="72"/>
      <c r="NYE5" s="72"/>
      <c r="NYF5" s="72"/>
      <c r="NYG5" s="72"/>
      <c r="NYH5" s="72"/>
      <c r="NYI5" s="72"/>
      <c r="NYJ5" s="72"/>
      <c r="NYK5" s="72"/>
      <c r="NYL5" s="72"/>
      <c r="NYM5" s="72"/>
      <c r="NYN5" s="72"/>
      <c r="NYO5" s="72"/>
      <c r="NYP5" s="72"/>
      <c r="NYQ5" s="72"/>
      <c r="NYR5" s="72"/>
      <c r="NYS5" s="72"/>
      <c r="NYT5" s="72"/>
      <c r="NYU5" s="72"/>
      <c r="NYV5" s="72"/>
      <c r="NYW5" s="72"/>
      <c r="NYX5" s="72"/>
      <c r="NYY5" s="72"/>
      <c r="NYZ5" s="72"/>
      <c r="NZA5" s="72"/>
      <c r="NZB5" s="72"/>
      <c r="NZC5" s="72"/>
      <c r="NZD5" s="72"/>
      <c r="NZE5" s="72"/>
      <c r="NZF5" s="72"/>
      <c r="NZG5" s="72"/>
      <c r="NZH5" s="72"/>
      <c r="NZI5" s="72"/>
      <c r="NZJ5" s="72"/>
      <c r="NZK5" s="72"/>
      <c r="NZL5" s="72"/>
      <c r="NZM5" s="72"/>
      <c r="NZN5" s="72"/>
      <c r="NZO5" s="72"/>
      <c r="NZP5" s="72"/>
      <c r="NZQ5" s="72"/>
      <c r="NZR5" s="72"/>
      <c r="NZS5" s="72"/>
      <c r="NZT5" s="72"/>
      <c r="NZU5" s="72"/>
      <c r="NZV5" s="72"/>
      <c r="NZW5" s="72"/>
      <c r="NZX5" s="72"/>
      <c r="NZY5" s="72"/>
      <c r="NZZ5" s="72"/>
      <c r="OAA5" s="72"/>
      <c r="OAB5" s="72"/>
      <c r="OAC5" s="72"/>
      <c r="OAD5" s="72"/>
      <c r="OAE5" s="72"/>
      <c r="OAF5" s="72"/>
      <c r="OAG5" s="72"/>
      <c r="OAH5" s="72"/>
      <c r="OAI5" s="72"/>
      <c r="OAJ5" s="72"/>
      <c r="OAK5" s="72"/>
      <c r="OAL5" s="72"/>
      <c r="OAM5" s="72"/>
      <c r="OAN5" s="72"/>
      <c r="OAO5" s="72"/>
      <c r="OAP5" s="72"/>
      <c r="OAQ5" s="72"/>
      <c r="OAR5" s="72"/>
      <c r="OAS5" s="72"/>
      <c r="OAT5" s="72"/>
      <c r="OAU5" s="72"/>
      <c r="OAV5" s="72"/>
      <c r="OAW5" s="72"/>
      <c r="OAX5" s="72"/>
      <c r="OAY5" s="72"/>
      <c r="OAZ5" s="72"/>
      <c r="OBA5" s="72"/>
      <c r="OBB5" s="72"/>
      <c r="OBC5" s="72"/>
      <c r="OBD5" s="72"/>
      <c r="OBE5" s="72"/>
      <c r="OBF5" s="72"/>
      <c r="OBG5" s="72"/>
      <c r="OBH5" s="72"/>
      <c r="OBI5" s="72"/>
      <c r="OBJ5" s="72"/>
      <c r="OBK5" s="72"/>
      <c r="OBL5" s="72"/>
      <c r="OBM5" s="72"/>
      <c r="OBN5" s="72"/>
      <c r="OBO5" s="72"/>
      <c r="OBP5" s="72"/>
      <c r="OBQ5" s="72"/>
      <c r="OBR5" s="72"/>
      <c r="OBS5" s="72"/>
      <c r="OBT5" s="72"/>
      <c r="OBU5" s="72"/>
      <c r="OBV5" s="72"/>
      <c r="OBW5" s="72"/>
      <c r="OBX5" s="72"/>
      <c r="OBY5" s="72"/>
      <c r="OBZ5" s="72"/>
      <c r="OCA5" s="72"/>
      <c r="OCB5" s="72"/>
      <c r="OCC5" s="72"/>
      <c r="OCD5" s="72"/>
      <c r="OCE5" s="72"/>
      <c r="OCF5" s="72"/>
      <c r="OCG5" s="72"/>
      <c r="OCH5" s="72"/>
      <c r="OCI5" s="72"/>
      <c r="OCJ5" s="72"/>
      <c r="OCK5" s="72"/>
      <c r="OCL5" s="72"/>
      <c r="OCM5" s="72"/>
      <c r="OCN5" s="72"/>
      <c r="OCO5" s="72"/>
      <c r="OCP5" s="72"/>
      <c r="OCQ5" s="72"/>
      <c r="OCR5" s="72"/>
      <c r="OCS5" s="72"/>
      <c r="OCT5" s="72"/>
      <c r="OCU5" s="72"/>
      <c r="OCV5" s="72"/>
      <c r="OCW5" s="72"/>
      <c r="OCX5" s="72"/>
      <c r="OCY5" s="72"/>
      <c r="OCZ5" s="72"/>
      <c r="ODA5" s="72"/>
      <c r="ODB5" s="72"/>
      <c r="ODC5" s="72"/>
      <c r="ODD5" s="72"/>
      <c r="ODE5" s="72"/>
      <c r="ODF5" s="72"/>
      <c r="ODG5" s="72"/>
      <c r="ODH5" s="72"/>
      <c r="ODI5" s="72"/>
      <c r="ODJ5" s="72"/>
      <c r="ODK5" s="72"/>
      <c r="ODL5" s="72"/>
      <c r="ODM5" s="72"/>
      <c r="ODN5" s="72"/>
      <c r="ODO5" s="72"/>
      <c r="ODP5" s="72"/>
      <c r="ODQ5" s="72"/>
      <c r="ODR5" s="72"/>
      <c r="ODS5" s="72"/>
      <c r="ODT5" s="72"/>
      <c r="ODU5" s="72"/>
      <c r="ODV5" s="72"/>
      <c r="ODW5" s="72"/>
      <c r="ODX5" s="72"/>
      <c r="ODY5" s="72"/>
      <c r="ODZ5" s="72"/>
      <c r="OEA5" s="72"/>
      <c r="OEB5" s="72"/>
      <c r="OEC5" s="72"/>
      <c r="OED5" s="72"/>
      <c r="OEE5" s="72"/>
      <c r="OEF5" s="72"/>
      <c r="OEG5" s="72"/>
      <c r="OEH5" s="72"/>
      <c r="OEI5" s="72"/>
      <c r="OEJ5" s="72"/>
      <c r="OEK5" s="72"/>
      <c r="OEL5" s="72"/>
      <c r="OEM5" s="72"/>
      <c r="OEN5" s="72"/>
      <c r="OEO5" s="72"/>
      <c r="OEP5" s="72"/>
      <c r="OEQ5" s="72"/>
      <c r="OER5" s="72"/>
      <c r="OES5" s="72"/>
      <c r="OET5" s="72"/>
      <c r="OEU5" s="72"/>
      <c r="OEV5" s="72"/>
      <c r="OEW5" s="72"/>
      <c r="OEX5" s="72"/>
      <c r="OEY5" s="72"/>
      <c r="OEZ5" s="72"/>
      <c r="OFA5" s="72"/>
      <c r="OFB5" s="72"/>
      <c r="OFC5" s="72"/>
      <c r="OFD5" s="72"/>
      <c r="OFE5" s="72"/>
      <c r="OFF5" s="72"/>
      <c r="OFG5" s="72"/>
      <c r="OFH5" s="72"/>
      <c r="OFI5" s="72"/>
      <c r="OFJ5" s="72"/>
      <c r="OFK5" s="72"/>
      <c r="OFL5" s="72"/>
      <c r="OFM5" s="72"/>
      <c r="OFN5" s="72"/>
      <c r="OFO5" s="72"/>
      <c r="OFP5" s="72"/>
      <c r="OFQ5" s="72"/>
      <c r="OFR5" s="72"/>
      <c r="OFS5" s="72"/>
      <c r="OFT5" s="72"/>
      <c r="OFU5" s="72"/>
      <c r="OFV5" s="72"/>
      <c r="OFW5" s="72"/>
      <c r="OFX5" s="72"/>
      <c r="OFY5" s="72"/>
      <c r="OFZ5" s="72"/>
      <c r="OGA5" s="72"/>
      <c r="OGB5" s="72"/>
      <c r="OGC5" s="72"/>
      <c r="OGD5" s="72"/>
      <c r="OGE5" s="72"/>
      <c r="OGF5" s="72"/>
      <c r="OGG5" s="72"/>
      <c r="OGH5" s="72"/>
      <c r="OGI5" s="72"/>
      <c r="OGJ5" s="72"/>
      <c r="OGK5" s="72"/>
      <c r="OGL5" s="72"/>
      <c r="OGM5" s="72"/>
      <c r="OGN5" s="72"/>
      <c r="OGO5" s="72"/>
      <c r="OGP5" s="72"/>
      <c r="OGQ5" s="72"/>
      <c r="OGR5" s="72"/>
      <c r="OGS5" s="72"/>
      <c r="OGT5" s="72"/>
      <c r="OGU5" s="72"/>
      <c r="OGV5" s="72"/>
      <c r="OGW5" s="72"/>
      <c r="OGX5" s="72"/>
      <c r="OGY5" s="72"/>
      <c r="OGZ5" s="72"/>
      <c r="OHA5" s="72"/>
      <c r="OHB5" s="72"/>
      <c r="OHC5" s="72"/>
      <c r="OHD5" s="72"/>
      <c r="OHE5" s="72"/>
      <c r="OHF5" s="72"/>
      <c r="OHG5" s="72"/>
      <c r="OHH5" s="72"/>
      <c r="OHI5" s="72"/>
      <c r="OHJ5" s="72"/>
      <c r="OHK5" s="72"/>
      <c r="OHL5" s="72"/>
      <c r="OHM5" s="72"/>
      <c r="OHN5" s="72"/>
      <c r="OHO5" s="72"/>
      <c r="OHP5" s="72"/>
      <c r="OHQ5" s="72"/>
      <c r="OHR5" s="72"/>
      <c r="OHS5" s="72"/>
      <c r="OHT5" s="72"/>
      <c r="OHU5" s="72"/>
      <c r="OHV5" s="72"/>
      <c r="OHW5" s="72"/>
      <c r="OHX5" s="72"/>
      <c r="OHY5" s="72"/>
      <c r="OHZ5" s="72"/>
      <c r="OIA5" s="72"/>
      <c r="OIB5" s="72"/>
      <c r="OIC5" s="72"/>
      <c r="OID5" s="72"/>
      <c r="OIE5" s="72"/>
      <c r="OIF5" s="72"/>
      <c r="OIG5" s="72"/>
      <c r="OIH5" s="72"/>
      <c r="OII5" s="72"/>
      <c r="OIJ5" s="72"/>
      <c r="OIK5" s="72"/>
      <c r="OIL5" s="72"/>
      <c r="OIM5" s="72"/>
      <c r="OIN5" s="72"/>
      <c r="OIO5" s="72"/>
      <c r="OIP5" s="72"/>
      <c r="OIQ5" s="72"/>
      <c r="OIR5" s="72"/>
      <c r="OIS5" s="72"/>
      <c r="OIT5" s="72"/>
      <c r="OIU5" s="72"/>
      <c r="OIV5" s="72"/>
      <c r="OIW5" s="72"/>
      <c r="OIX5" s="72"/>
      <c r="OIY5" s="72"/>
      <c r="OIZ5" s="72"/>
      <c r="OJA5" s="72"/>
      <c r="OJB5" s="72"/>
      <c r="OJC5" s="72"/>
      <c r="OJD5" s="72"/>
      <c r="OJE5" s="72"/>
      <c r="OJF5" s="72"/>
      <c r="OJG5" s="72"/>
      <c r="OJH5" s="72"/>
      <c r="OJI5" s="72"/>
      <c r="OJJ5" s="72"/>
      <c r="OJK5" s="72"/>
      <c r="OJL5" s="72"/>
      <c r="OJM5" s="72"/>
      <c r="OJN5" s="72"/>
      <c r="OJO5" s="72"/>
      <c r="OJP5" s="72"/>
      <c r="OJQ5" s="72"/>
      <c r="OJR5" s="72"/>
      <c r="OJS5" s="72"/>
      <c r="OJT5" s="72"/>
      <c r="OJU5" s="72"/>
      <c r="OJV5" s="72"/>
      <c r="OJW5" s="72"/>
      <c r="OJX5" s="72"/>
      <c r="OJY5" s="72"/>
      <c r="OJZ5" s="72"/>
      <c r="OKA5" s="72"/>
      <c r="OKB5" s="72"/>
      <c r="OKC5" s="72"/>
      <c r="OKD5" s="72"/>
      <c r="OKE5" s="72"/>
      <c r="OKF5" s="72"/>
      <c r="OKG5" s="72"/>
      <c r="OKH5" s="72"/>
      <c r="OKI5" s="72"/>
      <c r="OKJ5" s="72"/>
      <c r="OKK5" s="72"/>
      <c r="OKL5" s="72"/>
      <c r="OKM5" s="72"/>
      <c r="OKN5" s="72"/>
      <c r="OKO5" s="72"/>
      <c r="OKP5" s="72"/>
      <c r="OKQ5" s="72"/>
      <c r="OKR5" s="72"/>
      <c r="OKS5" s="72"/>
      <c r="OKT5" s="72"/>
      <c r="OKU5" s="72"/>
      <c r="OKV5" s="72"/>
      <c r="OKW5" s="72"/>
      <c r="OKX5" s="72"/>
      <c r="OKY5" s="72"/>
      <c r="OKZ5" s="72"/>
      <c r="OLA5" s="72"/>
      <c r="OLB5" s="72"/>
      <c r="OLC5" s="72"/>
      <c r="OLD5" s="72"/>
      <c r="OLE5" s="72"/>
      <c r="OLF5" s="72"/>
      <c r="OLG5" s="72"/>
      <c r="OLH5" s="72"/>
      <c r="OLI5" s="72"/>
      <c r="OLJ5" s="72"/>
      <c r="OLK5" s="72"/>
      <c r="OLL5" s="72"/>
      <c r="OLM5" s="72"/>
      <c r="OLN5" s="72"/>
      <c r="OLO5" s="72"/>
      <c r="OLP5" s="72"/>
      <c r="OLQ5" s="72"/>
      <c r="OLR5" s="72"/>
      <c r="OLS5" s="72"/>
      <c r="OLT5" s="72"/>
      <c r="OLU5" s="72"/>
      <c r="OLV5" s="72"/>
      <c r="OLW5" s="72"/>
      <c r="OLX5" s="72"/>
      <c r="OLY5" s="72"/>
      <c r="OLZ5" s="72"/>
      <c r="OMA5" s="72"/>
      <c r="OMB5" s="72"/>
      <c r="OMC5" s="72"/>
      <c r="OMD5" s="72"/>
      <c r="OME5" s="72"/>
      <c r="OMF5" s="72"/>
      <c r="OMG5" s="72"/>
      <c r="OMH5" s="72"/>
      <c r="OMI5" s="72"/>
      <c r="OMJ5" s="72"/>
      <c r="OMK5" s="72"/>
      <c r="OML5" s="72"/>
      <c r="OMM5" s="72"/>
      <c r="OMN5" s="72"/>
      <c r="OMO5" s="72"/>
      <c r="OMP5" s="72"/>
      <c r="OMQ5" s="72"/>
      <c r="OMR5" s="72"/>
      <c r="OMS5" s="72"/>
      <c r="OMT5" s="72"/>
      <c r="OMU5" s="72"/>
      <c r="OMV5" s="72"/>
      <c r="OMW5" s="72"/>
      <c r="OMX5" s="72"/>
      <c r="OMY5" s="72"/>
      <c r="OMZ5" s="72"/>
      <c r="ONA5" s="72"/>
      <c r="ONB5" s="72"/>
      <c r="ONC5" s="72"/>
      <c r="OND5" s="72"/>
      <c r="ONE5" s="72"/>
      <c r="ONF5" s="72"/>
      <c r="ONG5" s="72"/>
      <c r="ONH5" s="72"/>
      <c r="ONI5" s="72"/>
      <c r="ONJ5" s="72"/>
      <c r="ONK5" s="72"/>
      <c r="ONL5" s="72"/>
      <c r="ONM5" s="72"/>
      <c r="ONN5" s="72"/>
      <c r="ONO5" s="72"/>
      <c r="ONP5" s="72"/>
      <c r="ONQ5" s="72"/>
      <c r="ONR5" s="72"/>
      <c r="ONS5" s="72"/>
      <c r="ONT5" s="72"/>
      <c r="ONU5" s="72"/>
      <c r="ONV5" s="72"/>
      <c r="ONW5" s="72"/>
      <c r="ONX5" s="72"/>
      <c r="ONY5" s="72"/>
      <c r="ONZ5" s="72"/>
      <c r="OOA5" s="72"/>
      <c r="OOB5" s="72"/>
      <c r="OOC5" s="72"/>
      <c r="OOD5" s="72"/>
      <c r="OOE5" s="72"/>
      <c r="OOF5" s="72"/>
      <c r="OOG5" s="72"/>
      <c r="OOH5" s="72"/>
      <c r="OOI5" s="72"/>
      <c r="OOJ5" s="72"/>
      <c r="OOK5" s="72"/>
      <c r="OOL5" s="72"/>
      <c r="OOM5" s="72"/>
      <c r="OON5" s="72"/>
      <c r="OOO5" s="72"/>
      <c r="OOP5" s="72"/>
      <c r="OOQ5" s="72"/>
      <c r="OOR5" s="72"/>
      <c r="OOS5" s="72"/>
      <c r="OOT5" s="72"/>
      <c r="OOU5" s="72"/>
      <c r="OOV5" s="72"/>
      <c r="OOW5" s="72"/>
      <c r="OOX5" s="72"/>
      <c r="OOY5" s="72"/>
      <c r="OOZ5" s="72"/>
      <c r="OPA5" s="72"/>
      <c r="OPB5" s="72"/>
      <c r="OPC5" s="72"/>
      <c r="OPD5" s="72"/>
      <c r="OPE5" s="72"/>
      <c r="OPF5" s="72"/>
      <c r="OPG5" s="72"/>
      <c r="OPH5" s="72"/>
      <c r="OPI5" s="72"/>
      <c r="OPJ5" s="72"/>
      <c r="OPK5" s="72"/>
      <c r="OPL5" s="72"/>
      <c r="OPM5" s="72"/>
      <c r="OPN5" s="72"/>
      <c r="OPO5" s="72"/>
      <c r="OPP5" s="72"/>
      <c r="OPQ5" s="72"/>
      <c r="OPR5" s="72"/>
      <c r="OPS5" s="72"/>
      <c r="OPT5" s="72"/>
      <c r="OPU5" s="72"/>
      <c r="OPV5" s="72"/>
      <c r="OPW5" s="72"/>
      <c r="OPX5" s="72"/>
      <c r="OPY5" s="72"/>
      <c r="OPZ5" s="72"/>
      <c r="OQA5" s="72"/>
      <c r="OQB5" s="72"/>
      <c r="OQC5" s="72"/>
      <c r="OQD5" s="72"/>
      <c r="OQE5" s="72"/>
      <c r="OQF5" s="72"/>
      <c r="OQG5" s="72"/>
      <c r="OQH5" s="72"/>
      <c r="OQI5" s="72"/>
      <c r="OQJ5" s="72"/>
      <c r="OQK5" s="72"/>
      <c r="OQL5" s="72"/>
      <c r="OQM5" s="72"/>
      <c r="OQN5" s="72"/>
      <c r="OQO5" s="72"/>
      <c r="OQP5" s="72"/>
      <c r="OQQ5" s="72"/>
      <c r="OQR5" s="72"/>
      <c r="OQS5" s="72"/>
      <c r="OQT5" s="72"/>
      <c r="OQU5" s="72"/>
      <c r="OQV5" s="72"/>
      <c r="OQW5" s="72"/>
      <c r="OQX5" s="72"/>
      <c r="OQY5" s="72"/>
      <c r="OQZ5" s="72"/>
      <c r="ORA5" s="72"/>
      <c r="ORB5" s="72"/>
      <c r="ORC5" s="72"/>
      <c r="ORD5" s="72"/>
      <c r="ORE5" s="72"/>
      <c r="ORF5" s="72"/>
      <c r="ORG5" s="72"/>
      <c r="ORH5" s="72"/>
      <c r="ORI5" s="72"/>
      <c r="ORJ5" s="72"/>
      <c r="ORK5" s="72"/>
      <c r="ORL5" s="72"/>
      <c r="ORM5" s="72"/>
      <c r="ORN5" s="72"/>
      <c r="ORO5" s="72"/>
      <c r="ORP5" s="72"/>
      <c r="ORQ5" s="72"/>
      <c r="ORR5" s="72"/>
      <c r="ORS5" s="72"/>
      <c r="ORT5" s="72"/>
      <c r="ORU5" s="72"/>
      <c r="ORV5" s="72"/>
      <c r="ORW5" s="72"/>
      <c r="ORX5" s="72"/>
      <c r="ORY5" s="72"/>
      <c r="ORZ5" s="72"/>
      <c r="OSA5" s="72"/>
      <c r="OSB5" s="72"/>
      <c r="OSC5" s="72"/>
      <c r="OSD5" s="72"/>
      <c r="OSE5" s="72"/>
      <c r="OSF5" s="72"/>
      <c r="OSG5" s="72"/>
      <c r="OSH5" s="72"/>
      <c r="OSI5" s="72"/>
      <c r="OSJ5" s="72"/>
      <c r="OSK5" s="72"/>
      <c r="OSL5" s="72"/>
      <c r="OSM5" s="72"/>
      <c r="OSN5" s="72"/>
      <c r="OSO5" s="72"/>
      <c r="OSP5" s="72"/>
      <c r="OSQ5" s="72"/>
      <c r="OSR5" s="72"/>
      <c r="OSS5" s="72"/>
      <c r="OST5" s="72"/>
      <c r="OSU5" s="72"/>
      <c r="OSV5" s="72"/>
      <c r="OSW5" s="72"/>
      <c r="OSX5" s="72"/>
      <c r="OSY5" s="72"/>
      <c r="OSZ5" s="72"/>
      <c r="OTA5" s="72"/>
      <c r="OTB5" s="72"/>
      <c r="OTC5" s="72"/>
      <c r="OTD5" s="72"/>
      <c r="OTE5" s="72"/>
      <c r="OTF5" s="72"/>
      <c r="OTG5" s="72"/>
      <c r="OTH5" s="72"/>
      <c r="OTI5" s="72"/>
      <c r="OTJ5" s="72"/>
      <c r="OTK5" s="72"/>
      <c r="OTL5" s="72"/>
      <c r="OTM5" s="72"/>
      <c r="OTN5" s="72"/>
      <c r="OTO5" s="72"/>
      <c r="OTP5" s="72"/>
      <c r="OTQ5" s="72"/>
      <c r="OTR5" s="72"/>
      <c r="OTS5" s="72"/>
      <c r="OTT5" s="72"/>
      <c r="OTU5" s="72"/>
      <c r="OTV5" s="72"/>
      <c r="OTW5" s="72"/>
      <c r="OTX5" s="72"/>
      <c r="OTY5" s="72"/>
      <c r="OTZ5" s="72"/>
      <c r="OUA5" s="72"/>
      <c r="OUB5" s="72"/>
      <c r="OUC5" s="72"/>
      <c r="OUD5" s="72"/>
      <c r="OUE5" s="72"/>
      <c r="OUF5" s="72"/>
      <c r="OUG5" s="72"/>
      <c r="OUH5" s="72"/>
      <c r="OUI5" s="72"/>
      <c r="OUJ5" s="72"/>
      <c r="OUK5" s="72"/>
      <c r="OUL5" s="72"/>
      <c r="OUM5" s="72"/>
      <c r="OUN5" s="72"/>
      <c r="OUO5" s="72"/>
      <c r="OUP5" s="72"/>
      <c r="OUQ5" s="72"/>
      <c r="OUR5" s="72"/>
      <c r="OUS5" s="72"/>
      <c r="OUT5" s="72"/>
      <c r="OUU5" s="72"/>
      <c r="OUV5" s="72"/>
      <c r="OUW5" s="72"/>
      <c r="OUX5" s="72"/>
      <c r="OUY5" s="72"/>
      <c r="OUZ5" s="72"/>
      <c r="OVA5" s="72"/>
      <c r="OVB5" s="72"/>
      <c r="OVC5" s="72"/>
      <c r="OVD5" s="72"/>
      <c r="OVE5" s="72"/>
      <c r="OVF5" s="72"/>
      <c r="OVG5" s="72"/>
      <c r="OVH5" s="72"/>
      <c r="OVI5" s="72"/>
      <c r="OVJ5" s="72"/>
      <c r="OVK5" s="72"/>
      <c r="OVL5" s="72"/>
      <c r="OVM5" s="72"/>
      <c r="OVN5" s="72"/>
      <c r="OVO5" s="72"/>
      <c r="OVP5" s="72"/>
      <c r="OVQ5" s="72"/>
      <c r="OVR5" s="72"/>
      <c r="OVS5" s="72"/>
      <c r="OVT5" s="72"/>
      <c r="OVU5" s="72"/>
      <c r="OVV5" s="72"/>
      <c r="OVW5" s="72"/>
      <c r="OVX5" s="72"/>
      <c r="OVY5" s="72"/>
      <c r="OVZ5" s="72"/>
      <c r="OWA5" s="72"/>
      <c r="OWB5" s="72"/>
      <c r="OWC5" s="72"/>
      <c r="OWD5" s="72"/>
      <c r="OWE5" s="72"/>
      <c r="OWF5" s="72"/>
      <c r="OWG5" s="72"/>
      <c r="OWH5" s="72"/>
      <c r="OWI5" s="72"/>
      <c r="OWJ5" s="72"/>
      <c r="OWK5" s="72"/>
      <c r="OWL5" s="72"/>
      <c r="OWM5" s="72"/>
      <c r="OWN5" s="72"/>
      <c r="OWO5" s="72"/>
      <c r="OWP5" s="72"/>
      <c r="OWQ5" s="72"/>
      <c r="OWR5" s="72"/>
      <c r="OWS5" s="72"/>
      <c r="OWT5" s="72"/>
      <c r="OWU5" s="72"/>
      <c r="OWV5" s="72"/>
      <c r="OWW5" s="72"/>
      <c r="OWX5" s="72"/>
      <c r="OWY5" s="72"/>
      <c r="OWZ5" s="72"/>
      <c r="OXA5" s="72"/>
      <c r="OXB5" s="72"/>
      <c r="OXC5" s="72"/>
      <c r="OXD5" s="72"/>
      <c r="OXE5" s="72"/>
      <c r="OXF5" s="72"/>
      <c r="OXG5" s="72"/>
      <c r="OXH5" s="72"/>
      <c r="OXI5" s="72"/>
      <c r="OXJ5" s="72"/>
      <c r="OXK5" s="72"/>
      <c r="OXL5" s="72"/>
      <c r="OXM5" s="72"/>
      <c r="OXN5" s="72"/>
      <c r="OXO5" s="72"/>
      <c r="OXP5" s="72"/>
      <c r="OXQ5" s="72"/>
      <c r="OXR5" s="72"/>
      <c r="OXS5" s="72"/>
      <c r="OXT5" s="72"/>
      <c r="OXU5" s="72"/>
      <c r="OXV5" s="72"/>
      <c r="OXW5" s="72"/>
      <c r="OXX5" s="72"/>
      <c r="OXY5" s="72"/>
      <c r="OXZ5" s="72"/>
      <c r="OYA5" s="72"/>
      <c r="OYB5" s="72"/>
      <c r="OYC5" s="72"/>
      <c r="OYD5" s="72"/>
      <c r="OYE5" s="72"/>
      <c r="OYF5" s="72"/>
      <c r="OYG5" s="72"/>
      <c r="OYH5" s="72"/>
      <c r="OYI5" s="72"/>
      <c r="OYJ5" s="72"/>
      <c r="OYK5" s="72"/>
      <c r="OYL5" s="72"/>
      <c r="OYM5" s="72"/>
      <c r="OYN5" s="72"/>
      <c r="OYO5" s="72"/>
      <c r="OYP5" s="72"/>
      <c r="OYQ5" s="72"/>
      <c r="OYR5" s="72"/>
      <c r="OYS5" s="72"/>
      <c r="OYT5" s="72"/>
      <c r="OYU5" s="72"/>
      <c r="OYV5" s="72"/>
      <c r="OYW5" s="72"/>
      <c r="OYX5" s="72"/>
      <c r="OYY5" s="72"/>
      <c r="OYZ5" s="72"/>
      <c r="OZA5" s="72"/>
      <c r="OZB5" s="72"/>
      <c r="OZC5" s="72"/>
      <c r="OZD5" s="72"/>
      <c r="OZE5" s="72"/>
      <c r="OZF5" s="72"/>
      <c r="OZG5" s="72"/>
      <c r="OZH5" s="72"/>
      <c r="OZI5" s="72"/>
      <c r="OZJ5" s="72"/>
      <c r="OZK5" s="72"/>
      <c r="OZL5" s="72"/>
      <c r="OZM5" s="72"/>
      <c r="OZN5" s="72"/>
      <c r="OZO5" s="72"/>
      <c r="OZP5" s="72"/>
      <c r="OZQ5" s="72"/>
      <c r="OZR5" s="72"/>
      <c r="OZS5" s="72"/>
      <c r="OZT5" s="72"/>
      <c r="OZU5" s="72"/>
      <c r="OZV5" s="72"/>
      <c r="OZW5" s="72"/>
      <c r="OZX5" s="72"/>
      <c r="OZY5" s="72"/>
      <c r="OZZ5" s="72"/>
      <c r="PAA5" s="72"/>
      <c r="PAB5" s="72"/>
      <c r="PAC5" s="72"/>
      <c r="PAD5" s="72"/>
      <c r="PAE5" s="72"/>
      <c r="PAF5" s="72"/>
      <c r="PAG5" s="72"/>
      <c r="PAH5" s="72"/>
      <c r="PAI5" s="72"/>
      <c r="PAJ5" s="72"/>
      <c r="PAK5" s="72"/>
      <c r="PAL5" s="72"/>
      <c r="PAM5" s="72"/>
      <c r="PAN5" s="72"/>
      <c r="PAO5" s="72"/>
      <c r="PAP5" s="72"/>
      <c r="PAQ5" s="72"/>
      <c r="PAR5" s="72"/>
      <c r="PAS5" s="72"/>
      <c r="PAT5" s="72"/>
      <c r="PAU5" s="72"/>
      <c r="PAV5" s="72"/>
      <c r="PAW5" s="72"/>
      <c r="PAX5" s="72"/>
      <c r="PAY5" s="72"/>
      <c r="PAZ5" s="72"/>
      <c r="PBA5" s="72"/>
      <c r="PBB5" s="72"/>
      <c r="PBC5" s="72"/>
      <c r="PBD5" s="72"/>
      <c r="PBE5" s="72"/>
      <c r="PBF5" s="72"/>
      <c r="PBG5" s="72"/>
      <c r="PBH5" s="72"/>
      <c r="PBI5" s="72"/>
      <c r="PBJ5" s="72"/>
      <c r="PBK5" s="72"/>
      <c r="PBL5" s="72"/>
      <c r="PBM5" s="72"/>
      <c r="PBN5" s="72"/>
      <c r="PBO5" s="72"/>
      <c r="PBP5" s="72"/>
      <c r="PBQ5" s="72"/>
      <c r="PBR5" s="72"/>
      <c r="PBS5" s="72"/>
      <c r="PBT5" s="72"/>
      <c r="PBU5" s="72"/>
      <c r="PBV5" s="72"/>
      <c r="PBW5" s="72"/>
      <c r="PBX5" s="72"/>
      <c r="PBY5" s="72"/>
      <c r="PBZ5" s="72"/>
      <c r="PCA5" s="72"/>
      <c r="PCB5" s="72"/>
      <c r="PCC5" s="72"/>
      <c r="PCD5" s="72"/>
      <c r="PCE5" s="72"/>
      <c r="PCF5" s="72"/>
      <c r="PCG5" s="72"/>
      <c r="PCH5" s="72"/>
      <c r="PCI5" s="72"/>
      <c r="PCJ5" s="72"/>
      <c r="PCK5" s="72"/>
      <c r="PCL5" s="72"/>
      <c r="PCM5" s="72"/>
      <c r="PCN5" s="72"/>
      <c r="PCO5" s="72"/>
      <c r="PCP5" s="72"/>
      <c r="PCQ5" s="72"/>
      <c r="PCR5" s="72"/>
      <c r="PCS5" s="72"/>
      <c r="PCT5" s="72"/>
      <c r="PCU5" s="72"/>
      <c r="PCV5" s="72"/>
      <c r="PCW5" s="72"/>
      <c r="PCX5" s="72"/>
      <c r="PCY5" s="72"/>
      <c r="PCZ5" s="72"/>
      <c r="PDA5" s="72"/>
      <c r="PDB5" s="72"/>
      <c r="PDC5" s="72"/>
      <c r="PDD5" s="72"/>
      <c r="PDE5" s="72"/>
      <c r="PDF5" s="72"/>
      <c r="PDG5" s="72"/>
      <c r="PDH5" s="72"/>
      <c r="PDI5" s="72"/>
      <c r="PDJ5" s="72"/>
      <c r="PDK5" s="72"/>
      <c r="PDL5" s="72"/>
      <c r="PDM5" s="72"/>
      <c r="PDN5" s="72"/>
      <c r="PDO5" s="72"/>
      <c r="PDP5" s="72"/>
      <c r="PDQ5" s="72"/>
      <c r="PDR5" s="72"/>
      <c r="PDS5" s="72"/>
      <c r="PDT5" s="72"/>
      <c r="PDU5" s="72"/>
      <c r="PDV5" s="72"/>
      <c r="PDW5" s="72"/>
      <c r="PDX5" s="72"/>
      <c r="PDY5" s="72"/>
      <c r="PDZ5" s="72"/>
      <c r="PEA5" s="72"/>
      <c r="PEB5" s="72"/>
      <c r="PEC5" s="72"/>
      <c r="PED5" s="72"/>
      <c r="PEE5" s="72"/>
      <c r="PEF5" s="72"/>
      <c r="PEG5" s="72"/>
      <c r="PEH5" s="72"/>
      <c r="PEI5" s="72"/>
      <c r="PEJ5" s="72"/>
      <c r="PEK5" s="72"/>
      <c r="PEL5" s="72"/>
      <c r="PEM5" s="72"/>
      <c r="PEN5" s="72"/>
      <c r="PEO5" s="72"/>
      <c r="PEP5" s="72"/>
      <c r="PEQ5" s="72"/>
      <c r="PER5" s="72"/>
      <c r="PES5" s="72"/>
      <c r="PET5" s="72"/>
      <c r="PEU5" s="72"/>
      <c r="PEV5" s="72"/>
      <c r="PEW5" s="72"/>
      <c r="PEX5" s="72"/>
      <c r="PEY5" s="72"/>
      <c r="PEZ5" s="72"/>
      <c r="PFA5" s="72"/>
      <c r="PFB5" s="72"/>
      <c r="PFC5" s="72"/>
      <c r="PFD5" s="72"/>
      <c r="PFE5" s="72"/>
      <c r="PFF5" s="72"/>
      <c r="PFG5" s="72"/>
      <c r="PFH5" s="72"/>
      <c r="PFI5" s="72"/>
      <c r="PFJ5" s="72"/>
      <c r="PFK5" s="72"/>
      <c r="PFL5" s="72"/>
      <c r="PFM5" s="72"/>
      <c r="PFN5" s="72"/>
      <c r="PFO5" s="72"/>
      <c r="PFP5" s="72"/>
      <c r="PFQ5" s="72"/>
      <c r="PFR5" s="72"/>
      <c r="PFS5" s="72"/>
      <c r="PFT5" s="72"/>
      <c r="PFU5" s="72"/>
      <c r="PFV5" s="72"/>
      <c r="PFW5" s="72"/>
      <c r="PFX5" s="72"/>
      <c r="PFY5" s="72"/>
      <c r="PFZ5" s="72"/>
      <c r="PGA5" s="72"/>
      <c r="PGB5" s="72"/>
      <c r="PGC5" s="72"/>
      <c r="PGD5" s="72"/>
      <c r="PGE5" s="72"/>
      <c r="PGF5" s="72"/>
      <c r="PGG5" s="72"/>
      <c r="PGH5" s="72"/>
      <c r="PGI5" s="72"/>
      <c r="PGJ5" s="72"/>
      <c r="PGK5" s="72"/>
      <c r="PGL5" s="72"/>
      <c r="PGM5" s="72"/>
      <c r="PGN5" s="72"/>
      <c r="PGO5" s="72"/>
      <c r="PGP5" s="72"/>
      <c r="PGQ5" s="72"/>
      <c r="PGR5" s="72"/>
      <c r="PGS5" s="72"/>
      <c r="PGT5" s="72"/>
      <c r="PGU5" s="72"/>
      <c r="PGV5" s="72"/>
      <c r="PGW5" s="72"/>
      <c r="PGX5" s="72"/>
      <c r="PGY5" s="72"/>
      <c r="PGZ5" s="72"/>
      <c r="PHA5" s="72"/>
      <c r="PHB5" s="72"/>
      <c r="PHC5" s="72"/>
      <c r="PHD5" s="72"/>
      <c r="PHE5" s="72"/>
      <c r="PHF5" s="72"/>
      <c r="PHG5" s="72"/>
      <c r="PHH5" s="72"/>
      <c r="PHI5" s="72"/>
      <c r="PHJ5" s="72"/>
      <c r="PHK5" s="72"/>
      <c r="PHL5" s="72"/>
      <c r="PHM5" s="72"/>
      <c r="PHN5" s="72"/>
      <c r="PHO5" s="72"/>
      <c r="PHP5" s="72"/>
      <c r="PHQ5" s="72"/>
      <c r="PHR5" s="72"/>
      <c r="PHS5" s="72"/>
      <c r="PHT5" s="72"/>
      <c r="PHU5" s="72"/>
      <c r="PHV5" s="72"/>
      <c r="PHW5" s="72"/>
      <c r="PHX5" s="72"/>
      <c r="PHY5" s="72"/>
      <c r="PHZ5" s="72"/>
      <c r="PIA5" s="72"/>
      <c r="PIB5" s="72"/>
      <c r="PIC5" s="72"/>
      <c r="PID5" s="72"/>
      <c r="PIE5" s="72"/>
      <c r="PIF5" s="72"/>
      <c r="PIG5" s="72"/>
      <c r="PIH5" s="72"/>
      <c r="PII5" s="72"/>
      <c r="PIJ5" s="72"/>
      <c r="PIK5" s="72"/>
      <c r="PIL5" s="72"/>
      <c r="PIM5" s="72"/>
      <c r="PIN5" s="72"/>
      <c r="PIO5" s="72"/>
      <c r="PIP5" s="72"/>
      <c r="PIQ5" s="72"/>
      <c r="PIR5" s="72"/>
      <c r="PIS5" s="72"/>
      <c r="PIT5" s="72"/>
      <c r="PIU5" s="72"/>
      <c r="PIV5" s="72"/>
      <c r="PIW5" s="72"/>
      <c r="PIX5" s="72"/>
      <c r="PIY5" s="72"/>
      <c r="PIZ5" s="72"/>
      <c r="PJA5" s="72"/>
      <c r="PJB5" s="72"/>
      <c r="PJC5" s="72"/>
      <c r="PJD5" s="72"/>
      <c r="PJE5" s="72"/>
      <c r="PJF5" s="72"/>
      <c r="PJG5" s="72"/>
      <c r="PJH5" s="72"/>
      <c r="PJI5" s="72"/>
      <c r="PJJ5" s="72"/>
      <c r="PJK5" s="72"/>
      <c r="PJL5" s="72"/>
      <c r="PJM5" s="72"/>
      <c r="PJN5" s="72"/>
      <c r="PJO5" s="72"/>
      <c r="PJP5" s="72"/>
      <c r="PJQ5" s="72"/>
      <c r="PJR5" s="72"/>
      <c r="PJS5" s="72"/>
      <c r="PJT5" s="72"/>
      <c r="PJU5" s="72"/>
      <c r="PJV5" s="72"/>
      <c r="PJW5" s="72"/>
      <c r="PJX5" s="72"/>
      <c r="PJY5" s="72"/>
      <c r="PJZ5" s="72"/>
      <c r="PKA5" s="72"/>
      <c r="PKB5" s="72"/>
      <c r="PKC5" s="72"/>
      <c r="PKD5" s="72"/>
      <c r="PKE5" s="72"/>
      <c r="PKF5" s="72"/>
      <c r="PKG5" s="72"/>
      <c r="PKH5" s="72"/>
      <c r="PKI5" s="72"/>
      <c r="PKJ5" s="72"/>
      <c r="PKK5" s="72"/>
      <c r="PKL5" s="72"/>
      <c r="PKM5" s="72"/>
      <c r="PKN5" s="72"/>
      <c r="PKO5" s="72"/>
      <c r="PKP5" s="72"/>
      <c r="PKQ5" s="72"/>
      <c r="PKR5" s="72"/>
      <c r="PKS5" s="72"/>
      <c r="PKT5" s="72"/>
      <c r="PKU5" s="72"/>
      <c r="PKV5" s="72"/>
      <c r="PKW5" s="72"/>
      <c r="PKX5" s="72"/>
      <c r="PKY5" s="72"/>
      <c r="PKZ5" s="72"/>
      <c r="PLA5" s="72"/>
      <c r="PLB5" s="72"/>
      <c r="PLC5" s="72"/>
      <c r="PLD5" s="72"/>
      <c r="PLE5" s="72"/>
      <c r="PLF5" s="72"/>
      <c r="PLG5" s="72"/>
      <c r="PLH5" s="72"/>
      <c r="PLI5" s="72"/>
      <c r="PLJ5" s="72"/>
      <c r="PLK5" s="72"/>
      <c r="PLL5" s="72"/>
      <c r="PLM5" s="72"/>
      <c r="PLN5" s="72"/>
      <c r="PLO5" s="72"/>
      <c r="PLP5" s="72"/>
      <c r="PLQ5" s="72"/>
      <c r="PLR5" s="72"/>
      <c r="PLS5" s="72"/>
      <c r="PLT5" s="72"/>
      <c r="PLU5" s="72"/>
      <c r="PLV5" s="72"/>
      <c r="PLW5" s="72"/>
      <c r="PLX5" s="72"/>
      <c r="PLY5" s="72"/>
      <c r="PLZ5" s="72"/>
      <c r="PMA5" s="72"/>
      <c r="PMB5" s="72"/>
      <c r="PMC5" s="72"/>
      <c r="PMD5" s="72"/>
      <c r="PME5" s="72"/>
      <c r="PMF5" s="72"/>
      <c r="PMG5" s="72"/>
      <c r="PMH5" s="72"/>
      <c r="PMI5" s="72"/>
      <c r="PMJ5" s="72"/>
      <c r="PMK5" s="72"/>
      <c r="PML5" s="72"/>
      <c r="PMM5" s="72"/>
      <c r="PMN5" s="72"/>
      <c r="PMO5" s="72"/>
      <c r="PMP5" s="72"/>
      <c r="PMQ5" s="72"/>
      <c r="PMR5" s="72"/>
      <c r="PMS5" s="72"/>
      <c r="PMT5" s="72"/>
      <c r="PMU5" s="72"/>
      <c r="PMV5" s="72"/>
      <c r="PMW5" s="72"/>
      <c r="PMX5" s="72"/>
      <c r="PMY5" s="72"/>
      <c r="PMZ5" s="72"/>
      <c r="PNA5" s="72"/>
      <c r="PNB5" s="72"/>
      <c r="PNC5" s="72"/>
      <c r="PND5" s="72"/>
      <c r="PNE5" s="72"/>
      <c r="PNF5" s="72"/>
      <c r="PNG5" s="72"/>
      <c r="PNH5" s="72"/>
      <c r="PNI5" s="72"/>
      <c r="PNJ5" s="72"/>
      <c r="PNK5" s="72"/>
      <c r="PNL5" s="72"/>
      <c r="PNM5" s="72"/>
      <c r="PNN5" s="72"/>
      <c r="PNO5" s="72"/>
      <c r="PNP5" s="72"/>
      <c r="PNQ5" s="72"/>
      <c r="PNR5" s="72"/>
      <c r="PNS5" s="72"/>
      <c r="PNT5" s="72"/>
      <c r="PNU5" s="72"/>
      <c r="PNV5" s="72"/>
      <c r="PNW5" s="72"/>
      <c r="PNX5" s="72"/>
      <c r="PNY5" s="72"/>
      <c r="PNZ5" s="72"/>
      <c r="POA5" s="72"/>
      <c r="POB5" s="72"/>
      <c r="POC5" s="72"/>
      <c r="POD5" s="72"/>
      <c r="POE5" s="72"/>
      <c r="POF5" s="72"/>
      <c r="POG5" s="72"/>
      <c r="POH5" s="72"/>
      <c r="POI5" s="72"/>
      <c r="POJ5" s="72"/>
      <c r="POK5" s="72"/>
      <c r="POL5" s="72"/>
      <c r="POM5" s="72"/>
      <c r="PON5" s="72"/>
      <c r="POO5" s="72"/>
      <c r="POP5" s="72"/>
      <c r="POQ5" s="72"/>
      <c r="POR5" s="72"/>
      <c r="POS5" s="72"/>
      <c r="POT5" s="72"/>
      <c r="POU5" s="72"/>
      <c r="POV5" s="72"/>
      <c r="POW5" s="72"/>
      <c r="POX5" s="72"/>
      <c r="POY5" s="72"/>
      <c r="POZ5" s="72"/>
      <c r="PPA5" s="72"/>
      <c r="PPB5" s="72"/>
      <c r="PPC5" s="72"/>
      <c r="PPD5" s="72"/>
      <c r="PPE5" s="72"/>
      <c r="PPF5" s="72"/>
      <c r="PPG5" s="72"/>
      <c r="PPH5" s="72"/>
      <c r="PPI5" s="72"/>
      <c r="PPJ5" s="72"/>
      <c r="PPK5" s="72"/>
      <c r="PPL5" s="72"/>
      <c r="PPM5" s="72"/>
      <c r="PPN5" s="72"/>
      <c r="PPO5" s="72"/>
      <c r="PPP5" s="72"/>
      <c r="PPQ5" s="72"/>
      <c r="PPR5" s="72"/>
      <c r="PPS5" s="72"/>
      <c r="PPT5" s="72"/>
      <c r="PPU5" s="72"/>
      <c r="PPV5" s="72"/>
      <c r="PPW5" s="72"/>
      <c r="PPX5" s="72"/>
      <c r="PPY5" s="72"/>
      <c r="PPZ5" s="72"/>
      <c r="PQA5" s="72"/>
      <c r="PQB5" s="72"/>
      <c r="PQC5" s="72"/>
      <c r="PQD5" s="72"/>
      <c r="PQE5" s="72"/>
      <c r="PQF5" s="72"/>
      <c r="PQG5" s="72"/>
      <c r="PQH5" s="72"/>
      <c r="PQI5" s="72"/>
      <c r="PQJ5" s="72"/>
      <c r="PQK5" s="72"/>
      <c r="PQL5" s="72"/>
      <c r="PQM5" s="72"/>
      <c r="PQN5" s="72"/>
      <c r="PQO5" s="72"/>
      <c r="PQP5" s="72"/>
      <c r="PQQ5" s="72"/>
      <c r="PQR5" s="72"/>
      <c r="PQS5" s="72"/>
      <c r="PQT5" s="72"/>
      <c r="PQU5" s="72"/>
      <c r="PQV5" s="72"/>
      <c r="PQW5" s="72"/>
      <c r="PQX5" s="72"/>
      <c r="PQY5" s="72"/>
      <c r="PQZ5" s="72"/>
      <c r="PRA5" s="72"/>
      <c r="PRB5" s="72"/>
      <c r="PRC5" s="72"/>
      <c r="PRD5" s="72"/>
      <c r="PRE5" s="72"/>
      <c r="PRF5" s="72"/>
      <c r="PRG5" s="72"/>
      <c r="PRH5" s="72"/>
      <c r="PRI5" s="72"/>
      <c r="PRJ5" s="72"/>
      <c r="PRK5" s="72"/>
      <c r="PRL5" s="72"/>
      <c r="PRM5" s="72"/>
      <c r="PRN5" s="72"/>
      <c r="PRO5" s="72"/>
      <c r="PRP5" s="72"/>
      <c r="PRQ5" s="72"/>
      <c r="PRR5" s="72"/>
      <c r="PRS5" s="72"/>
      <c r="PRT5" s="72"/>
      <c r="PRU5" s="72"/>
      <c r="PRV5" s="72"/>
      <c r="PRW5" s="72"/>
      <c r="PRX5" s="72"/>
      <c r="PRY5" s="72"/>
      <c r="PRZ5" s="72"/>
      <c r="PSA5" s="72"/>
      <c r="PSB5" s="72"/>
      <c r="PSC5" s="72"/>
      <c r="PSD5" s="72"/>
      <c r="PSE5" s="72"/>
      <c r="PSF5" s="72"/>
      <c r="PSG5" s="72"/>
      <c r="PSH5" s="72"/>
      <c r="PSI5" s="72"/>
      <c r="PSJ5" s="72"/>
      <c r="PSK5" s="72"/>
      <c r="PSL5" s="72"/>
      <c r="PSM5" s="72"/>
      <c r="PSN5" s="72"/>
      <c r="PSO5" s="72"/>
      <c r="PSP5" s="72"/>
      <c r="PSQ5" s="72"/>
      <c r="PSR5" s="72"/>
      <c r="PSS5" s="72"/>
      <c r="PST5" s="72"/>
      <c r="PSU5" s="72"/>
      <c r="PSV5" s="72"/>
      <c r="PSW5" s="72"/>
      <c r="PSX5" s="72"/>
      <c r="PSY5" s="72"/>
      <c r="PSZ5" s="72"/>
      <c r="PTA5" s="72"/>
      <c r="PTB5" s="72"/>
      <c r="PTC5" s="72"/>
      <c r="PTD5" s="72"/>
      <c r="PTE5" s="72"/>
      <c r="PTF5" s="72"/>
      <c r="PTG5" s="72"/>
      <c r="PTH5" s="72"/>
      <c r="PTI5" s="72"/>
      <c r="PTJ5" s="72"/>
      <c r="PTK5" s="72"/>
      <c r="PTL5" s="72"/>
      <c r="PTM5" s="72"/>
      <c r="PTN5" s="72"/>
      <c r="PTO5" s="72"/>
      <c r="PTP5" s="72"/>
      <c r="PTQ5" s="72"/>
      <c r="PTR5" s="72"/>
      <c r="PTS5" s="72"/>
      <c r="PTT5" s="72"/>
      <c r="PTU5" s="72"/>
      <c r="PTV5" s="72"/>
      <c r="PTW5" s="72"/>
      <c r="PTX5" s="72"/>
      <c r="PTY5" s="72"/>
      <c r="PTZ5" s="72"/>
      <c r="PUA5" s="72"/>
      <c r="PUB5" s="72"/>
      <c r="PUC5" s="72"/>
      <c r="PUD5" s="72"/>
      <c r="PUE5" s="72"/>
      <c r="PUF5" s="72"/>
      <c r="PUG5" s="72"/>
      <c r="PUH5" s="72"/>
      <c r="PUI5" s="72"/>
      <c r="PUJ5" s="72"/>
      <c r="PUK5" s="72"/>
      <c r="PUL5" s="72"/>
      <c r="PUM5" s="72"/>
      <c r="PUN5" s="72"/>
      <c r="PUO5" s="72"/>
      <c r="PUP5" s="72"/>
      <c r="PUQ5" s="72"/>
      <c r="PUR5" s="72"/>
      <c r="PUS5" s="72"/>
      <c r="PUT5" s="72"/>
      <c r="PUU5" s="72"/>
      <c r="PUV5" s="72"/>
      <c r="PUW5" s="72"/>
      <c r="PUX5" s="72"/>
      <c r="PUY5" s="72"/>
      <c r="PUZ5" s="72"/>
      <c r="PVA5" s="72"/>
      <c r="PVB5" s="72"/>
      <c r="PVC5" s="72"/>
      <c r="PVD5" s="72"/>
      <c r="PVE5" s="72"/>
      <c r="PVF5" s="72"/>
      <c r="PVG5" s="72"/>
      <c r="PVH5" s="72"/>
      <c r="PVI5" s="72"/>
      <c r="PVJ5" s="72"/>
      <c r="PVK5" s="72"/>
      <c r="PVL5" s="72"/>
      <c r="PVM5" s="72"/>
      <c r="PVN5" s="72"/>
      <c r="PVO5" s="72"/>
      <c r="PVP5" s="72"/>
      <c r="PVQ5" s="72"/>
      <c r="PVR5" s="72"/>
      <c r="PVS5" s="72"/>
      <c r="PVT5" s="72"/>
      <c r="PVU5" s="72"/>
      <c r="PVV5" s="72"/>
      <c r="PVW5" s="72"/>
      <c r="PVX5" s="72"/>
      <c r="PVY5" s="72"/>
      <c r="PVZ5" s="72"/>
      <c r="PWA5" s="72"/>
      <c r="PWB5" s="72"/>
      <c r="PWC5" s="72"/>
      <c r="PWD5" s="72"/>
      <c r="PWE5" s="72"/>
      <c r="PWF5" s="72"/>
      <c r="PWG5" s="72"/>
      <c r="PWH5" s="72"/>
      <c r="PWI5" s="72"/>
      <c r="PWJ5" s="72"/>
      <c r="PWK5" s="72"/>
      <c r="PWL5" s="72"/>
      <c r="PWM5" s="72"/>
      <c r="PWN5" s="72"/>
      <c r="PWO5" s="72"/>
      <c r="PWP5" s="72"/>
      <c r="PWQ5" s="72"/>
      <c r="PWR5" s="72"/>
      <c r="PWS5" s="72"/>
      <c r="PWT5" s="72"/>
      <c r="PWU5" s="72"/>
      <c r="PWV5" s="72"/>
      <c r="PWW5" s="72"/>
      <c r="PWX5" s="72"/>
      <c r="PWY5" s="72"/>
      <c r="PWZ5" s="72"/>
      <c r="PXA5" s="72"/>
      <c r="PXB5" s="72"/>
      <c r="PXC5" s="72"/>
      <c r="PXD5" s="72"/>
      <c r="PXE5" s="72"/>
      <c r="PXF5" s="72"/>
      <c r="PXG5" s="72"/>
      <c r="PXH5" s="72"/>
      <c r="PXI5" s="72"/>
      <c r="PXJ5" s="72"/>
      <c r="PXK5" s="72"/>
      <c r="PXL5" s="72"/>
      <c r="PXM5" s="72"/>
      <c r="PXN5" s="72"/>
      <c r="PXO5" s="72"/>
      <c r="PXP5" s="72"/>
      <c r="PXQ5" s="72"/>
      <c r="PXR5" s="72"/>
      <c r="PXS5" s="72"/>
      <c r="PXT5" s="72"/>
      <c r="PXU5" s="72"/>
      <c r="PXV5" s="72"/>
      <c r="PXW5" s="72"/>
      <c r="PXX5" s="72"/>
      <c r="PXY5" s="72"/>
      <c r="PXZ5" s="72"/>
      <c r="PYA5" s="72"/>
      <c r="PYB5" s="72"/>
      <c r="PYC5" s="72"/>
      <c r="PYD5" s="72"/>
      <c r="PYE5" s="72"/>
      <c r="PYF5" s="72"/>
      <c r="PYG5" s="72"/>
      <c r="PYH5" s="72"/>
      <c r="PYI5" s="72"/>
      <c r="PYJ5" s="72"/>
      <c r="PYK5" s="72"/>
      <c r="PYL5" s="72"/>
      <c r="PYM5" s="72"/>
      <c r="PYN5" s="72"/>
      <c r="PYO5" s="72"/>
      <c r="PYP5" s="72"/>
      <c r="PYQ5" s="72"/>
      <c r="PYR5" s="72"/>
      <c r="PYS5" s="72"/>
      <c r="PYT5" s="72"/>
      <c r="PYU5" s="72"/>
      <c r="PYV5" s="72"/>
      <c r="PYW5" s="72"/>
      <c r="PYX5" s="72"/>
      <c r="PYY5" s="72"/>
      <c r="PYZ5" s="72"/>
      <c r="PZA5" s="72"/>
      <c r="PZB5" s="72"/>
      <c r="PZC5" s="72"/>
      <c r="PZD5" s="72"/>
      <c r="PZE5" s="72"/>
      <c r="PZF5" s="72"/>
      <c r="PZG5" s="72"/>
      <c r="PZH5" s="72"/>
      <c r="PZI5" s="72"/>
      <c r="PZJ5" s="72"/>
      <c r="PZK5" s="72"/>
      <c r="PZL5" s="72"/>
      <c r="PZM5" s="72"/>
      <c r="PZN5" s="72"/>
      <c r="PZO5" s="72"/>
      <c r="PZP5" s="72"/>
      <c r="PZQ5" s="72"/>
      <c r="PZR5" s="72"/>
      <c r="PZS5" s="72"/>
      <c r="PZT5" s="72"/>
      <c r="PZU5" s="72"/>
      <c r="PZV5" s="72"/>
      <c r="PZW5" s="72"/>
      <c r="PZX5" s="72"/>
      <c r="PZY5" s="72"/>
      <c r="PZZ5" s="72"/>
      <c r="QAA5" s="72"/>
      <c r="QAB5" s="72"/>
      <c r="QAC5" s="72"/>
      <c r="QAD5" s="72"/>
      <c r="QAE5" s="72"/>
      <c r="QAF5" s="72"/>
      <c r="QAG5" s="72"/>
      <c r="QAH5" s="72"/>
      <c r="QAI5" s="72"/>
      <c r="QAJ5" s="72"/>
      <c r="QAK5" s="72"/>
      <c r="QAL5" s="72"/>
      <c r="QAM5" s="72"/>
      <c r="QAN5" s="72"/>
      <c r="QAO5" s="72"/>
      <c r="QAP5" s="72"/>
      <c r="QAQ5" s="72"/>
      <c r="QAR5" s="72"/>
      <c r="QAS5" s="72"/>
      <c r="QAT5" s="72"/>
      <c r="QAU5" s="72"/>
      <c r="QAV5" s="72"/>
      <c r="QAW5" s="72"/>
      <c r="QAX5" s="72"/>
      <c r="QAY5" s="72"/>
      <c r="QAZ5" s="72"/>
      <c r="QBA5" s="72"/>
      <c r="QBB5" s="72"/>
      <c r="QBC5" s="72"/>
      <c r="QBD5" s="72"/>
      <c r="QBE5" s="72"/>
      <c r="QBF5" s="72"/>
      <c r="QBG5" s="72"/>
      <c r="QBH5" s="72"/>
      <c r="QBI5" s="72"/>
      <c r="QBJ5" s="72"/>
      <c r="QBK5" s="72"/>
      <c r="QBL5" s="72"/>
      <c r="QBM5" s="72"/>
      <c r="QBN5" s="72"/>
      <c r="QBO5" s="72"/>
      <c r="QBP5" s="72"/>
      <c r="QBQ5" s="72"/>
      <c r="QBR5" s="72"/>
      <c r="QBS5" s="72"/>
      <c r="QBT5" s="72"/>
      <c r="QBU5" s="72"/>
      <c r="QBV5" s="72"/>
      <c r="QBW5" s="72"/>
      <c r="QBX5" s="72"/>
      <c r="QBY5" s="72"/>
      <c r="QBZ5" s="72"/>
      <c r="QCA5" s="72"/>
      <c r="QCB5" s="72"/>
      <c r="QCC5" s="72"/>
      <c r="QCD5" s="72"/>
      <c r="QCE5" s="72"/>
      <c r="QCF5" s="72"/>
      <c r="QCG5" s="72"/>
      <c r="QCH5" s="72"/>
      <c r="QCI5" s="72"/>
      <c r="QCJ5" s="72"/>
      <c r="QCK5" s="72"/>
      <c r="QCL5" s="72"/>
      <c r="QCM5" s="72"/>
      <c r="QCN5" s="72"/>
      <c r="QCO5" s="72"/>
      <c r="QCP5" s="72"/>
      <c r="QCQ5" s="72"/>
      <c r="QCR5" s="72"/>
      <c r="QCS5" s="72"/>
      <c r="QCT5" s="72"/>
      <c r="QCU5" s="72"/>
      <c r="QCV5" s="72"/>
      <c r="QCW5" s="72"/>
      <c r="QCX5" s="72"/>
      <c r="QCY5" s="72"/>
      <c r="QCZ5" s="72"/>
      <c r="QDA5" s="72"/>
      <c r="QDB5" s="72"/>
      <c r="QDC5" s="72"/>
      <c r="QDD5" s="72"/>
      <c r="QDE5" s="72"/>
      <c r="QDF5" s="72"/>
      <c r="QDG5" s="72"/>
      <c r="QDH5" s="72"/>
      <c r="QDI5" s="72"/>
      <c r="QDJ5" s="72"/>
      <c r="QDK5" s="72"/>
      <c r="QDL5" s="72"/>
      <c r="QDM5" s="72"/>
      <c r="QDN5" s="72"/>
      <c r="QDO5" s="72"/>
      <c r="QDP5" s="72"/>
      <c r="QDQ5" s="72"/>
      <c r="QDR5" s="72"/>
      <c r="QDS5" s="72"/>
      <c r="QDT5" s="72"/>
      <c r="QDU5" s="72"/>
      <c r="QDV5" s="72"/>
      <c r="QDW5" s="72"/>
      <c r="QDX5" s="72"/>
      <c r="QDY5" s="72"/>
      <c r="QDZ5" s="72"/>
      <c r="QEA5" s="72"/>
      <c r="QEB5" s="72"/>
      <c r="QEC5" s="72"/>
      <c r="QED5" s="72"/>
      <c r="QEE5" s="72"/>
      <c r="QEF5" s="72"/>
      <c r="QEG5" s="72"/>
      <c r="QEH5" s="72"/>
      <c r="QEI5" s="72"/>
      <c r="QEJ5" s="72"/>
      <c r="QEK5" s="72"/>
      <c r="QEL5" s="72"/>
      <c r="QEM5" s="72"/>
      <c r="QEN5" s="72"/>
      <c r="QEO5" s="72"/>
      <c r="QEP5" s="72"/>
      <c r="QEQ5" s="72"/>
      <c r="QER5" s="72"/>
      <c r="QES5" s="72"/>
      <c r="QET5" s="72"/>
      <c r="QEU5" s="72"/>
      <c r="QEV5" s="72"/>
      <c r="QEW5" s="72"/>
      <c r="QEX5" s="72"/>
      <c r="QEY5" s="72"/>
      <c r="QEZ5" s="72"/>
      <c r="QFA5" s="72"/>
      <c r="QFB5" s="72"/>
      <c r="QFC5" s="72"/>
      <c r="QFD5" s="72"/>
      <c r="QFE5" s="72"/>
      <c r="QFF5" s="72"/>
      <c r="QFG5" s="72"/>
      <c r="QFH5" s="72"/>
      <c r="QFI5" s="72"/>
      <c r="QFJ5" s="72"/>
      <c r="QFK5" s="72"/>
      <c r="QFL5" s="72"/>
      <c r="QFM5" s="72"/>
      <c r="QFN5" s="72"/>
      <c r="QFO5" s="72"/>
      <c r="QFP5" s="72"/>
      <c r="QFQ5" s="72"/>
      <c r="QFR5" s="72"/>
      <c r="QFS5" s="72"/>
      <c r="QFT5" s="72"/>
      <c r="QFU5" s="72"/>
      <c r="QFV5" s="72"/>
      <c r="QFW5" s="72"/>
      <c r="QFX5" s="72"/>
      <c r="QFY5" s="72"/>
      <c r="QFZ5" s="72"/>
      <c r="QGA5" s="72"/>
      <c r="QGB5" s="72"/>
      <c r="QGC5" s="72"/>
      <c r="QGD5" s="72"/>
      <c r="QGE5" s="72"/>
      <c r="QGF5" s="72"/>
      <c r="QGG5" s="72"/>
      <c r="QGH5" s="72"/>
      <c r="QGI5" s="72"/>
      <c r="QGJ5" s="72"/>
      <c r="QGK5" s="72"/>
      <c r="QGL5" s="72"/>
      <c r="QGM5" s="72"/>
      <c r="QGN5" s="72"/>
      <c r="QGO5" s="72"/>
      <c r="QGP5" s="72"/>
      <c r="QGQ5" s="72"/>
      <c r="QGR5" s="72"/>
      <c r="QGS5" s="72"/>
      <c r="QGT5" s="72"/>
      <c r="QGU5" s="72"/>
      <c r="QGV5" s="72"/>
      <c r="QGW5" s="72"/>
      <c r="QGX5" s="72"/>
      <c r="QGY5" s="72"/>
      <c r="QGZ5" s="72"/>
      <c r="QHA5" s="72"/>
      <c r="QHB5" s="72"/>
      <c r="QHC5" s="72"/>
      <c r="QHD5" s="72"/>
      <c r="QHE5" s="72"/>
      <c r="QHF5" s="72"/>
      <c r="QHG5" s="72"/>
      <c r="QHH5" s="72"/>
      <c r="QHI5" s="72"/>
      <c r="QHJ5" s="72"/>
      <c r="QHK5" s="72"/>
      <c r="QHL5" s="72"/>
      <c r="QHM5" s="72"/>
      <c r="QHN5" s="72"/>
      <c r="QHO5" s="72"/>
      <c r="QHP5" s="72"/>
      <c r="QHQ5" s="72"/>
      <c r="QHR5" s="72"/>
      <c r="QHS5" s="72"/>
      <c r="QHT5" s="72"/>
      <c r="QHU5" s="72"/>
      <c r="QHV5" s="72"/>
      <c r="QHW5" s="72"/>
      <c r="QHX5" s="72"/>
      <c r="QHY5" s="72"/>
      <c r="QHZ5" s="72"/>
      <c r="QIA5" s="72"/>
      <c r="QIB5" s="72"/>
      <c r="QIC5" s="72"/>
      <c r="QID5" s="72"/>
      <c r="QIE5" s="72"/>
      <c r="QIF5" s="72"/>
      <c r="QIG5" s="72"/>
      <c r="QIH5" s="72"/>
      <c r="QII5" s="72"/>
      <c r="QIJ5" s="72"/>
      <c r="QIK5" s="72"/>
      <c r="QIL5" s="72"/>
      <c r="QIM5" s="72"/>
      <c r="QIN5" s="72"/>
      <c r="QIO5" s="72"/>
      <c r="QIP5" s="72"/>
      <c r="QIQ5" s="72"/>
      <c r="QIR5" s="72"/>
      <c r="QIS5" s="72"/>
      <c r="QIT5" s="72"/>
      <c r="QIU5" s="72"/>
      <c r="QIV5" s="72"/>
      <c r="QIW5" s="72"/>
      <c r="QIX5" s="72"/>
      <c r="QIY5" s="72"/>
      <c r="QIZ5" s="72"/>
      <c r="QJA5" s="72"/>
      <c r="QJB5" s="72"/>
      <c r="QJC5" s="72"/>
      <c r="QJD5" s="72"/>
      <c r="QJE5" s="72"/>
      <c r="QJF5" s="72"/>
      <c r="QJG5" s="72"/>
      <c r="QJH5" s="72"/>
      <c r="QJI5" s="72"/>
      <c r="QJJ5" s="72"/>
      <c r="QJK5" s="72"/>
      <c r="QJL5" s="72"/>
      <c r="QJM5" s="72"/>
      <c r="QJN5" s="72"/>
      <c r="QJO5" s="72"/>
      <c r="QJP5" s="72"/>
      <c r="QJQ5" s="72"/>
      <c r="QJR5" s="72"/>
      <c r="QJS5" s="72"/>
      <c r="QJT5" s="72"/>
      <c r="QJU5" s="72"/>
      <c r="QJV5" s="72"/>
      <c r="QJW5" s="72"/>
      <c r="QJX5" s="72"/>
      <c r="QJY5" s="72"/>
      <c r="QJZ5" s="72"/>
      <c r="QKA5" s="72"/>
      <c r="QKB5" s="72"/>
      <c r="QKC5" s="72"/>
      <c r="QKD5" s="72"/>
      <c r="QKE5" s="72"/>
      <c r="QKF5" s="72"/>
      <c r="QKG5" s="72"/>
      <c r="QKH5" s="72"/>
      <c r="QKI5" s="72"/>
      <c r="QKJ5" s="72"/>
      <c r="QKK5" s="72"/>
      <c r="QKL5" s="72"/>
      <c r="QKM5" s="72"/>
      <c r="QKN5" s="72"/>
      <c r="QKO5" s="72"/>
      <c r="QKP5" s="72"/>
      <c r="QKQ5" s="72"/>
      <c r="QKR5" s="72"/>
      <c r="QKS5" s="72"/>
      <c r="QKT5" s="72"/>
      <c r="QKU5" s="72"/>
      <c r="QKV5" s="72"/>
      <c r="QKW5" s="72"/>
      <c r="QKX5" s="72"/>
      <c r="QKY5" s="72"/>
      <c r="QKZ5" s="72"/>
      <c r="QLA5" s="72"/>
      <c r="QLB5" s="72"/>
      <c r="QLC5" s="72"/>
      <c r="QLD5" s="72"/>
      <c r="QLE5" s="72"/>
      <c r="QLF5" s="72"/>
      <c r="QLG5" s="72"/>
      <c r="QLH5" s="72"/>
      <c r="QLI5" s="72"/>
      <c r="QLJ5" s="72"/>
      <c r="QLK5" s="72"/>
      <c r="QLL5" s="72"/>
      <c r="QLM5" s="72"/>
      <c r="QLN5" s="72"/>
      <c r="QLO5" s="72"/>
      <c r="QLP5" s="72"/>
      <c r="QLQ5" s="72"/>
      <c r="QLR5" s="72"/>
      <c r="QLS5" s="72"/>
      <c r="QLT5" s="72"/>
      <c r="QLU5" s="72"/>
      <c r="QLV5" s="72"/>
      <c r="QLW5" s="72"/>
      <c r="QLX5" s="72"/>
      <c r="QLY5" s="72"/>
      <c r="QLZ5" s="72"/>
      <c r="QMA5" s="72"/>
      <c r="QMB5" s="72"/>
      <c r="QMC5" s="72"/>
      <c r="QMD5" s="72"/>
      <c r="QME5" s="72"/>
      <c r="QMF5" s="72"/>
      <c r="QMG5" s="72"/>
      <c r="QMH5" s="72"/>
      <c r="QMI5" s="72"/>
      <c r="QMJ5" s="72"/>
      <c r="QMK5" s="72"/>
      <c r="QML5" s="72"/>
      <c r="QMM5" s="72"/>
      <c r="QMN5" s="72"/>
      <c r="QMO5" s="72"/>
      <c r="QMP5" s="72"/>
      <c r="QMQ5" s="72"/>
      <c r="QMR5" s="72"/>
      <c r="QMS5" s="72"/>
      <c r="QMT5" s="72"/>
      <c r="QMU5" s="72"/>
      <c r="QMV5" s="72"/>
      <c r="QMW5" s="72"/>
      <c r="QMX5" s="72"/>
      <c r="QMY5" s="72"/>
      <c r="QMZ5" s="72"/>
      <c r="QNA5" s="72"/>
      <c r="QNB5" s="72"/>
      <c r="QNC5" s="72"/>
      <c r="QND5" s="72"/>
      <c r="QNE5" s="72"/>
      <c r="QNF5" s="72"/>
      <c r="QNG5" s="72"/>
      <c r="QNH5" s="72"/>
      <c r="QNI5" s="72"/>
      <c r="QNJ5" s="72"/>
      <c r="QNK5" s="72"/>
      <c r="QNL5" s="72"/>
      <c r="QNM5" s="72"/>
      <c r="QNN5" s="72"/>
      <c r="QNO5" s="72"/>
      <c r="QNP5" s="72"/>
      <c r="QNQ5" s="72"/>
      <c r="QNR5" s="72"/>
      <c r="QNS5" s="72"/>
      <c r="QNT5" s="72"/>
      <c r="QNU5" s="72"/>
      <c r="QNV5" s="72"/>
      <c r="QNW5" s="72"/>
      <c r="QNX5" s="72"/>
      <c r="QNY5" s="72"/>
      <c r="QNZ5" s="72"/>
      <c r="QOA5" s="72"/>
      <c r="QOB5" s="72"/>
      <c r="QOC5" s="72"/>
      <c r="QOD5" s="72"/>
      <c r="QOE5" s="72"/>
      <c r="QOF5" s="72"/>
      <c r="QOG5" s="72"/>
      <c r="QOH5" s="72"/>
      <c r="QOI5" s="72"/>
      <c r="QOJ5" s="72"/>
      <c r="QOK5" s="72"/>
      <c r="QOL5" s="72"/>
      <c r="QOM5" s="72"/>
      <c r="QON5" s="72"/>
      <c r="QOO5" s="72"/>
      <c r="QOP5" s="72"/>
      <c r="QOQ5" s="72"/>
      <c r="QOR5" s="72"/>
      <c r="QOS5" s="72"/>
      <c r="QOT5" s="72"/>
      <c r="QOU5" s="72"/>
      <c r="QOV5" s="72"/>
      <c r="QOW5" s="72"/>
      <c r="QOX5" s="72"/>
      <c r="QOY5" s="72"/>
      <c r="QOZ5" s="72"/>
      <c r="QPA5" s="72"/>
      <c r="QPB5" s="72"/>
      <c r="QPC5" s="72"/>
      <c r="QPD5" s="72"/>
      <c r="QPE5" s="72"/>
      <c r="QPF5" s="72"/>
      <c r="QPG5" s="72"/>
      <c r="QPH5" s="72"/>
      <c r="QPI5" s="72"/>
      <c r="QPJ5" s="72"/>
      <c r="QPK5" s="72"/>
      <c r="QPL5" s="72"/>
      <c r="QPM5" s="72"/>
      <c r="QPN5" s="72"/>
      <c r="QPO5" s="72"/>
      <c r="QPP5" s="72"/>
      <c r="QPQ5" s="72"/>
      <c r="QPR5" s="72"/>
      <c r="QPS5" s="72"/>
      <c r="QPT5" s="72"/>
      <c r="QPU5" s="72"/>
      <c r="QPV5" s="72"/>
      <c r="QPW5" s="72"/>
      <c r="QPX5" s="72"/>
      <c r="QPY5" s="72"/>
      <c r="QPZ5" s="72"/>
      <c r="QQA5" s="72"/>
      <c r="QQB5" s="72"/>
      <c r="QQC5" s="72"/>
      <c r="QQD5" s="72"/>
      <c r="QQE5" s="72"/>
      <c r="QQF5" s="72"/>
      <c r="QQG5" s="72"/>
      <c r="QQH5" s="72"/>
      <c r="QQI5" s="72"/>
      <c r="QQJ5" s="72"/>
      <c r="QQK5" s="72"/>
      <c r="QQL5" s="72"/>
      <c r="QQM5" s="72"/>
      <c r="QQN5" s="72"/>
      <c r="QQO5" s="72"/>
      <c r="QQP5" s="72"/>
      <c r="QQQ5" s="72"/>
      <c r="QQR5" s="72"/>
      <c r="QQS5" s="72"/>
      <c r="QQT5" s="72"/>
      <c r="QQU5" s="72"/>
      <c r="QQV5" s="72"/>
      <c r="QQW5" s="72"/>
      <c r="QQX5" s="72"/>
      <c r="QQY5" s="72"/>
      <c r="QQZ5" s="72"/>
      <c r="QRA5" s="72"/>
      <c r="QRB5" s="72"/>
      <c r="QRC5" s="72"/>
      <c r="QRD5" s="72"/>
      <c r="QRE5" s="72"/>
      <c r="QRF5" s="72"/>
      <c r="QRG5" s="72"/>
      <c r="QRH5" s="72"/>
      <c r="QRI5" s="72"/>
      <c r="QRJ5" s="72"/>
      <c r="QRK5" s="72"/>
      <c r="QRL5" s="72"/>
      <c r="QRM5" s="72"/>
      <c r="QRN5" s="72"/>
      <c r="QRO5" s="72"/>
      <c r="QRP5" s="72"/>
      <c r="QRQ5" s="72"/>
      <c r="QRR5" s="72"/>
      <c r="QRS5" s="72"/>
      <c r="QRT5" s="72"/>
      <c r="QRU5" s="72"/>
      <c r="QRV5" s="72"/>
      <c r="QRW5" s="72"/>
      <c r="QRX5" s="72"/>
      <c r="QRY5" s="72"/>
      <c r="QRZ5" s="72"/>
      <c r="QSA5" s="72"/>
      <c r="QSB5" s="72"/>
      <c r="QSC5" s="72"/>
      <c r="QSD5" s="72"/>
      <c r="QSE5" s="72"/>
      <c r="QSF5" s="72"/>
      <c r="QSG5" s="72"/>
      <c r="QSH5" s="72"/>
      <c r="QSI5" s="72"/>
      <c r="QSJ5" s="72"/>
      <c r="QSK5" s="72"/>
      <c r="QSL5" s="72"/>
      <c r="QSM5" s="72"/>
      <c r="QSN5" s="72"/>
      <c r="QSO5" s="72"/>
      <c r="QSP5" s="72"/>
      <c r="QSQ5" s="72"/>
      <c r="QSR5" s="72"/>
      <c r="QSS5" s="72"/>
      <c r="QST5" s="72"/>
      <c r="QSU5" s="72"/>
      <c r="QSV5" s="72"/>
      <c r="QSW5" s="72"/>
      <c r="QSX5" s="72"/>
      <c r="QSY5" s="72"/>
      <c r="QSZ5" s="72"/>
      <c r="QTA5" s="72"/>
      <c r="QTB5" s="72"/>
      <c r="QTC5" s="72"/>
      <c r="QTD5" s="72"/>
      <c r="QTE5" s="72"/>
      <c r="QTF5" s="72"/>
      <c r="QTG5" s="72"/>
      <c r="QTH5" s="72"/>
      <c r="QTI5" s="72"/>
      <c r="QTJ5" s="72"/>
      <c r="QTK5" s="72"/>
      <c r="QTL5" s="72"/>
      <c r="QTM5" s="72"/>
      <c r="QTN5" s="72"/>
      <c r="QTO5" s="72"/>
      <c r="QTP5" s="72"/>
      <c r="QTQ5" s="72"/>
      <c r="QTR5" s="72"/>
      <c r="QTS5" s="72"/>
      <c r="QTT5" s="72"/>
      <c r="QTU5" s="72"/>
      <c r="QTV5" s="72"/>
      <c r="QTW5" s="72"/>
      <c r="QTX5" s="72"/>
      <c r="QTY5" s="72"/>
      <c r="QTZ5" s="72"/>
      <c r="QUA5" s="72"/>
      <c r="QUB5" s="72"/>
      <c r="QUC5" s="72"/>
      <c r="QUD5" s="72"/>
      <c r="QUE5" s="72"/>
      <c r="QUF5" s="72"/>
      <c r="QUG5" s="72"/>
      <c r="QUH5" s="72"/>
      <c r="QUI5" s="72"/>
      <c r="QUJ5" s="72"/>
      <c r="QUK5" s="72"/>
      <c r="QUL5" s="72"/>
      <c r="QUM5" s="72"/>
      <c r="QUN5" s="72"/>
      <c r="QUO5" s="72"/>
      <c r="QUP5" s="72"/>
      <c r="QUQ5" s="72"/>
      <c r="QUR5" s="72"/>
      <c r="QUS5" s="72"/>
      <c r="QUT5" s="72"/>
      <c r="QUU5" s="72"/>
      <c r="QUV5" s="72"/>
      <c r="QUW5" s="72"/>
      <c r="QUX5" s="72"/>
      <c r="QUY5" s="72"/>
      <c r="QUZ5" s="72"/>
      <c r="QVA5" s="72"/>
      <c r="QVB5" s="72"/>
      <c r="QVC5" s="72"/>
      <c r="QVD5" s="72"/>
      <c r="QVE5" s="72"/>
      <c r="QVF5" s="72"/>
      <c r="QVG5" s="72"/>
      <c r="QVH5" s="72"/>
      <c r="QVI5" s="72"/>
      <c r="QVJ5" s="72"/>
      <c r="QVK5" s="72"/>
      <c r="QVL5" s="72"/>
      <c r="QVM5" s="72"/>
      <c r="QVN5" s="72"/>
      <c r="QVO5" s="72"/>
      <c r="QVP5" s="72"/>
      <c r="QVQ5" s="72"/>
      <c r="QVR5" s="72"/>
      <c r="QVS5" s="72"/>
      <c r="QVT5" s="72"/>
      <c r="QVU5" s="72"/>
      <c r="QVV5" s="72"/>
      <c r="QVW5" s="72"/>
      <c r="QVX5" s="72"/>
      <c r="QVY5" s="72"/>
      <c r="QVZ5" s="72"/>
      <c r="QWA5" s="72"/>
      <c r="QWB5" s="72"/>
      <c r="QWC5" s="72"/>
      <c r="QWD5" s="72"/>
      <c r="QWE5" s="72"/>
      <c r="QWF5" s="72"/>
      <c r="QWG5" s="72"/>
      <c r="QWH5" s="72"/>
      <c r="QWI5" s="72"/>
      <c r="QWJ5" s="72"/>
      <c r="QWK5" s="72"/>
      <c r="QWL5" s="72"/>
      <c r="QWM5" s="72"/>
      <c r="QWN5" s="72"/>
      <c r="QWO5" s="72"/>
      <c r="QWP5" s="72"/>
      <c r="QWQ5" s="72"/>
      <c r="QWR5" s="72"/>
      <c r="QWS5" s="72"/>
      <c r="QWT5" s="72"/>
      <c r="QWU5" s="72"/>
      <c r="QWV5" s="72"/>
      <c r="QWW5" s="72"/>
      <c r="QWX5" s="72"/>
      <c r="QWY5" s="72"/>
      <c r="QWZ5" s="72"/>
      <c r="QXA5" s="72"/>
      <c r="QXB5" s="72"/>
      <c r="QXC5" s="72"/>
      <c r="QXD5" s="72"/>
      <c r="QXE5" s="72"/>
      <c r="QXF5" s="72"/>
      <c r="QXG5" s="72"/>
      <c r="QXH5" s="72"/>
      <c r="QXI5" s="72"/>
      <c r="QXJ5" s="72"/>
      <c r="QXK5" s="72"/>
      <c r="QXL5" s="72"/>
      <c r="QXM5" s="72"/>
      <c r="QXN5" s="72"/>
      <c r="QXO5" s="72"/>
      <c r="QXP5" s="72"/>
      <c r="QXQ5" s="72"/>
      <c r="QXR5" s="72"/>
      <c r="QXS5" s="72"/>
      <c r="QXT5" s="72"/>
      <c r="QXU5" s="72"/>
      <c r="QXV5" s="72"/>
      <c r="QXW5" s="72"/>
      <c r="QXX5" s="72"/>
      <c r="QXY5" s="72"/>
      <c r="QXZ5" s="72"/>
      <c r="QYA5" s="72"/>
      <c r="QYB5" s="72"/>
      <c r="QYC5" s="72"/>
      <c r="QYD5" s="72"/>
      <c r="QYE5" s="72"/>
      <c r="QYF5" s="72"/>
      <c r="QYG5" s="72"/>
      <c r="QYH5" s="72"/>
      <c r="QYI5" s="72"/>
      <c r="QYJ5" s="72"/>
      <c r="QYK5" s="72"/>
      <c r="QYL5" s="72"/>
      <c r="QYM5" s="72"/>
      <c r="QYN5" s="72"/>
      <c r="QYO5" s="72"/>
      <c r="QYP5" s="72"/>
      <c r="QYQ5" s="72"/>
      <c r="QYR5" s="72"/>
      <c r="QYS5" s="72"/>
      <c r="QYT5" s="72"/>
      <c r="QYU5" s="72"/>
      <c r="QYV5" s="72"/>
      <c r="QYW5" s="72"/>
      <c r="QYX5" s="72"/>
      <c r="QYY5" s="72"/>
      <c r="QYZ5" s="72"/>
      <c r="QZA5" s="72"/>
      <c r="QZB5" s="72"/>
      <c r="QZC5" s="72"/>
      <c r="QZD5" s="72"/>
      <c r="QZE5" s="72"/>
      <c r="QZF5" s="72"/>
      <c r="QZG5" s="72"/>
      <c r="QZH5" s="72"/>
      <c r="QZI5" s="72"/>
      <c r="QZJ5" s="72"/>
      <c r="QZK5" s="72"/>
      <c r="QZL5" s="72"/>
      <c r="QZM5" s="72"/>
      <c r="QZN5" s="72"/>
      <c r="QZO5" s="72"/>
      <c r="QZP5" s="72"/>
      <c r="QZQ5" s="72"/>
      <c r="QZR5" s="72"/>
      <c r="QZS5" s="72"/>
      <c r="QZT5" s="72"/>
      <c r="QZU5" s="72"/>
      <c r="QZV5" s="72"/>
      <c r="QZW5" s="72"/>
      <c r="QZX5" s="72"/>
      <c r="QZY5" s="72"/>
      <c r="QZZ5" s="72"/>
      <c r="RAA5" s="72"/>
      <c r="RAB5" s="72"/>
      <c r="RAC5" s="72"/>
      <c r="RAD5" s="72"/>
      <c r="RAE5" s="72"/>
      <c r="RAF5" s="72"/>
      <c r="RAG5" s="72"/>
      <c r="RAH5" s="72"/>
      <c r="RAI5" s="72"/>
      <c r="RAJ5" s="72"/>
      <c r="RAK5" s="72"/>
      <c r="RAL5" s="72"/>
      <c r="RAM5" s="72"/>
      <c r="RAN5" s="72"/>
      <c r="RAO5" s="72"/>
      <c r="RAP5" s="72"/>
      <c r="RAQ5" s="72"/>
      <c r="RAR5" s="72"/>
      <c r="RAS5" s="72"/>
      <c r="RAT5" s="72"/>
      <c r="RAU5" s="72"/>
      <c r="RAV5" s="72"/>
      <c r="RAW5" s="72"/>
      <c r="RAX5" s="72"/>
      <c r="RAY5" s="72"/>
      <c r="RAZ5" s="72"/>
      <c r="RBA5" s="72"/>
      <c r="RBB5" s="72"/>
      <c r="RBC5" s="72"/>
      <c r="RBD5" s="72"/>
      <c r="RBE5" s="72"/>
      <c r="RBF5" s="72"/>
      <c r="RBG5" s="72"/>
      <c r="RBH5" s="72"/>
      <c r="RBI5" s="72"/>
      <c r="RBJ5" s="72"/>
      <c r="RBK5" s="72"/>
      <c r="RBL5" s="72"/>
      <c r="RBM5" s="72"/>
      <c r="RBN5" s="72"/>
      <c r="RBO5" s="72"/>
      <c r="RBP5" s="72"/>
      <c r="RBQ5" s="72"/>
      <c r="RBR5" s="72"/>
      <c r="RBS5" s="72"/>
      <c r="RBT5" s="72"/>
      <c r="RBU5" s="72"/>
      <c r="RBV5" s="72"/>
      <c r="RBW5" s="72"/>
      <c r="RBX5" s="72"/>
      <c r="RBY5" s="72"/>
      <c r="RBZ5" s="72"/>
      <c r="RCA5" s="72"/>
      <c r="RCB5" s="72"/>
      <c r="RCC5" s="72"/>
      <c r="RCD5" s="72"/>
      <c r="RCE5" s="72"/>
      <c r="RCF5" s="72"/>
      <c r="RCG5" s="72"/>
      <c r="RCH5" s="72"/>
      <c r="RCI5" s="72"/>
      <c r="RCJ5" s="72"/>
      <c r="RCK5" s="72"/>
      <c r="RCL5" s="72"/>
      <c r="RCM5" s="72"/>
      <c r="RCN5" s="72"/>
      <c r="RCO5" s="72"/>
      <c r="RCP5" s="72"/>
      <c r="RCQ5" s="72"/>
      <c r="RCR5" s="72"/>
      <c r="RCS5" s="72"/>
      <c r="RCT5" s="72"/>
      <c r="RCU5" s="72"/>
      <c r="RCV5" s="72"/>
      <c r="RCW5" s="72"/>
      <c r="RCX5" s="72"/>
      <c r="RCY5" s="72"/>
      <c r="RCZ5" s="72"/>
      <c r="RDA5" s="72"/>
      <c r="RDB5" s="72"/>
      <c r="RDC5" s="72"/>
      <c r="RDD5" s="72"/>
      <c r="RDE5" s="72"/>
      <c r="RDF5" s="72"/>
      <c r="RDG5" s="72"/>
      <c r="RDH5" s="72"/>
      <c r="RDI5" s="72"/>
      <c r="RDJ5" s="72"/>
      <c r="RDK5" s="72"/>
      <c r="RDL5" s="72"/>
      <c r="RDM5" s="72"/>
      <c r="RDN5" s="72"/>
      <c r="RDO5" s="72"/>
      <c r="RDP5" s="72"/>
      <c r="RDQ5" s="72"/>
      <c r="RDR5" s="72"/>
      <c r="RDS5" s="72"/>
      <c r="RDT5" s="72"/>
      <c r="RDU5" s="72"/>
      <c r="RDV5" s="72"/>
      <c r="RDW5" s="72"/>
      <c r="RDX5" s="72"/>
      <c r="RDY5" s="72"/>
      <c r="RDZ5" s="72"/>
      <c r="REA5" s="72"/>
      <c r="REB5" s="72"/>
      <c r="REC5" s="72"/>
      <c r="RED5" s="72"/>
      <c r="REE5" s="72"/>
      <c r="REF5" s="72"/>
      <c r="REG5" s="72"/>
      <c r="REH5" s="72"/>
      <c r="REI5" s="72"/>
      <c r="REJ5" s="72"/>
      <c r="REK5" s="72"/>
      <c r="REL5" s="72"/>
      <c r="REM5" s="72"/>
      <c r="REN5" s="72"/>
      <c r="REO5" s="72"/>
      <c r="REP5" s="72"/>
      <c r="REQ5" s="72"/>
      <c r="RER5" s="72"/>
      <c r="RES5" s="72"/>
      <c r="RET5" s="72"/>
      <c r="REU5" s="72"/>
      <c r="REV5" s="72"/>
      <c r="REW5" s="72"/>
      <c r="REX5" s="72"/>
      <c r="REY5" s="72"/>
      <c r="REZ5" s="72"/>
      <c r="RFA5" s="72"/>
      <c r="RFB5" s="72"/>
      <c r="RFC5" s="72"/>
      <c r="RFD5" s="72"/>
      <c r="RFE5" s="72"/>
      <c r="RFF5" s="72"/>
      <c r="RFG5" s="72"/>
      <c r="RFH5" s="72"/>
      <c r="RFI5" s="72"/>
      <c r="RFJ5" s="72"/>
      <c r="RFK5" s="72"/>
      <c r="RFL5" s="72"/>
      <c r="RFM5" s="72"/>
      <c r="RFN5" s="72"/>
      <c r="RFO5" s="72"/>
      <c r="RFP5" s="72"/>
      <c r="RFQ5" s="72"/>
      <c r="RFR5" s="72"/>
      <c r="RFS5" s="72"/>
      <c r="RFT5" s="72"/>
      <c r="RFU5" s="72"/>
      <c r="RFV5" s="72"/>
      <c r="RFW5" s="72"/>
      <c r="RFX5" s="72"/>
      <c r="RFY5" s="72"/>
      <c r="RFZ5" s="72"/>
      <c r="RGA5" s="72"/>
      <c r="RGB5" s="72"/>
      <c r="RGC5" s="72"/>
      <c r="RGD5" s="72"/>
      <c r="RGE5" s="72"/>
      <c r="RGF5" s="72"/>
      <c r="RGG5" s="72"/>
      <c r="RGH5" s="72"/>
      <c r="RGI5" s="72"/>
      <c r="RGJ5" s="72"/>
      <c r="RGK5" s="72"/>
      <c r="RGL5" s="72"/>
      <c r="RGM5" s="72"/>
      <c r="RGN5" s="72"/>
      <c r="RGO5" s="72"/>
      <c r="RGP5" s="72"/>
      <c r="RGQ5" s="72"/>
      <c r="RGR5" s="72"/>
      <c r="RGS5" s="72"/>
      <c r="RGT5" s="72"/>
      <c r="RGU5" s="72"/>
      <c r="RGV5" s="72"/>
      <c r="RGW5" s="72"/>
      <c r="RGX5" s="72"/>
      <c r="RGY5" s="72"/>
      <c r="RGZ5" s="72"/>
      <c r="RHA5" s="72"/>
      <c r="RHB5" s="72"/>
      <c r="RHC5" s="72"/>
      <c r="RHD5" s="72"/>
      <c r="RHE5" s="72"/>
      <c r="RHF5" s="72"/>
      <c r="RHG5" s="72"/>
      <c r="RHH5" s="72"/>
      <c r="RHI5" s="72"/>
      <c r="RHJ5" s="72"/>
      <c r="RHK5" s="72"/>
      <c r="RHL5" s="72"/>
      <c r="RHM5" s="72"/>
      <c r="RHN5" s="72"/>
      <c r="RHO5" s="72"/>
      <c r="RHP5" s="72"/>
      <c r="RHQ5" s="72"/>
      <c r="RHR5" s="72"/>
      <c r="RHS5" s="72"/>
      <c r="RHT5" s="72"/>
      <c r="RHU5" s="72"/>
      <c r="RHV5" s="72"/>
      <c r="RHW5" s="72"/>
      <c r="RHX5" s="72"/>
      <c r="RHY5" s="72"/>
      <c r="RHZ5" s="72"/>
      <c r="RIA5" s="72"/>
      <c r="RIB5" s="72"/>
      <c r="RIC5" s="72"/>
      <c r="RID5" s="72"/>
      <c r="RIE5" s="72"/>
      <c r="RIF5" s="72"/>
      <c r="RIG5" s="72"/>
      <c r="RIH5" s="72"/>
      <c r="RII5" s="72"/>
      <c r="RIJ5" s="72"/>
      <c r="RIK5" s="72"/>
      <c r="RIL5" s="72"/>
      <c r="RIM5" s="72"/>
      <c r="RIN5" s="72"/>
      <c r="RIO5" s="72"/>
      <c r="RIP5" s="72"/>
      <c r="RIQ5" s="72"/>
      <c r="RIR5" s="72"/>
      <c r="RIS5" s="72"/>
      <c r="RIT5" s="72"/>
      <c r="RIU5" s="72"/>
      <c r="RIV5" s="72"/>
      <c r="RIW5" s="72"/>
      <c r="RIX5" s="72"/>
      <c r="RIY5" s="72"/>
      <c r="RIZ5" s="72"/>
      <c r="RJA5" s="72"/>
      <c r="RJB5" s="72"/>
      <c r="RJC5" s="72"/>
      <c r="RJD5" s="72"/>
      <c r="RJE5" s="72"/>
      <c r="RJF5" s="72"/>
      <c r="RJG5" s="72"/>
      <c r="RJH5" s="72"/>
      <c r="RJI5" s="72"/>
      <c r="RJJ5" s="72"/>
      <c r="RJK5" s="72"/>
      <c r="RJL5" s="72"/>
      <c r="RJM5" s="72"/>
      <c r="RJN5" s="72"/>
      <c r="RJO5" s="72"/>
      <c r="RJP5" s="72"/>
      <c r="RJQ5" s="72"/>
      <c r="RJR5" s="72"/>
      <c r="RJS5" s="72"/>
      <c r="RJT5" s="72"/>
      <c r="RJU5" s="72"/>
      <c r="RJV5" s="72"/>
      <c r="RJW5" s="72"/>
      <c r="RJX5" s="72"/>
      <c r="RJY5" s="72"/>
      <c r="RJZ5" s="72"/>
      <c r="RKA5" s="72"/>
      <c r="RKB5" s="72"/>
      <c r="RKC5" s="72"/>
      <c r="RKD5" s="72"/>
      <c r="RKE5" s="72"/>
      <c r="RKF5" s="72"/>
      <c r="RKG5" s="72"/>
      <c r="RKH5" s="72"/>
      <c r="RKI5" s="72"/>
      <c r="RKJ5" s="72"/>
      <c r="RKK5" s="72"/>
      <c r="RKL5" s="72"/>
      <c r="RKM5" s="72"/>
      <c r="RKN5" s="72"/>
      <c r="RKO5" s="72"/>
      <c r="RKP5" s="72"/>
      <c r="RKQ5" s="72"/>
      <c r="RKR5" s="72"/>
      <c r="RKS5" s="72"/>
      <c r="RKT5" s="72"/>
      <c r="RKU5" s="72"/>
      <c r="RKV5" s="72"/>
      <c r="RKW5" s="72"/>
      <c r="RKX5" s="72"/>
      <c r="RKY5" s="72"/>
      <c r="RKZ5" s="72"/>
      <c r="RLA5" s="72"/>
      <c r="RLB5" s="72"/>
      <c r="RLC5" s="72"/>
      <c r="RLD5" s="72"/>
      <c r="RLE5" s="72"/>
      <c r="RLF5" s="72"/>
      <c r="RLG5" s="72"/>
      <c r="RLH5" s="72"/>
      <c r="RLI5" s="72"/>
      <c r="RLJ5" s="72"/>
      <c r="RLK5" s="72"/>
      <c r="RLL5" s="72"/>
      <c r="RLM5" s="72"/>
      <c r="RLN5" s="72"/>
      <c r="RLO5" s="72"/>
      <c r="RLP5" s="72"/>
      <c r="RLQ5" s="72"/>
      <c r="RLR5" s="72"/>
      <c r="RLS5" s="72"/>
      <c r="RLT5" s="72"/>
      <c r="RLU5" s="72"/>
      <c r="RLV5" s="72"/>
      <c r="RLW5" s="72"/>
      <c r="RLX5" s="72"/>
      <c r="RLY5" s="72"/>
      <c r="RLZ5" s="72"/>
      <c r="RMA5" s="72"/>
      <c r="RMB5" s="72"/>
      <c r="RMC5" s="72"/>
      <c r="RMD5" s="72"/>
      <c r="RME5" s="72"/>
      <c r="RMF5" s="72"/>
      <c r="RMG5" s="72"/>
      <c r="RMH5" s="72"/>
      <c r="RMI5" s="72"/>
      <c r="RMJ5" s="72"/>
      <c r="RMK5" s="72"/>
      <c r="RML5" s="72"/>
      <c r="RMM5" s="72"/>
      <c r="RMN5" s="72"/>
      <c r="RMO5" s="72"/>
      <c r="RMP5" s="72"/>
      <c r="RMQ5" s="72"/>
      <c r="RMR5" s="72"/>
      <c r="RMS5" s="72"/>
      <c r="RMT5" s="72"/>
      <c r="RMU5" s="72"/>
      <c r="RMV5" s="72"/>
      <c r="RMW5" s="72"/>
      <c r="RMX5" s="72"/>
      <c r="RMY5" s="72"/>
      <c r="RMZ5" s="72"/>
      <c r="RNA5" s="72"/>
      <c r="RNB5" s="72"/>
      <c r="RNC5" s="72"/>
      <c r="RND5" s="72"/>
      <c r="RNE5" s="72"/>
      <c r="RNF5" s="72"/>
      <c r="RNG5" s="72"/>
      <c r="RNH5" s="72"/>
      <c r="RNI5" s="72"/>
      <c r="RNJ5" s="72"/>
      <c r="RNK5" s="72"/>
      <c r="RNL5" s="72"/>
      <c r="RNM5" s="72"/>
      <c r="RNN5" s="72"/>
      <c r="RNO5" s="72"/>
      <c r="RNP5" s="72"/>
      <c r="RNQ5" s="72"/>
      <c r="RNR5" s="72"/>
      <c r="RNS5" s="72"/>
      <c r="RNT5" s="72"/>
      <c r="RNU5" s="72"/>
      <c r="RNV5" s="72"/>
      <c r="RNW5" s="72"/>
      <c r="RNX5" s="72"/>
      <c r="RNY5" s="72"/>
      <c r="RNZ5" s="72"/>
      <c r="ROA5" s="72"/>
      <c r="ROB5" s="72"/>
      <c r="ROC5" s="72"/>
      <c r="ROD5" s="72"/>
      <c r="ROE5" s="72"/>
      <c r="ROF5" s="72"/>
      <c r="ROG5" s="72"/>
      <c r="ROH5" s="72"/>
      <c r="ROI5" s="72"/>
      <c r="ROJ5" s="72"/>
      <c r="ROK5" s="72"/>
      <c r="ROL5" s="72"/>
      <c r="ROM5" s="72"/>
      <c r="RON5" s="72"/>
      <c r="ROO5" s="72"/>
      <c r="ROP5" s="72"/>
      <c r="ROQ5" s="72"/>
      <c r="ROR5" s="72"/>
      <c r="ROS5" s="72"/>
      <c r="ROT5" s="72"/>
      <c r="ROU5" s="72"/>
      <c r="ROV5" s="72"/>
      <c r="ROW5" s="72"/>
      <c r="ROX5" s="72"/>
      <c r="ROY5" s="72"/>
      <c r="ROZ5" s="72"/>
      <c r="RPA5" s="72"/>
      <c r="RPB5" s="72"/>
      <c r="RPC5" s="72"/>
      <c r="RPD5" s="72"/>
      <c r="RPE5" s="72"/>
      <c r="RPF5" s="72"/>
      <c r="RPG5" s="72"/>
      <c r="RPH5" s="72"/>
      <c r="RPI5" s="72"/>
      <c r="RPJ5" s="72"/>
      <c r="RPK5" s="72"/>
      <c r="RPL5" s="72"/>
      <c r="RPM5" s="72"/>
      <c r="RPN5" s="72"/>
      <c r="RPO5" s="72"/>
      <c r="RPP5" s="72"/>
      <c r="RPQ5" s="72"/>
      <c r="RPR5" s="72"/>
      <c r="RPS5" s="72"/>
      <c r="RPT5" s="72"/>
      <c r="RPU5" s="72"/>
      <c r="RPV5" s="72"/>
      <c r="RPW5" s="72"/>
      <c r="RPX5" s="72"/>
      <c r="RPY5" s="72"/>
      <c r="RPZ5" s="72"/>
      <c r="RQA5" s="72"/>
      <c r="RQB5" s="72"/>
      <c r="RQC5" s="72"/>
      <c r="RQD5" s="72"/>
      <c r="RQE5" s="72"/>
      <c r="RQF5" s="72"/>
      <c r="RQG5" s="72"/>
      <c r="RQH5" s="72"/>
      <c r="RQI5" s="72"/>
      <c r="RQJ5" s="72"/>
      <c r="RQK5" s="72"/>
      <c r="RQL5" s="72"/>
      <c r="RQM5" s="72"/>
      <c r="RQN5" s="72"/>
      <c r="RQO5" s="72"/>
      <c r="RQP5" s="72"/>
      <c r="RQQ5" s="72"/>
      <c r="RQR5" s="72"/>
      <c r="RQS5" s="72"/>
      <c r="RQT5" s="72"/>
      <c r="RQU5" s="72"/>
      <c r="RQV5" s="72"/>
      <c r="RQW5" s="72"/>
      <c r="RQX5" s="72"/>
      <c r="RQY5" s="72"/>
      <c r="RQZ5" s="72"/>
      <c r="RRA5" s="72"/>
      <c r="RRB5" s="72"/>
      <c r="RRC5" s="72"/>
      <c r="RRD5" s="72"/>
      <c r="RRE5" s="72"/>
      <c r="RRF5" s="72"/>
      <c r="RRG5" s="72"/>
      <c r="RRH5" s="72"/>
      <c r="RRI5" s="72"/>
      <c r="RRJ5" s="72"/>
      <c r="RRK5" s="72"/>
      <c r="RRL5" s="72"/>
      <c r="RRM5" s="72"/>
      <c r="RRN5" s="72"/>
      <c r="RRO5" s="72"/>
      <c r="RRP5" s="72"/>
      <c r="RRQ5" s="72"/>
      <c r="RRR5" s="72"/>
      <c r="RRS5" s="72"/>
      <c r="RRT5" s="72"/>
      <c r="RRU5" s="72"/>
      <c r="RRV5" s="72"/>
      <c r="RRW5" s="72"/>
      <c r="RRX5" s="72"/>
      <c r="RRY5" s="72"/>
      <c r="RRZ5" s="72"/>
      <c r="RSA5" s="72"/>
      <c r="RSB5" s="72"/>
      <c r="RSC5" s="72"/>
      <c r="RSD5" s="72"/>
      <c r="RSE5" s="72"/>
      <c r="RSF5" s="72"/>
      <c r="RSG5" s="72"/>
      <c r="RSH5" s="72"/>
      <c r="RSI5" s="72"/>
      <c r="RSJ5" s="72"/>
      <c r="RSK5" s="72"/>
      <c r="RSL5" s="72"/>
      <c r="RSM5" s="72"/>
      <c r="RSN5" s="72"/>
      <c r="RSO5" s="72"/>
      <c r="RSP5" s="72"/>
      <c r="RSQ5" s="72"/>
      <c r="RSR5" s="72"/>
      <c r="RSS5" s="72"/>
      <c r="RST5" s="72"/>
      <c r="RSU5" s="72"/>
      <c r="RSV5" s="72"/>
      <c r="RSW5" s="72"/>
      <c r="RSX5" s="72"/>
      <c r="RSY5" s="72"/>
      <c r="RSZ5" s="72"/>
      <c r="RTA5" s="72"/>
      <c r="RTB5" s="72"/>
      <c r="RTC5" s="72"/>
      <c r="RTD5" s="72"/>
      <c r="RTE5" s="72"/>
      <c r="RTF5" s="72"/>
      <c r="RTG5" s="72"/>
      <c r="RTH5" s="72"/>
      <c r="RTI5" s="72"/>
      <c r="RTJ5" s="72"/>
      <c r="RTK5" s="72"/>
      <c r="RTL5" s="72"/>
      <c r="RTM5" s="72"/>
      <c r="RTN5" s="72"/>
      <c r="RTO5" s="72"/>
      <c r="RTP5" s="72"/>
      <c r="RTQ5" s="72"/>
      <c r="RTR5" s="72"/>
      <c r="RTS5" s="72"/>
      <c r="RTT5" s="72"/>
      <c r="RTU5" s="72"/>
      <c r="RTV5" s="72"/>
      <c r="RTW5" s="72"/>
      <c r="RTX5" s="72"/>
      <c r="RTY5" s="72"/>
      <c r="RTZ5" s="72"/>
      <c r="RUA5" s="72"/>
      <c r="RUB5" s="72"/>
      <c r="RUC5" s="72"/>
      <c r="RUD5" s="72"/>
      <c r="RUE5" s="72"/>
      <c r="RUF5" s="72"/>
      <c r="RUG5" s="72"/>
      <c r="RUH5" s="72"/>
      <c r="RUI5" s="72"/>
      <c r="RUJ5" s="72"/>
      <c r="RUK5" s="72"/>
      <c r="RUL5" s="72"/>
      <c r="RUM5" s="72"/>
      <c r="RUN5" s="72"/>
      <c r="RUO5" s="72"/>
      <c r="RUP5" s="72"/>
      <c r="RUQ5" s="72"/>
      <c r="RUR5" s="72"/>
      <c r="RUS5" s="72"/>
      <c r="RUT5" s="72"/>
      <c r="RUU5" s="72"/>
      <c r="RUV5" s="72"/>
      <c r="RUW5" s="72"/>
      <c r="RUX5" s="72"/>
      <c r="RUY5" s="72"/>
      <c r="RUZ5" s="72"/>
      <c r="RVA5" s="72"/>
      <c r="RVB5" s="72"/>
      <c r="RVC5" s="72"/>
      <c r="RVD5" s="72"/>
      <c r="RVE5" s="72"/>
      <c r="RVF5" s="72"/>
      <c r="RVG5" s="72"/>
      <c r="RVH5" s="72"/>
      <c r="RVI5" s="72"/>
      <c r="RVJ5" s="72"/>
      <c r="RVK5" s="72"/>
      <c r="RVL5" s="72"/>
      <c r="RVM5" s="72"/>
      <c r="RVN5" s="72"/>
      <c r="RVO5" s="72"/>
      <c r="RVP5" s="72"/>
      <c r="RVQ5" s="72"/>
      <c r="RVR5" s="72"/>
      <c r="RVS5" s="72"/>
      <c r="RVT5" s="72"/>
      <c r="RVU5" s="72"/>
      <c r="RVV5" s="72"/>
      <c r="RVW5" s="72"/>
      <c r="RVX5" s="72"/>
      <c r="RVY5" s="72"/>
      <c r="RVZ5" s="72"/>
      <c r="RWA5" s="72"/>
      <c r="RWB5" s="72"/>
      <c r="RWC5" s="72"/>
      <c r="RWD5" s="72"/>
      <c r="RWE5" s="72"/>
      <c r="RWF5" s="72"/>
      <c r="RWG5" s="72"/>
      <c r="RWH5" s="72"/>
      <c r="RWI5" s="72"/>
      <c r="RWJ5" s="72"/>
      <c r="RWK5" s="72"/>
      <c r="RWL5" s="72"/>
      <c r="RWM5" s="72"/>
      <c r="RWN5" s="72"/>
      <c r="RWO5" s="72"/>
      <c r="RWP5" s="72"/>
      <c r="RWQ5" s="72"/>
      <c r="RWR5" s="72"/>
      <c r="RWS5" s="72"/>
      <c r="RWT5" s="72"/>
      <c r="RWU5" s="72"/>
      <c r="RWV5" s="72"/>
      <c r="RWW5" s="72"/>
      <c r="RWX5" s="72"/>
      <c r="RWY5" s="72"/>
      <c r="RWZ5" s="72"/>
      <c r="RXA5" s="72"/>
      <c r="RXB5" s="72"/>
      <c r="RXC5" s="72"/>
      <c r="RXD5" s="72"/>
      <c r="RXE5" s="72"/>
      <c r="RXF5" s="72"/>
      <c r="RXG5" s="72"/>
      <c r="RXH5" s="72"/>
      <c r="RXI5" s="72"/>
      <c r="RXJ5" s="72"/>
      <c r="RXK5" s="72"/>
      <c r="RXL5" s="72"/>
      <c r="RXM5" s="72"/>
      <c r="RXN5" s="72"/>
      <c r="RXO5" s="72"/>
      <c r="RXP5" s="72"/>
      <c r="RXQ5" s="72"/>
      <c r="RXR5" s="72"/>
      <c r="RXS5" s="72"/>
      <c r="RXT5" s="72"/>
      <c r="RXU5" s="72"/>
      <c r="RXV5" s="72"/>
      <c r="RXW5" s="72"/>
      <c r="RXX5" s="72"/>
      <c r="RXY5" s="72"/>
      <c r="RXZ5" s="72"/>
      <c r="RYA5" s="72"/>
      <c r="RYB5" s="72"/>
      <c r="RYC5" s="72"/>
      <c r="RYD5" s="72"/>
      <c r="RYE5" s="72"/>
      <c r="RYF5" s="72"/>
      <c r="RYG5" s="72"/>
      <c r="RYH5" s="72"/>
      <c r="RYI5" s="72"/>
      <c r="RYJ5" s="72"/>
      <c r="RYK5" s="72"/>
      <c r="RYL5" s="72"/>
      <c r="RYM5" s="72"/>
      <c r="RYN5" s="72"/>
      <c r="RYO5" s="72"/>
      <c r="RYP5" s="72"/>
      <c r="RYQ5" s="72"/>
      <c r="RYR5" s="72"/>
      <c r="RYS5" s="72"/>
      <c r="RYT5" s="72"/>
      <c r="RYU5" s="72"/>
      <c r="RYV5" s="72"/>
      <c r="RYW5" s="72"/>
      <c r="RYX5" s="72"/>
      <c r="RYY5" s="72"/>
      <c r="RYZ5" s="72"/>
      <c r="RZA5" s="72"/>
      <c r="RZB5" s="72"/>
      <c r="RZC5" s="72"/>
      <c r="RZD5" s="72"/>
      <c r="RZE5" s="72"/>
      <c r="RZF5" s="72"/>
      <c r="RZG5" s="72"/>
      <c r="RZH5" s="72"/>
      <c r="RZI5" s="72"/>
      <c r="RZJ5" s="72"/>
      <c r="RZK5" s="72"/>
      <c r="RZL5" s="72"/>
      <c r="RZM5" s="72"/>
      <c r="RZN5" s="72"/>
      <c r="RZO5" s="72"/>
      <c r="RZP5" s="72"/>
      <c r="RZQ5" s="72"/>
      <c r="RZR5" s="72"/>
      <c r="RZS5" s="72"/>
      <c r="RZT5" s="72"/>
      <c r="RZU5" s="72"/>
      <c r="RZV5" s="72"/>
      <c r="RZW5" s="72"/>
      <c r="RZX5" s="72"/>
      <c r="RZY5" s="72"/>
      <c r="RZZ5" s="72"/>
      <c r="SAA5" s="72"/>
      <c r="SAB5" s="72"/>
      <c r="SAC5" s="72"/>
      <c r="SAD5" s="72"/>
      <c r="SAE5" s="72"/>
      <c r="SAF5" s="72"/>
      <c r="SAG5" s="72"/>
      <c r="SAH5" s="72"/>
      <c r="SAI5" s="72"/>
      <c r="SAJ5" s="72"/>
      <c r="SAK5" s="72"/>
      <c r="SAL5" s="72"/>
      <c r="SAM5" s="72"/>
      <c r="SAN5" s="72"/>
      <c r="SAO5" s="72"/>
      <c r="SAP5" s="72"/>
      <c r="SAQ5" s="72"/>
      <c r="SAR5" s="72"/>
      <c r="SAS5" s="72"/>
      <c r="SAT5" s="72"/>
      <c r="SAU5" s="72"/>
      <c r="SAV5" s="72"/>
      <c r="SAW5" s="72"/>
      <c r="SAX5" s="72"/>
      <c r="SAY5" s="72"/>
      <c r="SAZ5" s="72"/>
      <c r="SBA5" s="72"/>
      <c r="SBB5" s="72"/>
      <c r="SBC5" s="72"/>
      <c r="SBD5" s="72"/>
      <c r="SBE5" s="72"/>
      <c r="SBF5" s="72"/>
      <c r="SBG5" s="72"/>
      <c r="SBH5" s="72"/>
      <c r="SBI5" s="72"/>
      <c r="SBJ5" s="72"/>
      <c r="SBK5" s="72"/>
      <c r="SBL5" s="72"/>
      <c r="SBM5" s="72"/>
      <c r="SBN5" s="72"/>
      <c r="SBO5" s="72"/>
      <c r="SBP5" s="72"/>
      <c r="SBQ5" s="72"/>
      <c r="SBR5" s="72"/>
      <c r="SBS5" s="72"/>
      <c r="SBT5" s="72"/>
      <c r="SBU5" s="72"/>
      <c r="SBV5" s="72"/>
      <c r="SBW5" s="72"/>
      <c r="SBX5" s="72"/>
      <c r="SBY5" s="72"/>
      <c r="SBZ5" s="72"/>
      <c r="SCA5" s="72"/>
      <c r="SCB5" s="72"/>
      <c r="SCC5" s="72"/>
      <c r="SCD5" s="72"/>
      <c r="SCE5" s="72"/>
      <c r="SCF5" s="72"/>
      <c r="SCG5" s="72"/>
      <c r="SCH5" s="72"/>
      <c r="SCI5" s="72"/>
      <c r="SCJ5" s="72"/>
      <c r="SCK5" s="72"/>
      <c r="SCL5" s="72"/>
      <c r="SCM5" s="72"/>
      <c r="SCN5" s="72"/>
      <c r="SCO5" s="72"/>
      <c r="SCP5" s="72"/>
      <c r="SCQ5" s="72"/>
      <c r="SCR5" s="72"/>
      <c r="SCS5" s="72"/>
      <c r="SCT5" s="72"/>
      <c r="SCU5" s="72"/>
      <c r="SCV5" s="72"/>
      <c r="SCW5" s="72"/>
      <c r="SCX5" s="72"/>
      <c r="SCY5" s="72"/>
      <c r="SCZ5" s="72"/>
      <c r="SDA5" s="72"/>
      <c r="SDB5" s="72"/>
      <c r="SDC5" s="72"/>
      <c r="SDD5" s="72"/>
      <c r="SDE5" s="72"/>
      <c r="SDF5" s="72"/>
      <c r="SDG5" s="72"/>
      <c r="SDH5" s="72"/>
      <c r="SDI5" s="72"/>
      <c r="SDJ5" s="72"/>
      <c r="SDK5" s="72"/>
      <c r="SDL5" s="72"/>
      <c r="SDM5" s="72"/>
      <c r="SDN5" s="72"/>
      <c r="SDO5" s="72"/>
      <c r="SDP5" s="72"/>
      <c r="SDQ5" s="72"/>
      <c r="SDR5" s="72"/>
      <c r="SDS5" s="72"/>
      <c r="SDT5" s="72"/>
      <c r="SDU5" s="72"/>
      <c r="SDV5" s="72"/>
      <c r="SDW5" s="72"/>
      <c r="SDX5" s="72"/>
      <c r="SDY5" s="72"/>
      <c r="SDZ5" s="72"/>
      <c r="SEA5" s="72"/>
      <c r="SEB5" s="72"/>
      <c r="SEC5" s="72"/>
      <c r="SED5" s="72"/>
      <c r="SEE5" s="72"/>
      <c r="SEF5" s="72"/>
      <c r="SEG5" s="72"/>
      <c r="SEH5" s="72"/>
      <c r="SEI5" s="72"/>
      <c r="SEJ5" s="72"/>
      <c r="SEK5" s="72"/>
      <c r="SEL5" s="72"/>
      <c r="SEM5" s="72"/>
      <c r="SEN5" s="72"/>
      <c r="SEO5" s="72"/>
      <c r="SEP5" s="72"/>
      <c r="SEQ5" s="72"/>
      <c r="SER5" s="72"/>
      <c r="SES5" s="72"/>
      <c r="SET5" s="72"/>
      <c r="SEU5" s="72"/>
      <c r="SEV5" s="72"/>
      <c r="SEW5" s="72"/>
      <c r="SEX5" s="72"/>
      <c r="SEY5" s="72"/>
      <c r="SEZ5" s="72"/>
      <c r="SFA5" s="72"/>
      <c r="SFB5" s="72"/>
      <c r="SFC5" s="72"/>
      <c r="SFD5" s="72"/>
      <c r="SFE5" s="72"/>
      <c r="SFF5" s="72"/>
      <c r="SFG5" s="72"/>
      <c r="SFH5" s="72"/>
      <c r="SFI5" s="72"/>
      <c r="SFJ5" s="72"/>
      <c r="SFK5" s="72"/>
      <c r="SFL5" s="72"/>
      <c r="SFM5" s="72"/>
      <c r="SFN5" s="72"/>
      <c r="SFO5" s="72"/>
      <c r="SFP5" s="72"/>
      <c r="SFQ5" s="72"/>
      <c r="SFR5" s="72"/>
      <c r="SFS5" s="72"/>
      <c r="SFT5" s="72"/>
      <c r="SFU5" s="72"/>
      <c r="SFV5" s="72"/>
      <c r="SFW5" s="72"/>
      <c r="SFX5" s="72"/>
      <c r="SFY5" s="72"/>
      <c r="SFZ5" s="72"/>
      <c r="SGA5" s="72"/>
      <c r="SGB5" s="72"/>
      <c r="SGC5" s="72"/>
      <c r="SGD5" s="72"/>
      <c r="SGE5" s="72"/>
      <c r="SGF5" s="72"/>
      <c r="SGG5" s="72"/>
      <c r="SGH5" s="72"/>
      <c r="SGI5" s="72"/>
      <c r="SGJ5" s="72"/>
      <c r="SGK5" s="72"/>
      <c r="SGL5" s="72"/>
      <c r="SGM5" s="72"/>
      <c r="SGN5" s="72"/>
      <c r="SGO5" s="72"/>
      <c r="SGP5" s="72"/>
      <c r="SGQ5" s="72"/>
      <c r="SGR5" s="72"/>
      <c r="SGS5" s="72"/>
      <c r="SGT5" s="72"/>
      <c r="SGU5" s="72"/>
      <c r="SGV5" s="72"/>
      <c r="SGW5" s="72"/>
      <c r="SGX5" s="72"/>
      <c r="SGY5" s="72"/>
      <c r="SGZ5" s="72"/>
      <c r="SHA5" s="72"/>
      <c r="SHB5" s="72"/>
      <c r="SHC5" s="72"/>
      <c r="SHD5" s="72"/>
      <c r="SHE5" s="72"/>
      <c r="SHF5" s="72"/>
      <c r="SHG5" s="72"/>
      <c r="SHH5" s="72"/>
      <c r="SHI5" s="72"/>
      <c r="SHJ5" s="72"/>
      <c r="SHK5" s="72"/>
      <c r="SHL5" s="72"/>
      <c r="SHM5" s="72"/>
      <c r="SHN5" s="72"/>
      <c r="SHO5" s="72"/>
      <c r="SHP5" s="72"/>
      <c r="SHQ5" s="72"/>
      <c r="SHR5" s="72"/>
      <c r="SHS5" s="72"/>
      <c r="SHT5" s="72"/>
      <c r="SHU5" s="72"/>
      <c r="SHV5" s="72"/>
      <c r="SHW5" s="72"/>
      <c r="SHX5" s="72"/>
      <c r="SHY5" s="72"/>
      <c r="SHZ5" s="72"/>
      <c r="SIA5" s="72"/>
      <c r="SIB5" s="72"/>
      <c r="SIC5" s="72"/>
      <c r="SID5" s="72"/>
      <c r="SIE5" s="72"/>
      <c r="SIF5" s="72"/>
      <c r="SIG5" s="72"/>
      <c r="SIH5" s="72"/>
      <c r="SII5" s="72"/>
      <c r="SIJ5" s="72"/>
      <c r="SIK5" s="72"/>
      <c r="SIL5" s="72"/>
      <c r="SIM5" s="72"/>
      <c r="SIN5" s="72"/>
      <c r="SIO5" s="72"/>
      <c r="SIP5" s="72"/>
      <c r="SIQ5" s="72"/>
      <c r="SIR5" s="72"/>
      <c r="SIS5" s="72"/>
      <c r="SIT5" s="72"/>
      <c r="SIU5" s="72"/>
      <c r="SIV5" s="72"/>
      <c r="SIW5" s="72"/>
      <c r="SIX5" s="72"/>
      <c r="SIY5" s="72"/>
      <c r="SIZ5" s="72"/>
      <c r="SJA5" s="72"/>
      <c r="SJB5" s="72"/>
      <c r="SJC5" s="72"/>
      <c r="SJD5" s="72"/>
      <c r="SJE5" s="72"/>
      <c r="SJF5" s="72"/>
      <c r="SJG5" s="72"/>
      <c r="SJH5" s="72"/>
      <c r="SJI5" s="72"/>
      <c r="SJJ5" s="72"/>
      <c r="SJK5" s="72"/>
      <c r="SJL5" s="72"/>
      <c r="SJM5" s="72"/>
      <c r="SJN5" s="72"/>
      <c r="SJO5" s="72"/>
      <c r="SJP5" s="72"/>
      <c r="SJQ5" s="72"/>
      <c r="SJR5" s="72"/>
      <c r="SJS5" s="72"/>
      <c r="SJT5" s="72"/>
      <c r="SJU5" s="72"/>
      <c r="SJV5" s="72"/>
      <c r="SJW5" s="72"/>
      <c r="SJX5" s="72"/>
      <c r="SJY5" s="72"/>
      <c r="SJZ5" s="72"/>
      <c r="SKA5" s="72"/>
      <c r="SKB5" s="72"/>
      <c r="SKC5" s="72"/>
      <c r="SKD5" s="72"/>
      <c r="SKE5" s="72"/>
      <c r="SKF5" s="72"/>
      <c r="SKG5" s="72"/>
      <c r="SKH5" s="72"/>
      <c r="SKI5" s="72"/>
      <c r="SKJ5" s="72"/>
      <c r="SKK5" s="72"/>
      <c r="SKL5" s="72"/>
      <c r="SKM5" s="72"/>
      <c r="SKN5" s="72"/>
      <c r="SKO5" s="72"/>
      <c r="SKP5" s="72"/>
      <c r="SKQ5" s="72"/>
      <c r="SKR5" s="72"/>
      <c r="SKS5" s="72"/>
      <c r="SKT5" s="72"/>
      <c r="SKU5" s="72"/>
      <c r="SKV5" s="72"/>
      <c r="SKW5" s="72"/>
      <c r="SKX5" s="72"/>
      <c r="SKY5" s="72"/>
      <c r="SKZ5" s="72"/>
      <c r="SLA5" s="72"/>
      <c r="SLB5" s="72"/>
      <c r="SLC5" s="72"/>
      <c r="SLD5" s="72"/>
      <c r="SLE5" s="72"/>
      <c r="SLF5" s="72"/>
      <c r="SLG5" s="72"/>
      <c r="SLH5" s="72"/>
      <c r="SLI5" s="72"/>
      <c r="SLJ5" s="72"/>
      <c r="SLK5" s="72"/>
      <c r="SLL5" s="72"/>
      <c r="SLM5" s="72"/>
      <c r="SLN5" s="72"/>
      <c r="SLO5" s="72"/>
      <c r="SLP5" s="72"/>
      <c r="SLQ5" s="72"/>
      <c r="SLR5" s="72"/>
      <c r="SLS5" s="72"/>
      <c r="SLT5" s="72"/>
      <c r="SLU5" s="72"/>
      <c r="SLV5" s="72"/>
      <c r="SLW5" s="72"/>
      <c r="SLX5" s="72"/>
      <c r="SLY5" s="72"/>
      <c r="SLZ5" s="72"/>
      <c r="SMA5" s="72"/>
      <c r="SMB5" s="72"/>
      <c r="SMC5" s="72"/>
      <c r="SMD5" s="72"/>
      <c r="SME5" s="72"/>
      <c r="SMF5" s="72"/>
      <c r="SMG5" s="72"/>
      <c r="SMH5" s="72"/>
      <c r="SMI5" s="72"/>
      <c r="SMJ5" s="72"/>
      <c r="SMK5" s="72"/>
      <c r="SML5" s="72"/>
      <c r="SMM5" s="72"/>
      <c r="SMN5" s="72"/>
      <c r="SMO5" s="72"/>
      <c r="SMP5" s="72"/>
      <c r="SMQ5" s="72"/>
      <c r="SMR5" s="72"/>
      <c r="SMS5" s="72"/>
      <c r="SMT5" s="72"/>
      <c r="SMU5" s="72"/>
      <c r="SMV5" s="72"/>
      <c r="SMW5" s="72"/>
      <c r="SMX5" s="72"/>
      <c r="SMY5" s="72"/>
      <c r="SMZ5" s="72"/>
      <c r="SNA5" s="72"/>
      <c r="SNB5" s="72"/>
      <c r="SNC5" s="72"/>
      <c r="SND5" s="72"/>
      <c r="SNE5" s="72"/>
      <c r="SNF5" s="72"/>
      <c r="SNG5" s="72"/>
      <c r="SNH5" s="72"/>
      <c r="SNI5" s="72"/>
      <c r="SNJ5" s="72"/>
      <c r="SNK5" s="72"/>
      <c r="SNL5" s="72"/>
      <c r="SNM5" s="72"/>
      <c r="SNN5" s="72"/>
      <c r="SNO5" s="72"/>
      <c r="SNP5" s="72"/>
      <c r="SNQ5" s="72"/>
      <c r="SNR5" s="72"/>
      <c r="SNS5" s="72"/>
      <c r="SNT5" s="72"/>
      <c r="SNU5" s="72"/>
      <c r="SNV5" s="72"/>
      <c r="SNW5" s="72"/>
      <c r="SNX5" s="72"/>
      <c r="SNY5" s="72"/>
      <c r="SNZ5" s="72"/>
      <c r="SOA5" s="72"/>
      <c r="SOB5" s="72"/>
      <c r="SOC5" s="72"/>
      <c r="SOD5" s="72"/>
      <c r="SOE5" s="72"/>
      <c r="SOF5" s="72"/>
      <c r="SOG5" s="72"/>
      <c r="SOH5" s="72"/>
      <c r="SOI5" s="72"/>
      <c r="SOJ5" s="72"/>
      <c r="SOK5" s="72"/>
      <c r="SOL5" s="72"/>
      <c r="SOM5" s="72"/>
      <c r="SON5" s="72"/>
      <c r="SOO5" s="72"/>
      <c r="SOP5" s="72"/>
      <c r="SOQ5" s="72"/>
      <c r="SOR5" s="72"/>
      <c r="SOS5" s="72"/>
      <c r="SOT5" s="72"/>
      <c r="SOU5" s="72"/>
      <c r="SOV5" s="72"/>
      <c r="SOW5" s="72"/>
      <c r="SOX5" s="72"/>
      <c r="SOY5" s="72"/>
      <c r="SOZ5" s="72"/>
      <c r="SPA5" s="72"/>
      <c r="SPB5" s="72"/>
      <c r="SPC5" s="72"/>
      <c r="SPD5" s="72"/>
      <c r="SPE5" s="72"/>
      <c r="SPF5" s="72"/>
      <c r="SPG5" s="72"/>
      <c r="SPH5" s="72"/>
      <c r="SPI5" s="72"/>
      <c r="SPJ5" s="72"/>
      <c r="SPK5" s="72"/>
      <c r="SPL5" s="72"/>
      <c r="SPM5" s="72"/>
      <c r="SPN5" s="72"/>
      <c r="SPO5" s="72"/>
      <c r="SPP5" s="72"/>
      <c r="SPQ5" s="72"/>
      <c r="SPR5" s="72"/>
      <c r="SPS5" s="72"/>
      <c r="SPT5" s="72"/>
      <c r="SPU5" s="72"/>
      <c r="SPV5" s="72"/>
      <c r="SPW5" s="72"/>
      <c r="SPX5" s="72"/>
      <c r="SPY5" s="72"/>
      <c r="SPZ5" s="72"/>
      <c r="SQA5" s="72"/>
      <c r="SQB5" s="72"/>
      <c r="SQC5" s="72"/>
      <c r="SQD5" s="72"/>
      <c r="SQE5" s="72"/>
      <c r="SQF5" s="72"/>
      <c r="SQG5" s="72"/>
      <c r="SQH5" s="72"/>
      <c r="SQI5" s="72"/>
      <c r="SQJ5" s="72"/>
      <c r="SQK5" s="72"/>
      <c r="SQL5" s="72"/>
      <c r="SQM5" s="72"/>
      <c r="SQN5" s="72"/>
      <c r="SQO5" s="72"/>
      <c r="SQP5" s="72"/>
      <c r="SQQ5" s="72"/>
      <c r="SQR5" s="72"/>
      <c r="SQS5" s="72"/>
      <c r="SQT5" s="72"/>
      <c r="SQU5" s="72"/>
      <c r="SQV5" s="72"/>
      <c r="SQW5" s="72"/>
      <c r="SQX5" s="72"/>
      <c r="SQY5" s="72"/>
      <c r="SQZ5" s="72"/>
      <c r="SRA5" s="72"/>
      <c r="SRB5" s="72"/>
      <c r="SRC5" s="72"/>
      <c r="SRD5" s="72"/>
      <c r="SRE5" s="72"/>
      <c r="SRF5" s="72"/>
      <c r="SRG5" s="72"/>
      <c r="SRH5" s="72"/>
      <c r="SRI5" s="72"/>
      <c r="SRJ5" s="72"/>
      <c r="SRK5" s="72"/>
      <c r="SRL5" s="72"/>
      <c r="SRM5" s="72"/>
      <c r="SRN5" s="72"/>
      <c r="SRO5" s="72"/>
      <c r="SRP5" s="72"/>
      <c r="SRQ5" s="72"/>
      <c r="SRR5" s="72"/>
      <c r="SRS5" s="72"/>
      <c r="SRT5" s="72"/>
      <c r="SRU5" s="72"/>
      <c r="SRV5" s="72"/>
      <c r="SRW5" s="72"/>
      <c r="SRX5" s="72"/>
      <c r="SRY5" s="72"/>
      <c r="SRZ5" s="72"/>
      <c r="SSA5" s="72"/>
      <c r="SSB5" s="72"/>
      <c r="SSC5" s="72"/>
      <c r="SSD5" s="72"/>
      <c r="SSE5" s="72"/>
      <c r="SSF5" s="72"/>
      <c r="SSG5" s="72"/>
      <c r="SSH5" s="72"/>
      <c r="SSI5" s="72"/>
      <c r="SSJ5" s="72"/>
      <c r="SSK5" s="72"/>
      <c r="SSL5" s="72"/>
      <c r="SSM5" s="72"/>
      <c r="SSN5" s="72"/>
      <c r="SSO5" s="72"/>
      <c r="SSP5" s="72"/>
      <c r="SSQ5" s="72"/>
      <c r="SSR5" s="72"/>
      <c r="SSS5" s="72"/>
      <c r="SST5" s="72"/>
      <c r="SSU5" s="72"/>
      <c r="SSV5" s="72"/>
      <c r="SSW5" s="72"/>
      <c r="SSX5" s="72"/>
      <c r="SSY5" s="72"/>
      <c r="SSZ5" s="72"/>
      <c r="STA5" s="72"/>
      <c r="STB5" s="72"/>
      <c r="STC5" s="72"/>
      <c r="STD5" s="72"/>
      <c r="STE5" s="72"/>
      <c r="STF5" s="72"/>
      <c r="STG5" s="72"/>
      <c r="STH5" s="72"/>
      <c r="STI5" s="72"/>
      <c r="STJ5" s="72"/>
      <c r="STK5" s="72"/>
      <c r="STL5" s="72"/>
      <c r="STM5" s="72"/>
      <c r="STN5" s="72"/>
      <c r="STO5" s="72"/>
      <c r="STP5" s="72"/>
      <c r="STQ5" s="72"/>
      <c r="STR5" s="72"/>
      <c r="STS5" s="72"/>
      <c r="STT5" s="72"/>
      <c r="STU5" s="72"/>
      <c r="STV5" s="72"/>
      <c r="STW5" s="72"/>
      <c r="STX5" s="72"/>
      <c r="STY5" s="72"/>
      <c r="STZ5" s="72"/>
      <c r="SUA5" s="72"/>
      <c r="SUB5" s="72"/>
      <c r="SUC5" s="72"/>
      <c r="SUD5" s="72"/>
      <c r="SUE5" s="72"/>
      <c r="SUF5" s="72"/>
      <c r="SUG5" s="72"/>
      <c r="SUH5" s="72"/>
      <c r="SUI5" s="72"/>
      <c r="SUJ5" s="72"/>
      <c r="SUK5" s="72"/>
      <c r="SUL5" s="72"/>
      <c r="SUM5" s="72"/>
      <c r="SUN5" s="72"/>
      <c r="SUO5" s="72"/>
      <c r="SUP5" s="72"/>
      <c r="SUQ5" s="72"/>
      <c r="SUR5" s="72"/>
      <c r="SUS5" s="72"/>
      <c r="SUT5" s="72"/>
      <c r="SUU5" s="72"/>
      <c r="SUV5" s="72"/>
      <c r="SUW5" s="72"/>
      <c r="SUX5" s="72"/>
      <c r="SUY5" s="72"/>
      <c r="SUZ5" s="72"/>
      <c r="SVA5" s="72"/>
      <c r="SVB5" s="72"/>
      <c r="SVC5" s="72"/>
      <c r="SVD5" s="72"/>
      <c r="SVE5" s="72"/>
      <c r="SVF5" s="72"/>
      <c r="SVG5" s="72"/>
      <c r="SVH5" s="72"/>
      <c r="SVI5" s="72"/>
      <c r="SVJ5" s="72"/>
      <c r="SVK5" s="72"/>
      <c r="SVL5" s="72"/>
      <c r="SVM5" s="72"/>
      <c r="SVN5" s="72"/>
      <c r="SVO5" s="72"/>
      <c r="SVP5" s="72"/>
      <c r="SVQ5" s="72"/>
      <c r="SVR5" s="72"/>
      <c r="SVS5" s="72"/>
      <c r="SVT5" s="72"/>
      <c r="SVU5" s="72"/>
      <c r="SVV5" s="72"/>
      <c r="SVW5" s="72"/>
      <c r="SVX5" s="72"/>
      <c r="SVY5" s="72"/>
      <c r="SVZ5" s="72"/>
      <c r="SWA5" s="72"/>
      <c r="SWB5" s="72"/>
      <c r="SWC5" s="72"/>
      <c r="SWD5" s="72"/>
      <c r="SWE5" s="72"/>
      <c r="SWF5" s="72"/>
      <c r="SWG5" s="72"/>
      <c r="SWH5" s="72"/>
      <c r="SWI5" s="72"/>
      <c r="SWJ5" s="72"/>
      <c r="SWK5" s="72"/>
      <c r="SWL5" s="72"/>
      <c r="SWM5" s="72"/>
      <c r="SWN5" s="72"/>
      <c r="SWO5" s="72"/>
      <c r="SWP5" s="72"/>
      <c r="SWQ5" s="72"/>
      <c r="SWR5" s="72"/>
      <c r="SWS5" s="72"/>
      <c r="SWT5" s="72"/>
      <c r="SWU5" s="72"/>
      <c r="SWV5" s="72"/>
      <c r="SWW5" s="72"/>
      <c r="SWX5" s="72"/>
      <c r="SWY5" s="72"/>
      <c r="SWZ5" s="72"/>
      <c r="SXA5" s="72"/>
      <c r="SXB5" s="72"/>
      <c r="SXC5" s="72"/>
      <c r="SXD5" s="72"/>
      <c r="SXE5" s="72"/>
      <c r="SXF5" s="72"/>
      <c r="SXG5" s="72"/>
      <c r="SXH5" s="72"/>
      <c r="SXI5" s="72"/>
      <c r="SXJ5" s="72"/>
      <c r="SXK5" s="72"/>
      <c r="SXL5" s="72"/>
      <c r="SXM5" s="72"/>
      <c r="SXN5" s="72"/>
      <c r="SXO5" s="72"/>
      <c r="SXP5" s="72"/>
      <c r="SXQ5" s="72"/>
      <c r="SXR5" s="72"/>
      <c r="SXS5" s="72"/>
      <c r="SXT5" s="72"/>
      <c r="SXU5" s="72"/>
      <c r="SXV5" s="72"/>
      <c r="SXW5" s="72"/>
      <c r="SXX5" s="72"/>
      <c r="SXY5" s="72"/>
      <c r="SXZ5" s="72"/>
      <c r="SYA5" s="72"/>
      <c r="SYB5" s="72"/>
      <c r="SYC5" s="72"/>
      <c r="SYD5" s="72"/>
      <c r="SYE5" s="72"/>
      <c r="SYF5" s="72"/>
      <c r="SYG5" s="72"/>
      <c r="SYH5" s="72"/>
      <c r="SYI5" s="72"/>
      <c r="SYJ5" s="72"/>
      <c r="SYK5" s="72"/>
      <c r="SYL5" s="72"/>
      <c r="SYM5" s="72"/>
      <c r="SYN5" s="72"/>
      <c r="SYO5" s="72"/>
      <c r="SYP5" s="72"/>
      <c r="SYQ5" s="72"/>
      <c r="SYR5" s="72"/>
      <c r="SYS5" s="72"/>
      <c r="SYT5" s="72"/>
      <c r="SYU5" s="72"/>
      <c r="SYV5" s="72"/>
      <c r="SYW5" s="72"/>
      <c r="SYX5" s="72"/>
      <c r="SYY5" s="72"/>
      <c r="SYZ5" s="72"/>
      <c r="SZA5" s="72"/>
      <c r="SZB5" s="72"/>
      <c r="SZC5" s="72"/>
      <c r="SZD5" s="72"/>
      <c r="SZE5" s="72"/>
      <c r="SZF5" s="72"/>
      <c r="SZG5" s="72"/>
      <c r="SZH5" s="72"/>
      <c r="SZI5" s="72"/>
      <c r="SZJ5" s="72"/>
      <c r="SZK5" s="72"/>
      <c r="SZL5" s="72"/>
      <c r="SZM5" s="72"/>
      <c r="SZN5" s="72"/>
      <c r="SZO5" s="72"/>
      <c r="SZP5" s="72"/>
      <c r="SZQ5" s="72"/>
      <c r="SZR5" s="72"/>
      <c r="SZS5" s="72"/>
      <c r="SZT5" s="72"/>
      <c r="SZU5" s="72"/>
      <c r="SZV5" s="72"/>
      <c r="SZW5" s="72"/>
      <c r="SZX5" s="72"/>
      <c r="SZY5" s="72"/>
      <c r="SZZ5" s="72"/>
      <c r="TAA5" s="72"/>
      <c r="TAB5" s="72"/>
      <c r="TAC5" s="72"/>
      <c r="TAD5" s="72"/>
      <c r="TAE5" s="72"/>
      <c r="TAF5" s="72"/>
      <c r="TAG5" s="72"/>
      <c r="TAH5" s="72"/>
      <c r="TAI5" s="72"/>
      <c r="TAJ5" s="72"/>
      <c r="TAK5" s="72"/>
      <c r="TAL5" s="72"/>
      <c r="TAM5" s="72"/>
      <c r="TAN5" s="72"/>
      <c r="TAO5" s="72"/>
      <c r="TAP5" s="72"/>
      <c r="TAQ5" s="72"/>
      <c r="TAR5" s="72"/>
      <c r="TAS5" s="72"/>
      <c r="TAT5" s="72"/>
      <c r="TAU5" s="72"/>
      <c r="TAV5" s="72"/>
      <c r="TAW5" s="72"/>
      <c r="TAX5" s="72"/>
      <c r="TAY5" s="72"/>
      <c r="TAZ5" s="72"/>
      <c r="TBA5" s="72"/>
      <c r="TBB5" s="72"/>
      <c r="TBC5" s="72"/>
      <c r="TBD5" s="72"/>
      <c r="TBE5" s="72"/>
      <c r="TBF5" s="72"/>
      <c r="TBG5" s="72"/>
      <c r="TBH5" s="72"/>
      <c r="TBI5" s="72"/>
      <c r="TBJ5" s="72"/>
      <c r="TBK5" s="72"/>
      <c r="TBL5" s="72"/>
      <c r="TBM5" s="72"/>
      <c r="TBN5" s="72"/>
      <c r="TBO5" s="72"/>
      <c r="TBP5" s="72"/>
      <c r="TBQ5" s="72"/>
      <c r="TBR5" s="72"/>
      <c r="TBS5" s="72"/>
      <c r="TBT5" s="72"/>
      <c r="TBU5" s="72"/>
      <c r="TBV5" s="72"/>
      <c r="TBW5" s="72"/>
      <c r="TBX5" s="72"/>
      <c r="TBY5" s="72"/>
      <c r="TBZ5" s="72"/>
      <c r="TCA5" s="72"/>
      <c r="TCB5" s="72"/>
      <c r="TCC5" s="72"/>
      <c r="TCD5" s="72"/>
      <c r="TCE5" s="72"/>
      <c r="TCF5" s="72"/>
      <c r="TCG5" s="72"/>
      <c r="TCH5" s="72"/>
      <c r="TCI5" s="72"/>
      <c r="TCJ5" s="72"/>
      <c r="TCK5" s="72"/>
      <c r="TCL5" s="72"/>
      <c r="TCM5" s="72"/>
      <c r="TCN5" s="72"/>
      <c r="TCO5" s="72"/>
      <c r="TCP5" s="72"/>
      <c r="TCQ5" s="72"/>
      <c r="TCR5" s="72"/>
      <c r="TCS5" s="72"/>
      <c r="TCT5" s="72"/>
      <c r="TCU5" s="72"/>
      <c r="TCV5" s="72"/>
      <c r="TCW5" s="72"/>
      <c r="TCX5" s="72"/>
      <c r="TCY5" s="72"/>
      <c r="TCZ5" s="72"/>
      <c r="TDA5" s="72"/>
      <c r="TDB5" s="72"/>
      <c r="TDC5" s="72"/>
      <c r="TDD5" s="72"/>
      <c r="TDE5" s="72"/>
      <c r="TDF5" s="72"/>
      <c r="TDG5" s="72"/>
      <c r="TDH5" s="72"/>
      <c r="TDI5" s="72"/>
      <c r="TDJ5" s="72"/>
      <c r="TDK5" s="72"/>
      <c r="TDL5" s="72"/>
      <c r="TDM5" s="72"/>
      <c r="TDN5" s="72"/>
      <c r="TDO5" s="72"/>
      <c r="TDP5" s="72"/>
      <c r="TDQ5" s="72"/>
      <c r="TDR5" s="72"/>
      <c r="TDS5" s="72"/>
      <c r="TDT5" s="72"/>
      <c r="TDU5" s="72"/>
      <c r="TDV5" s="72"/>
      <c r="TDW5" s="72"/>
      <c r="TDX5" s="72"/>
      <c r="TDY5" s="72"/>
      <c r="TDZ5" s="72"/>
      <c r="TEA5" s="72"/>
      <c r="TEB5" s="72"/>
      <c r="TEC5" s="72"/>
      <c r="TED5" s="72"/>
      <c r="TEE5" s="72"/>
      <c r="TEF5" s="72"/>
      <c r="TEG5" s="72"/>
      <c r="TEH5" s="72"/>
      <c r="TEI5" s="72"/>
      <c r="TEJ5" s="72"/>
      <c r="TEK5" s="72"/>
      <c r="TEL5" s="72"/>
      <c r="TEM5" s="72"/>
      <c r="TEN5" s="72"/>
      <c r="TEO5" s="72"/>
      <c r="TEP5" s="72"/>
      <c r="TEQ5" s="72"/>
      <c r="TER5" s="72"/>
      <c r="TES5" s="72"/>
      <c r="TET5" s="72"/>
      <c r="TEU5" s="72"/>
      <c r="TEV5" s="72"/>
      <c r="TEW5" s="72"/>
      <c r="TEX5" s="72"/>
      <c r="TEY5" s="72"/>
      <c r="TEZ5" s="72"/>
      <c r="TFA5" s="72"/>
      <c r="TFB5" s="72"/>
      <c r="TFC5" s="72"/>
      <c r="TFD5" s="72"/>
      <c r="TFE5" s="72"/>
      <c r="TFF5" s="72"/>
      <c r="TFG5" s="72"/>
      <c r="TFH5" s="72"/>
      <c r="TFI5" s="72"/>
      <c r="TFJ5" s="72"/>
      <c r="TFK5" s="72"/>
      <c r="TFL5" s="72"/>
      <c r="TFM5" s="72"/>
      <c r="TFN5" s="72"/>
      <c r="TFO5" s="72"/>
      <c r="TFP5" s="72"/>
      <c r="TFQ5" s="72"/>
      <c r="TFR5" s="72"/>
      <c r="TFS5" s="72"/>
      <c r="TFT5" s="72"/>
      <c r="TFU5" s="72"/>
      <c r="TFV5" s="72"/>
      <c r="TFW5" s="72"/>
      <c r="TFX5" s="72"/>
      <c r="TFY5" s="72"/>
      <c r="TFZ5" s="72"/>
      <c r="TGA5" s="72"/>
      <c r="TGB5" s="72"/>
      <c r="TGC5" s="72"/>
      <c r="TGD5" s="72"/>
      <c r="TGE5" s="72"/>
      <c r="TGF5" s="72"/>
      <c r="TGG5" s="72"/>
      <c r="TGH5" s="72"/>
      <c r="TGI5" s="72"/>
      <c r="TGJ5" s="72"/>
      <c r="TGK5" s="72"/>
      <c r="TGL5" s="72"/>
      <c r="TGM5" s="72"/>
      <c r="TGN5" s="72"/>
      <c r="TGO5" s="72"/>
      <c r="TGP5" s="72"/>
      <c r="TGQ5" s="72"/>
      <c r="TGR5" s="72"/>
      <c r="TGS5" s="72"/>
      <c r="TGT5" s="72"/>
      <c r="TGU5" s="72"/>
      <c r="TGV5" s="72"/>
      <c r="TGW5" s="72"/>
      <c r="TGX5" s="72"/>
      <c r="TGY5" s="72"/>
      <c r="TGZ5" s="72"/>
      <c r="THA5" s="72"/>
      <c r="THB5" s="72"/>
      <c r="THC5" s="72"/>
      <c r="THD5" s="72"/>
      <c r="THE5" s="72"/>
      <c r="THF5" s="72"/>
      <c r="THG5" s="72"/>
      <c r="THH5" s="72"/>
      <c r="THI5" s="72"/>
      <c r="THJ5" s="72"/>
      <c r="THK5" s="72"/>
      <c r="THL5" s="72"/>
      <c r="THM5" s="72"/>
      <c r="THN5" s="72"/>
      <c r="THO5" s="72"/>
      <c r="THP5" s="72"/>
      <c r="THQ5" s="72"/>
      <c r="THR5" s="72"/>
      <c r="THS5" s="72"/>
      <c r="THT5" s="72"/>
      <c r="THU5" s="72"/>
      <c r="THV5" s="72"/>
      <c r="THW5" s="72"/>
      <c r="THX5" s="72"/>
      <c r="THY5" s="72"/>
      <c r="THZ5" s="72"/>
      <c r="TIA5" s="72"/>
      <c r="TIB5" s="72"/>
      <c r="TIC5" s="72"/>
      <c r="TID5" s="72"/>
      <c r="TIE5" s="72"/>
      <c r="TIF5" s="72"/>
      <c r="TIG5" s="72"/>
      <c r="TIH5" s="72"/>
      <c r="TII5" s="72"/>
      <c r="TIJ5" s="72"/>
      <c r="TIK5" s="72"/>
      <c r="TIL5" s="72"/>
      <c r="TIM5" s="72"/>
      <c r="TIN5" s="72"/>
      <c r="TIO5" s="72"/>
      <c r="TIP5" s="72"/>
      <c r="TIQ5" s="72"/>
      <c r="TIR5" s="72"/>
      <c r="TIS5" s="72"/>
      <c r="TIT5" s="72"/>
      <c r="TIU5" s="72"/>
      <c r="TIV5" s="72"/>
      <c r="TIW5" s="72"/>
      <c r="TIX5" s="72"/>
      <c r="TIY5" s="72"/>
      <c r="TIZ5" s="72"/>
      <c r="TJA5" s="72"/>
      <c r="TJB5" s="72"/>
      <c r="TJC5" s="72"/>
      <c r="TJD5" s="72"/>
      <c r="TJE5" s="72"/>
      <c r="TJF5" s="72"/>
      <c r="TJG5" s="72"/>
      <c r="TJH5" s="72"/>
      <c r="TJI5" s="72"/>
      <c r="TJJ5" s="72"/>
      <c r="TJK5" s="72"/>
      <c r="TJL5" s="72"/>
      <c r="TJM5" s="72"/>
      <c r="TJN5" s="72"/>
      <c r="TJO5" s="72"/>
      <c r="TJP5" s="72"/>
      <c r="TJQ5" s="72"/>
      <c r="TJR5" s="72"/>
      <c r="TJS5" s="72"/>
      <c r="TJT5" s="72"/>
      <c r="TJU5" s="72"/>
      <c r="TJV5" s="72"/>
      <c r="TJW5" s="72"/>
      <c r="TJX5" s="72"/>
      <c r="TJY5" s="72"/>
      <c r="TJZ5" s="72"/>
      <c r="TKA5" s="72"/>
      <c r="TKB5" s="72"/>
      <c r="TKC5" s="72"/>
      <c r="TKD5" s="72"/>
      <c r="TKE5" s="72"/>
      <c r="TKF5" s="72"/>
      <c r="TKG5" s="72"/>
      <c r="TKH5" s="72"/>
      <c r="TKI5" s="72"/>
      <c r="TKJ5" s="72"/>
      <c r="TKK5" s="72"/>
      <c r="TKL5" s="72"/>
      <c r="TKM5" s="72"/>
      <c r="TKN5" s="72"/>
      <c r="TKO5" s="72"/>
      <c r="TKP5" s="72"/>
      <c r="TKQ5" s="72"/>
      <c r="TKR5" s="72"/>
      <c r="TKS5" s="72"/>
      <c r="TKT5" s="72"/>
      <c r="TKU5" s="72"/>
      <c r="TKV5" s="72"/>
      <c r="TKW5" s="72"/>
      <c r="TKX5" s="72"/>
      <c r="TKY5" s="72"/>
      <c r="TKZ5" s="72"/>
      <c r="TLA5" s="72"/>
      <c r="TLB5" s="72"/>
      <c r="TLC5" s="72"/>
      <c r="TLD5" s="72"/>
      <c r="TLE5" s="72"/>
      <c r="TLF5" s="72"/>
      <c r="TLG5" s="72"/>
      <c r="TLH5" s="72"/>
      <c r="TLI5" s="72"/>
      <c r="TLJ5" s="72"/>
      <c r="TLK5" s="72"/>
      <c r="TLL5" s="72"/>
      <c r="TLM5" s="72"/>
      <c r="TLN5" s="72"/>
      <c r="TLO5" s="72"/>
      <c r="TLP5" s="72"/>
      <c r="TLQ5" s="72"/>
      <c r="TLR5" s="72"/>
      <c r="TLS5" s="72"/>
      <c r="TLT5" s="72"/>
      <c r="TLU5" s="72"/>
      <c r="TLV5" s="72"/>
      <c r="TLW5" s="72"/>
      <c r="TLX5" s="72"/>
      <c r="TLY5" s="72"/>
      <c r="TLZ5" s="72"/>
      <c r="TMA5" s="72"/>
      <c r="TMB5" s="72"/>
      <c r="TMC5" s="72"/>
      <c r="TMD5" s="72"/>
      <c r="TME5" s="72"/>
      <c r="TMF5" s="72"/>
      <c r="TMG5" s="72"/>
      <c r="TMH5" s="72"/>
      <c r="TMI5" s="72"/>
      <c r="TMJ5" s="72"/>
      <c r="TMK5" s="72"/>
      <c r="TML5" s="72"/>
      <c r="TMM5" s="72"/>
      <c r="TMN5" s="72"/>
      <c r="TMO5" s="72"/>
      <c r="TMP5" s="72"/>
      <c r="TMQ5" s="72"/>
      <c r="TMR5" s="72"/>
      <c r="TMS5" s="72"/>
      <c r="TMT5" s="72"/>
      <c r="TMU5" s="72"/>
      <c r="TMV5" s="72"/>
      <c r="TMW5" s="72"/>
      <c r="TMX5" s="72"/>
      <c r="TMY5" s="72"/>
      <c r="TMZ5" s="72"/>
      <c r="TNA5" s="72"/>
      <c r="TNB5" s="72"/>
      <c r="TNC5" s="72"/>
      <c r="TND5" s="72"/>
      <c r="TNE5" s="72"/>
      <c r="TNF5" s="72"/>
      <c r="TNG5" s="72"/>
      <c r="TNH5" s="72"/>
      <c r="TNI5" s="72"/>
      <c r="TNJ5" s="72"/>
      <c r="TNK5" s="72"/>
      <c r="TNL5" s="72"/>
      <c r="TNM5" s="72"/>
      <c r="TNN5" s="72"/>
      <c r="TNO5" s="72"/>
      <c r="TNP5" s="72"/>
      <c r="TNQ5" s="72"/>
      <c r="TNR5" s="72"/>
      <c r="TNS5" s="72"/>
      <c r="TNT5" s="72"/>
      <c r="TNU5" s="72"/>
      <c r="TNV5" s="72"/>
      <c r="TNW5" s="72"/>
      <c r="TNX5" s="72"/>
      <c r="TNY5" s="72"/>
      <c r="TNZ5" s="72"/>
      <c r="TOA5" s="72"/>
      <c r="TOB5" s="72"/>
      <c r="TOC5" s="72"/>
      <c r="TOD5" s="72"/>
      <c r="TOE5" s="72"/>
      <c r="TOF5" s="72"/>
      <c r="TOG5" s="72"/>
      <c r="TOH5" s="72"/>
      <c r="TOI5" s="72"/>
      <c r="TOJ5" s="72"/>
      <c r="TOK5" s="72"/>
      <c r="TOL5" s="72"/>
      <c r="TOM5" s="72"/>
      <c r="TON5" s="72"/>
      <c r="TOO5" s="72"/>
      <c r="TOP5" s="72"/>
      <c r="TOQ5" s="72"/>
      <c r="TOR5" s="72"/>
      <c r="TOS5" s="72"/>
      <c r="TOT5" s="72"/>
      <c r="TOU5" s="72"/>
      <c r="TOV5" s="72"/>
      <c r="TOW5" s="72"/>
      <c r="TOX5" s="72"/>
      <c r="TOY5" s="72"/>
      <c r="TOZ5" s="72"/>
      <c r="TPA5" s="72"/>
      <c r="TPB5" s="72"/>
      <c r="TPC5" s="72"/>
      <c r="TPD5" s="72"/>
      <c r="TPE5" s="72"/>
      <c r="TPF5" s="72"/>
      <c r="TPG5" s="72"/>
      <c r="TPH5" s="72"/>
      <c r="TPI5" s="72"/>
      <c r="TPJ5" s="72"/>
      <c r="TPK5" s="72"/>
      <c r="TPL5" s="72"/>
      <c r="TPM5" s="72"/>
      <c r="TPN5" s="72"/>
      <c r="TPO5" s="72"/>
      <c r="TPP5" s="72"/>
      <c r="TPQ5" s="72"/>
      <c r="TPR5" s="72"/>
      <c r="TPS5" s="72"/>
      <c r="TPT5" s="72"/>
      <c r="TPU5" s="72"/>
      <c r="TPV5" s="72"/>
      <c r="TPW5" s="72"/>
      <c r="TPX5" s="72"/>
      <c r="TPY5" s="72"/>
      <c r="TPZ5" s="72"/>
      <c r="TQA5" s="72"/>
      <c r="TQB5" s="72"/>
      <c r="TQC5" s="72"/>
      <c r="TQD5" s="72"/>
      <c r="TQE5" s="72"/>
      <c r="TQF5" s="72"/>
      <c r="TQG5" s="72"/>
      <c r="TQH5" s="72"/>
      <c r="TQI5" s="72"/>
      <c r="TQJ5" s="72"/>
      <c r="TQK5" s="72"/>
      <c r="TQL5" s="72"/>
      <c r="TQM5" s="72"/>
      <c r="TQN5" s="72"/>
      <c r="TQO5" s="72"/>
      <c r="TQP5" s="72"/>
      <c r="TQQ5" s="72"/>
      <c r="TQR5" s="72"/>
      <c r="TQS5" s="72"/>
      <c r="TQT5" s="72"/>
      <c r="TQU5" s="72"/>
      <c r="TQV5" s="72"/>
      <c r="TQW5" s="72"/>
      <c r="TQX5" s="72"/>
      <c r="TQY5" s="72"/>
      <c r="TQZ5" s="72"/>
      <c r="TRA5" s="72"/>
      <c r="TRB5" s="72"/>
      <c r="TRC5" s="72"/>
      <c r="TRD5" s="72"/>
      <c r="TRE5" s="72"/>
      <c r="TRF5" s="72"/>
      <c r="TRG5" s="72"/>
      <c r="TRH5" s="72"/>
      <c r="TRI5" s="72"/>
      <c r="TRJ5" s="72"/>
      <c r="TRK5" s="72"/>
      <c r="TRL5" s="72"/>
      <c r="TRM5" s="72"/>
      <c r="TRN5" s="72"/>
      <c r="TRO5" s="72"/>
      <c r="TRP5" s="72"/>
      <c r="TRQ5" s="72"/>
      <c r="TRR5" s="72"/>
      <c r="TRS5" s="72"/>
      <c r="TRT5" s="72"/>
      <c r="TRU5" s="72"/>
      <c r="TRV5" s="72"/>
      <c r="TRW5" s="72"/>
      <c r="TRX5" s="72"/>
      <c r="TRY5" s="72"/>
      <c r="TRZ5" s="72"/>
      <c r="TSA5" s="72"/>
      <c r="TSB5" s="72"/>
      <c r="TSC5" s="72"/>
      <c r="TSD5" s="72"/>
      <c r="TSE5" s="72"/>
      <c r="TSF5" s="72"/>
      <c r="TSG5" s="72"/>
      <c r="TSH5" s="72"/>
      <c r="TSI5" s="72"/>
      <c r="TSJ5" s="72"/>
      <c r="TSK5" s="72"/>
      <c r="TSL5" s="72"/>
      <c r="TSM5" s="72"/>
      <c r="TSN5" s="72"/>
      <c r="TSO5" s="72"/>
      <c r="TSP5" s="72"/>
      <c r="TSQ5" s="72"/>
      <c r="TSR5" s="72"/>
      <c r="TSS5" s="72"/>
      <c r="TST5" s="72"/>
      <c r="TSU5" s="72"/>
      <c r="TSV5" s="72"/>
      <c r="TSW5" s="72"/>
      <c r="TSX5" s="72"/>
      <c r="TSY5" s="72"/>
      <c r="TSZ5" s="72"/>
      <c r="TTA5" s="72"/>
      <c r="TTB5" s="72"/>
      <c r="TTC5" s="72"/>
      <c r="TTD5" s="72"/>
      <c r="TTE5" s="72"/>
      <c r="TTF5" s="72"/>
      <c r="TTG5" s="72"/>
      <c r="TTH5" s="72"/>
      <c r="TTI5" s="72"/>
      <c r="TTJ5" s="72"/>
      <c r="TTK5" s="72"/>
      <c r="TTL5" s="72"/>
      <c r="TTM5" s="72"/>
      <c r="TTN5" s="72"/>
      <c r="TTO5" s="72"/>
      <c r="TTP5" s="72"/>
      <c r="TTQ5" s="72"/>
      <c r="TTR5" s="72"/>
      <c r="TTS5" s="72"/>
      <c r="TTT5" s="72"/>
      <c r="TTU5" s="72"/>
      <c r="TTV5" s="72"/>
      <c r="TTW5" s="72"/>
      <c r="TTX5" s="72"/>
      <c r="TTY5" s="72"/>
      <c r="TTZ5" s="72"/>
      <c r="TUA5" s="72"/>
      <c r="TUB5" s="72"/>
      <c r="TUC5" s="72"/>
      <c r="TUD5" s="72"/>
      <c r="TUE5" s="72"/>
      <c r="TUF5" s="72"/>
      <c r="TUG5" s="72"/>
      <c r="TUH5" s="72"/>
      <c r="TUI5" s="72"/>
      <c r="TUJ5" s="72"/>
      <c r="TUK5" s="72"/>
      <c r="TUL5" s="72"/>
      <c r="TUM5" s="72"/>
      <c r="TUN5" s="72"/>
      <c r="TUO5" s="72"/>
      <c r="TUP5" s="72"/>
      <c r="TUQ5" s="72"/>
      <c r="TUR5" s="72"/>
      <c r="TUS5" s="72"/>
      <c r="TUT5" s="72"/>
      <c r="TUU5" s="72"/>
      <c r="TUV5" s="72"/>
      <c r="TUW5" s="72"/>
      <c r="TUX5" s="72"/>
      <c r="TUY5" s="72"/>
      <c r="TUZ5" s="72"/>
      <c r="TVA5" s="72"/>
      <c r="TVB5" s="72"/>
      <c r="TVC5" s="72"/>
      <c r="TVD5" s="72"/>
      <c r="TVE5" s="72"/>
      <c r="TVF5" s="72"/>
      <c r="TVG5" s="72"/>
      <c r="TVH5" s="72"/>
      <c r="TVI5" s="72"/>
      <c r="TVJ5" s="72"/>
      <c r="TVK5" s="72"/>
      <c r="TVL5" s="72"/>
      <c r="TVM5" s="72"/>
      <c r="TVN5" s="72"/>
      <c r="TVO5" s="72"/>
      <c r="TVP5" s="72"/>
      <c r="TVQ5" s="72"/>
      <c r="TVR5" s="72"/>
      <c r="TVS5" s="72"/>
      <c r="TVT5" s="72"/>
      <c r="TVU5" s="72"/>
      <c r="TVV5" s="72"/>
      <c r="TVW5" s="72"/>
      <c r="TVX5" s="72"/>
      <c r="TVY5" s="72"/>
      <c r="TVZ5" s="72"/>
      <c r="TWA5" s="72"/>
      <c r="TWB5" s="72"/>
      <c r="TWC5" s="72"/>
      <c r="TWD5" s="72"/>
      <c r="TWE5" s="72"/>
      <c r="TWF5" s="72"/>
      <c r="TWG5" s="72"/>
      <c r="TWH5" s="72"/>
      <c r="TWI5" s="72"/>
      <c r="TWJ5" s="72"/>
      <c r="TWK5" s="72"/>
      <c r="TWL5" s="72"/>
      <c r="TWM5" s="72"/>
      <c r="TWN5" s="72"/>
      <c r="TWO5" s="72"/>
      <c r="TWP5" s="72"/>
      <c r="TWQ5" s="72"/>
      <c r="TWR5" s="72"/>
      <c r="TWS5" s="72"/>
      <c r="TWT5" s="72"/>
      <c r="TWU5" s="72"/>
      <c r="TWV5" s="72"/>
      <c r="TWW5" s="72"/>
      <c r="TWX5" s="72"/>
      <c r="TWY5" s="72"/>
      <c r="TWZ5" s="72"/>
      <c r="TXA5" s="72"/>
      <c r="TXB5" s="72"/>
      <c r="TXC5" s="72"/>
      <c r="TXD5" s="72"/>
      <c r="TXE5" s="72"/>
      <c r="TXF5" s="72"/>
      <c r="TXG5" s="72"/>
      <c r="TXH5" s="72"/>
      <c r="TXI5" s="72"/>
      <c r="TXJ5" s="72"/>
      <c r="TXK5" s="72"/>
      <c r="TXL5" s="72"/>
      <c r="TXM5" s="72"/>
      <c r="TXN5" s="72"/>
      <c r="TXO5" s="72"/>
      <c r="TXP5" s="72"/>
      <c r="TXQ5" s="72"/>
      <c r="TXR5" s="72"/>
      <c r="TXS5" s="72"/>
      <c r="TXT5" s="72"/>
      <c r="TXU5" s="72"/>
      <c r="TXV5" s="72"/>
      <c r="TXW5" s="72"/>
      <c r="TXX5" s="72"/>
      <c r="TXY5" s="72"/>
      <c r="TXZ5" s="72"/>
      <c r="TYA5" s="72"/>
      <c r="TYB5" s="72"/>
      <c r="TYC5" s="72"/>
      <c r="TYD5" s="72"/>
      <c r="TYE5" s="72"/>
      <c r="TYF5" s="72"/>
      <c r="TYG5" s="72"/>
      <c r="TYH5" s="72"/>
      <c r="TYI5" s="72"/>
      <c r="TYJ5" s="72"/>
      <c r="TYK5" s="72"/>
      <c r="TYL5" s="72"/>
      <c r="TYM5" s="72"/>
      <c r="TYN5" s="72"/>
      <c r="TYO5" s="72"/>
      <c r="TYP5" s="72"/>
      <c r="TYQ5" s="72"/>
      <c r="TYR5" s="72"/>
      <c r="TYS5" s="72"/>
      <c r="TYT5" s="72"/>
      <c r="TYU5" s="72"/>
      <c r="TYV5" s="72"/>
      <c r="TYW5" s="72"/>
      <c r="TYX5" s="72"/>
      <c r="TYY5" s="72"/>
      <c r="TYZ5" s="72"/>
      <c r="TZA5" s="72"/>
      <c r="TZB5" s="72"/>
      <c r="TZC5" s="72"/>
      <c r="TZD5" s="72"/>
      <c r="TZE5" s="72"/>
      <c r="TZF5" s="72"/>
      <c r="TZG5" s="72"/>
      <c r="TZH5" s="72"/>
      <c r="TZI5" s="72"/>
      <c r="TZJ5" s="72"/>
      <c r="TZK5" s="72"/>
      <c r="TZL5" s="72"/>
      <c r="TZM5" s="72"/>
      <c r="TZN5" s="72"/>
      <c r="TZO5" s="72"/>
      <c r="TZP5" s="72"/>
      <c r="TZQ5" s="72"/>
      <c r="TZR5" s="72"/>
      <c r="TZS5" s="72"/>
      <c r="TZT5" s="72"/>
      <c r="TZU5" s="72"/>
      <c r="TZV5" s="72"/>
      <c r="TZW5" s="72"/>
      <c r="TZX5" s="72"/>
      <c r="TZY5" s="72"/>
      <c r="TZZ5" s="72"/>
      <c r="UAA5" s="72"/>
      <c r="UAB5" s="72"/>
      <c r="UAC5" s="72"/>
      <c r="UAD5" s="72"/>
      <c r="UAE5" s="72"/>
      <c r="UAF5" s="72"/>
      <c r="UAG5" s="72"/>
      <c r="UAH5" s="72"/>
      <c r="UAI5" s="72"/>
      <c r="UAJ5" s="72"/>
      <c r="UAK5" s="72"/>
      <c r="UAL5" s="72"/>
      <c r="UAM5" s="72"/>
      <c r="UAN5" s="72"/>
      <c r="UAO5" s="72"/>
      <c r="UAP5" s="72"/>
      <c r="UAQ5" s="72"/>
      <c r="UAR5" s="72"/>
      <c r="UAS5" s="72"/>
      <c r="UAT5" s="72"/>
      <c r="UAU5" s="72"/>
      <c r="UAV5" s="72"/>
      <c r="UAW5" s="72"/>
      <c r="UAX5" s="72"/>
      <c r="UAY5" s="72"/>
      <c r="UAZ5" s="72"/>
      <c r="UBA5" s="72"/>
      <c r="UBB5" s="72"/>
      <c r="UBC5" s="72"/>
      <c r="UBD5" s="72"/>
      <c r="UBE5" s="72"/>
      <c r="UBF5" s="72"/>
      <c r="UBG5" s="72"/>
      <c r="UBH5" s="72"/>
      <c r="UBI5" s="72"/>
      <c r="UBJ5" s="72"/>
      <c r="UBK5" s="72"/>
      <c r="UBL5" s="72"/>
      <c r="UBM5" s="72"/>
      <c r="UBN5" s="72"/>
      <c r="UBO5" s="72"/>
      <c r="UBP5" s="72"/>
      <c r="UBQ5" s="72"/>
      <c r="UBR5" s="72"/>
      <c r="UBS5" s="72"/>
      <c r="UBT5" s="72"/>
      <c r="UBU5" s="72"/>
      <c r="UBV5" s="72"/>
      <c r="UBW5" s="72"/>
      <c r="UBX5" s="72"/>
      <c r="UBY5" s="72"/>
      <c r="UBZ5" s="72"/>
      <c r="UCA5" s="72"/>
      <c r="UCB5" s="72"/>
      <c r="UCC5" s="72"/>
      <c r="UCD5" s="72"/>
      <c r="UCE5" s="72"/>
      <c r="UCF5" s="72"/>
      <c r="UCG5" s="72"/>
      <c r="UCH5" s="72"/>
      <c r="UCI5" s="72"/>
      <c r="UCJ5" s="72"/>
      <c r="UCK5" s="72"/>
      <c r="UCL5" s="72"/>
      <c r="UCM5" s="72"/>
      <c r="UCN5" s="72"/>
      <c r="UCO5" s="72"/>
      <c r="UCP5" s="72"/>
      <c r="UCQ5" s="72"/>
      <c r="UCR5" s="72"/>
      <c r="UCS5" s="72"/>
      <c r="UCT5" s="72"/>
      <c r="UCU5" s="72"/>
      <c r="UCV5" s="72"/>
      <c r="UCW5" s="72"/>
      <c r="UCX5" s="72"/>
      <c r="UCY5" s="72"/>
      <c r="UCZ5" s="72"/>
      <c r="UDA5" s="72"/>
      <c r="UDB5" s="72"/>
      <c r="UDC5" s="72"/>
      <c r="UDD5" s="72"/>
      <c r="UDE5" s="72"/>
      <c r="UDF5" s="72"/>
      <c r="UDG5" s="72"/>
      <c r="UDH5" s="72"/>
      <c r="UDI5" s="72"/>
      <c r="UDJ5" s="72"/>
      <c r="UDK5" s="72"/>
      <c r="UDL5" s="72"/>
      <c r="UDM5" s="72"/>
      <c r="UDN5" s="72"/>
      <c r="UDO5" s="72"/>
      <c r="UDP5" s="72"/>
      <c r="UDQ5" s="72"/>
      <c r="UDR5" s="72"/>
      <c r="UDS5" s="72"/>
      <c r="UDT5" s="72"/>
      <c r="UDU5" s="72"/>
      <c r="UDV5" s="72"/>
      <c r="UDW5" s="72"/>
      <c r="UDX5" s="72"/>
      <c r="UDY5" s="72"/>
      <c r="UDZ5" s="72"/>
      <c r="UEA5" s="72"/>
      <c r="UEB5" s="72"/>
      <c r="UEC5" s="72"/>
      <c r="UED5" s="72"/>
      <c r="UEE5" s="72"/>
      <c r="UEF5" s="72"/>
      <c r="UEG5" s="72"/>
      <c r="UEH5" s="72"/>
      <c r="UEI5" s="72"/>
      <c r="UEJ5" s="72"/>
      <c r="UEK5" s="72"/>
      <c r="UEL5" s="72"/>
      <c r="UEM5" s="72"/>
      <c r="UEN5" s="72"/>
      <c r="UEO5" s="72"/>
      <c r="UEP5" s="72"/>
      <c r="UEQ5" s="72"/>
      <c r="UER5" s="72"/>
      <c r="UES5" s="72"/>
      <c r="UET5" s="72"/>
      <c r="UEU5" s="72"/>
      <c r="UEV5" s="72"/>
      <c r="UEW5" s="72"/>
      <c r="UEX5" s="72"/>
      <c r="UEY5" s="72"/>
      <c r="UEZ5" s="72"/>
      <c r="UFA5" s="72"/>
      <c r="UFB5" s="72"/>
      <c r="UFC5" s="72"/>
      <c r="UFD5" s="72"/>
      <c r="UFE5" s="72"/>
      <c r="UFF5" s="72"/>
      <c r="UFG5" s="72"/>
      <c r="UFH5" s="72"/>
      <c r="UFI5" s="72"/>
      <c r="UFJ5" s="72"/>
      <c r="UFK5" s="72"/>
      <c r="UFL5" s="72"/>
      <c r="UFM5" s="72"/>
      <c r="UFN5" s="72"/>
      <c r="UFO5" s="72"/>
      <c r="UFP5" s="72"/>
      <c r="UFQ5" s="72"/>
      <c r="UFR5" s="72"/>
      <c r="UFS5" s="72"/>
      <c r="UFT5" s="72"/>
      <c r="UFU5" s="72"/>
      <c r="UFV5" s="72"/>
      <c r="UFW5" s="72"/>
      <c r="UFX5" s="72"/>
      <c r="UFY5" s="72"/>
      <c r="UFZ5" s="72"/>
      <c r="UGA5" s="72"/>
      <c r="UGB5" s="72"/>
      <c r="UGC5" s="72"/>
      <c r="UGD5" s="72"/>
      <c r="UGE5" s="72"/>
      <c r="UGF5" s="72"/>
      <c r="UGG5" s="72"/>
      <c r="UGH5" s="72"/>
      <c r="UGI5" s="72"/>
      <c r="UGJ5" s="72"/>
      <c r="UGK5" s="72"/>
      <c r="UGL5" s="72"/>
      <c r="UGM5" s="72"/>
      <c r="UGN5" s="72"/>
      <c r="UGO5" s="72"/>
      <c r="UGP5" s="72"/>
      <c r="UGQ5" s="72"/>
      <c r="UGR5" s="72"/>
      <c r="UGS5" s="72"/>
      <c r="UGT5" s="72"/>
      <c r="UGU5" s="72"/>
      <c r="UGV5" s="72"/>
      <c r="UGW5" s="72"/>
      <c r="UGX5" s="72"/>
      <c r="UGY5" s="72"/>
      <c r="UGZ5" s="72"/>
      <c r="UHA5" s="72"/>
      <c r="UHB5" s="72"/>
      <c r="UHC5" s="72"/>
      <c r="UHD5" s="72"/>
      <c r="UHE5" s="72"/>
      <c r="UHF5" s="72"/>
      <c r="UHG5" s="72"/>
      <c r="UHH5" s="72"/>
      <c r="UHI5" s="72"/>
      <c r="UHJ5" s="72"/>
      <c r="UHK5" s="72"/>
      <c r="UHL5" s="72"/>
      <c r="UHM5" s="72"/>
      <c r="UHN5" s="72"/>
      <c r="UHO5" s="72"/>
      <c r="UHP5" s="72"/>
      <c r="UHQ5" s="72"/>
      <c r="UHR5" s="72"/>
      <c r="UHS5" s="72"/>
      <c r="UHT5" s="72"/>
      <c r="UHU5" s="72"/>
      <c r="UHV5" s="72"/>
      <c r="UHW5" s="72"/>
      <c r="UHX5" s="72"/>
      <c r="UHY5" s="72"/>
      <c r="UHZ5" s="72"/>
      <c r="UIA5" s="72"/>
      <c r="UIB5" s="72"/>
      <c r="UIC5" s="72"/>
      <c r="UID5" s="72"/>
      <c r="UIE5" s="72"/>
      <c r="UIF5" s="72"/>
      <c r="UIG5" s="72"/>
      <c r="UIH5" s="72"/>
      <c r="UII5" s="72"/>
      <c r="UIJ5" s="72"/>
      <c r="UIK5" s="72"/>
      <c r="UIL5" s="72"/>
      <c r="UIM5" s="72"/>
      <c r="UIN5" s="72"/>
      <c r="UIO5" s="72"/>
      <c r="UIP5" s="72"/>
      <c r="UIQ5" s="72"/>
      <c r="UIR5" s="72"/>
      <c r="UIS5" s="72"/>
      <c r="UIT5" s="72"/>
      <c r="UIU5" s="72"/>
      <c r="UIV5" s="72"/>
      <c r="UIW5" s="72"/>
      <c r="UIX5" s="72"/>
      <c r="UIY5" s="72"/>
      <c r="UIZ5" s="72"/>
      <c r="UJA5" s="72"/>
      <c r="UJB5" s="72"/>
      <c r="UJC5" s="72"/>
      <c r="UJD5" s="72"/>
      <c r="UJE5" s="72"/>
      <c r="UJF5" s="72"/>
      <c r="UJG5" s="72"/>
      <c r="UJH5" s="72"/>
      <c r="UJI5" s="72"/>
      <c r="UJJ5" s="72"/>
      <c r="UJK5" s="72"/>
      <c r="UJL5" s="72"/>
      <c r="UJM5" s="72"/>
      <c r="UJN5" s="72"/>
      <c r="UJO5" s="72"/>
      <c r="UJP5" s="72"/>
      <c r="UJQ5" s="72"/>
      <c r="UJR5" s="72"/>
      <c r="UJS5" s="72"/>
      <c r="UJT5" s="72"/>
      <c r="UJU5" s="72"/>
      <c r="UJV5" s="72"/>
      <c r="UJW5" s="72"/>
      <c r="UJX5" s="72"/>
      <c r="UJY5" s="72"/>
      <c r="UJZ5" s="72"/>
      <c r="UKA5" s="72"/>
      <c r="UKB5" s="72"/>
      <c r="UKC5" s="72"/>
      <c r="UKD5" s="72"/>
      <c r="UKE5" s="72"/>
      <c r="UKF5" s="72"/>
      <c r="UKG5" s="72"/>
      <c r="UKH5" s="72"/>
      <c r="UKI5" s="72"/>
      <c r="UKJ5" s="72"/>
      <c r="UKK5" s="72"/>
      <c r="UKL5" s="72"/>
      <c r="UKM5" s="72"/>
      <c r="UKN5" s="72"/>
      <c r="UKO5" s="72"/>
      <c r="UKP5" s="72"/>
      <c r="UKQ5" s="72"/>
      <c r="UKR5" s="72"/>
      <c r="UKS5" s="72"/>
      <c r="UKT5" s="72"/>
      <c r="UKU5" s="72"/>
      <c r="UKV5" s="72"/>
      <c r="UKW5" s="72"/>
      <c r="UKX5" s="72"/>
      <c r="UKY5" s="72"/>
      <c r="UKZ5" s="72"/>
      <c r="ULA5" s="72"/>
      <c r="ULB5" s="72"/>
      <c r="ULC5" s="72"/>
      <c r="ULD5" s="72"/>
      <c r="ULE5" s="72"/>
      <c r="ULF5" s="72"/>
      <c r="ULG5" s="72"/>
      <c r="ULH5" s="72"/>
      <c r="ULI5" s="72"/>
      <c r="ULJ5" s="72"/>
      <c r="ULK5" s="72"/>
      <c r="ULL5" s="72"/>
      <c r="ULM5" s="72"/>
      <c r="ULN5" s="72"/>
      <c r="ULO5" s="72"/>
      <c r="ULP5" s="72"/>
      <c r="ULQ5" s="72"/>
      <c r="ULR5" s="72"/>
      <c r="ULS5" s="72"/>
      <c r="ULT5" s="72"/>
      <c r="ULU5" s="72"/>
      <c r="ULV5" s="72"/>
      <c r="ULW5" s="72"/>
      <c r="ULX5" s="72"/>
      <c r="ULY5" s="72"/>
      <c r="ULZ5" s="72"/>
      <c r="UMA5" s="72"/>
      <c r="UMB5" s="72"/>
      <c r="UMC5" s="72"/>
      <c r="UMD5" s="72"/>
      <c r="UME5" s="72"/>
      <c r="UMF5" s="72"/>
      <c r="UMG5" s="72"/>
      <c r="UMH5" s="72"/>
      <c r="UMI5" s="72"/>
      <c r="UMJ5" s="72"/>
      <c r="UMK5" s="72"/>
      <c r="UML5" s="72"/>
      <c r="UMM5" s="72"/>
      <c r="UMN5" s="72"/>
      <c r="UMO5" s="72"/>
      <c r="UMP5" s="72"/>
      <c r="UMQ5" s="72"/>
      <c r="UMR5" s="72"/>
      <c r="UMS5" s="72"/>
      <c r="UMT5" s="72"/>
      <c r="UMU5" s="72"/>
      <c r="UMV5" s="72"/>
      <c r="UMW5" s="72"/>
      <c r="UMX5" s="72"/>
      <c r="UMY5" s="72"/>
      <c r="UMZ5" s="72"/>
      <c r="UNA5" s="72"/>
      <c r="UNB5" s="72"/>
      <c r="UNC5" s="72"/>
      <c r="UND5" s="72"/>
      <c r="UNE5" s="72"/>
      <c r="UNF5" s="72"/>
      <c r="UNG5" s="72"/>
      <c r="UNH5" s="72"/>
      <c r="UNI5" s="72"/>
      <c r="UNJ5" s="72"/>
      <c r="UNK5" s="72"/>
      <c r="UNL5" s="72"/>
      <c r="UNM5" s="72"/>
      <c r="UNN5" s="72"/>
      <c r="UNO5" s="72"/>
      <c r="UNP5" s="72"/>
      <c r="UNQ5" s="72"/>
      <c r="UNR5" s="72"/>
      <c r="UNS5" s="72"/>
      <c r="UNT5" s="72"/>
      <c r="UNU5" s="72"/>
      <c r="UNV5" s="72"/>
      <c r="UNW5" s="72"/>
      <c r="UNX5" s="72"/>
      <c r="UNY5" s="72"/>
      <c r="UNZ5" s="72"/>
      <c r="UOA5" s="72"/>
      <c r="UOB5" s="72"/>
      <c r="UOC5" s="72"/>
      <c r="UOD5" s="72"/>
      <c r="UOE5" s="72"/>
      <c r="UOF5" s="72"/>
      <c r="UOG5" s="72"/>
      <c r="UOH5" s="72"/>
      <c r="UOI5" s="72"/>
      <c r="UOJ5" s="72"/>
      <c r="UOK5" s="72"/>
      <c r="UOL5" s="72"/>
      <c r="UOM5" s="72"/>
      <c r="UON5" s="72"/>
      <c r="UOO5" s="72"/>
      <c r="UOP5" s="72"/>
      <c r="UOQ5" s="72"/>
      <c r="UOR5" s="72"/>
      <c r="UOS5" s="72"/>
      <c r="UOT5" s="72"/>
      <c r="UOU5" s="72"/>
      <c r="UOV5" s="72"/>
      <c r="UOW5" s="72"/>
      <c r="UOX5" s="72"/>
      <c r="UOY5" s="72"/>
      <c r="UOZ5" s="72"/>
      <c r="UPA5" s="72"/>
      <c r="UPB5" s="72"/>
      <c r="UPC5" s="72"/>
      <c r="UPD5" s="72"/>
      <c r="UPE5" s="72"/>
      <c r="UPF5" s="72"/>
      <c r="UPG5" s="72"/>
      <c r="UPH5" s="72"/>
      <c r="UPI5" s="72"/>
      <c r="UPJ5" s="72"/>
      <c r="UPK5" s="72"/>
      <c r="UPL5" s="72"/>
      <c r="UPM5" s="72"/>
      <c r="UPN5" s="72"/>
      <c r="UPO5" s="72"/>
      <c r="UPP5" s="72"/>
      <c r="UPQ5" s="72"/>
      <c r="UPR5" s="72"/>
      <c r="UPS5" s="72"/>
      <c r="UPT5" s="72"/>
      <c r="UPU5" s="72"/>
      <c r="UPV5" s="72"/>
      <c r="UPW5" s="72"/>
      <c r="UPX5" s="72"/>
      <c r="UPY5" s="72"/>
      <c r="UPZ5" s="72"/>
      <c r="UQA5" s="72"/>
      <c r="UQB5" s="72"/>
      <c r="UQC5" s="72"/>
      <c r="UQD5" s="72"/>
      <c r="UQE5" s="72"/>
      <c r="UQF5" s="72"/>
      <c r="UQG5" s="72"/>
      <c r="UQH5" s="72"/>
      <c r="UQI5" s="72"/>
      <c r="UQJ5" s="72"/>
      <c r="UQK5" s="72"/>
      <c r="UQL5" s="72"/>
      <c r="UQM5" s="72"/>
      <c r="UQN5" s="72"/>
      <c r="UQO5" s="72"/>
      <c r="UQP5" s="72"/>
      <c r="UQQ5" s="72"/>
      <c r="UQR5" s="72"/>
      <c r="UQS5" s="72"/>
      <c r="UQT5" s="72"/>
      <c r="UQU5" s="72"/>
      <c r="UQV5" s="72"/>
      <c r="UQW5" s="72"/>
      <c r="UQX5" s="72"/>
      <c r="UQY5" s="72"/>
      <c r="UQZ5" s="72"/>
      <c r="URA5" s="72"/>
      <c r="URB5" s="72"/>
      <c r="URC5" s="72"/>
      <c r="URD5" s="72"/>
      <c r="URE5" s="72"/>
      <c r="URF5" s="72"/>
      <c r="URG5" s="72"/>
      <c r="URH5" s="72"/>
      <c r="URI5" s="72"/>
      <c r="URJ5" s="72"/>
      <c r="URK5" s="72"/>
      <c r="URL5" s="72"/>
      <c r="URM5" s="72"/>
      <c r="URN5" s="72"/>
      <c r="URO5" s="72"/>
      <c r="URP5" s="72"/>
      <c r="URQ5" s="72"/>
      <c r="URR5" s="72"/>
      <c r="URS5" s="72"/>
      <c r="URT5" s="72"/>
      <c r="URU5" s="72"/>
      <c r="URV5" s="72"/>
      <c r="URW5" s="72"/>
      <c r="URX5" s="72"/>
      <c r="URY5" s="72"/>
      <c r="URZ5" s="72"/>
      <c r="USA5" s="72"/>
      <c r="USB5" s="72"/>
      <c r="USC5" s="72"/>
      <c r="USD5" s="72"/>
      <c r="USE5" s="72"/>
      <c r="USF5" s="72"/>
      <c r="USG5" s="72"/>
      <c r="USH5" s="72"/>
      <c r="USI5" s="72"/>
      <c r="USJ5" s="72"/>
      <c r="USK5" s="72"/>
      <c r="USL5" s="72"/>
      <c r="USM5" s="72"/>
      <c r="USN5" s="72"/>
      <c r="USO5" s="72"/>
      <c r="USP5" s="72"/>
      <c r="USQ5" s="72"/>
      <c r="USR5" s="72"/>
      <c r="USS5" s="72"/>
      <c r="UST5" s="72"/>
      <c r="USU5" s="72"/>
      <c r="USV5" s="72"/>
      <c r="USW5" s="72"/>
      <c r="USX5" s="72"/>
      <c r="USY5" s="72"/>
      <c r="USZ5" s="72"/>
      <c r="UTA5" s="72"/>
      <c r="UTB5" s="72"/>
      <c r="UTC5" s="72"/>
      <c r="UTD5" s="72"/>
      <c r="UTE5" s="72"/>
      <c r="UTF5" s="72"/>
      <c r="UTG5" s="72"/>
      <c r="UTH5" s="72"/>
      <c r="UTI5" s="72"/>
      <c r="UTJ5" s="72"/>
      <c r="UTK5" s="72"/>
      <c r="UTL5" s="72"/>
      <c r="UTM5" s="72"/>
      <c r="UTN5" s="72"/>
      <c r="UTO5" s="72"/>
      <c r="UTP5" s="72"/>
      <c r="UTQ5" s="72"/>
      <c r="UTR5" s="72"/>
      <c r="UTS5" s="72"/>
      <c r="UTT5" s="72"/>
      <c r="UTU5" s="72"/>
      <c r="UTV5" s="72"/>
      <c r="UTW5" s="72"/>
      <c r="UTX5" s="72"/>
      <c r="UTY5" s="72"/>
      <c r="UTZ5" s="72"/>
      <c r="UUA5" s="72"/>
      <c r="UUB5" s="72"/>
      <c r="UUC5" s="72"/>
      <c r="UUD5" s="72"/>
      <c r="UUE5" s="72"/>
      <c r="UUF5" s="72"/>
      <c r="UUG5" s="72"/>
      <c r="UUH5" s="72"/>
      <c r="UUI5" s="72"/>
      <c r="UUJ5" s="72"/>
      <c r="UUK5" s="72"/>
      <c r="UUL5" s="72"/>
      <c r="UUM5" s="72"/>
      <c r="UUN5" s="72"/>
      <c r="UUO5" s="72"/>
      <c r="UUP5" s="72"/>
      <c r="UUQ5" s="72"/>
      <c r="UUR5" s="72"/>
      <c r="UUS5" s="72"/>
      <c r="UUT5" s="72"/>
      <c r="UUU5" s="72"/>
      <c r="UUV5" s="72"/>
      <c r="UUW5" s="72"/>
      <c r="UUX5" s="72"/>
      <c r="UUY5" s="72"/>
      <c r="UUZ5" s="72"/>
      <c r="UVA5" s="72"/>
      <c r="UVB5" s="72"/>
      <c r="UVC5" s="72"/>
      <c r="UVD5" s="72"/>
      <c r="UVE5" s="72"/>
      <c r="UVF5" s="72"/>
      <c r="UVG5" s="72"/>
      <c r="UVH5" s="72"/>
      <c r="UVI5" s="72"/>
      <c r="UVJ5" s="72"/>
      <c r="UVK5" s="72"/>
      <c r="UVL5" s="72"/>
      <c r="UVM5" s="72"/>
      <c r="UVN5" s="72"/>
      <c r="UVO5" s="72"/>
      <c r="UVP5" s="72"/>
      <c r="UVQ5" s="72"/>
      <c r="UVR5" s="72"/>
      <c r="UVS5" s="72"/>
      <c r="UVT5" s="72"/>
      <c r="UVU5" s="72"/>
      <c r="UVV5" s="72"/>
      <c r="UVW5" s="72"/>
      <c r="UVX5" s="72"/>
      <c r="UVY5" s="72"/>
      <c r="UVZ5" s="72"/>
      <c r="UWA5" s="72"/>
      <c r="UWB5" s="72"/>
      <c r="UWC5" s="72"/>
      <c r="UWD5" s="72"/>
      <c r="UWE5" s="72"/>
      <c r="UWF5" s="72"/>
      <c r="UWG5" s="72"/>
      <c r="UWH5" s="72"/>
      <c r="UWI5" s="72"/>
      <c r="UWJ5" s="72"/>
      <c r="UWK5" s="72"/>
      <c r="UWL5" s="72"/>
      <c r="UWM5" s="72"/>
      <c r="UWN5" s="72"/>
      <c r="UWO5" s="72"/>
      <c r="UWP5" s="72"/>
      <c r="UWQ5" s="72"/>
      <c r="UWR5" s="72"/>
      <c r="UWS5" s="72"/>
      <c r="UWT5" s="72"/>
      <c r="UWU5" s="72"/>
      <c r="UWV5" s="72"/>
      <c r="UWW5" s="72"/>
      <c r="UWX5" s="72"/>
      <c r="UWY5" s="72"/>
      <c r="UWZ5" s="72"/>
      <c r="UXA5" s="72"/>
      <c r="UXB5" s="72"/>
      <c r="UXC5" s="72"/>
      <c r="UXD5" s="72"/>
      <c r="UXE5" s="72"/>
      <c r="UXF5" s="72"/>
      <c r="UXG5" s="72"/>
      <c r="UXH5" s="72"/>
      <c r="UXI5" s="72"/>
      <c r="UXJ5" s="72"/>
      <c r="UXK5" s="72"/>
      <c r="UXL5" s="72"/>
      <c r="UXM5" s="72"/>
      <c r="UXN5" s="72"/>
      <c r="UXO5" s="72"/>
      <c r="UXP5" s="72"/>
      <c r="UXQ5" s="72"/>
      <c r="UXR5" s="72"/>
      <c r="UXS5" s="72"/>
      <c r="UXT5" s="72"/>
      <c r="UXU5" s="72"/>
      <c r="UXV5" s="72"/>
      <c r="UXW5" s="72"/>
      <c r="UXX5" s="72"/>
      <c r="UXY5" s="72"/>
      <c r="UXZ5" s="72"/>
      <c r="UYA5" s="72"/>
      <c r="UYB5" s="72"/>
      <c r="UYC5" s="72"/>
      <c r="UYD5" s="72"/>
      <c r="UYE5" s="72"/>
      <c r="UYF5" s="72"/>
      <c r="UYG5" s="72"/>
      <c r="UYH5" s="72"/>
      <c r="UYI5" s="72"/>
      <c r="UYJ5" s="72"/>
      <c r="UYK5" s="72"/>
      <c r="UYL5" s="72"/>
      <c r="UYM5" s="72"/>
      <c r="UYN5" s="72"/>
      <c r="UYO5" s="72"/>
      <c r="UYP5" s="72"/>
      <c r="UYQ5" s="72"/>
      <c r="UYR5" s="72"/>
      <c r="UYS5" s="72"/>
      <c r="UYT5" s="72"/>
      <c r="UYU5" s="72"/>
      <c r="UYV5" s="72"/>
      <c r="UYW5" s="72"/>
      <c r="UYX5" s="72"/>
      <c r="UYY5" s="72"/>
      <c r="UYZ5" s="72"/>
      <c r="UZA5" s="72"/>
      <c r="UZB5" s="72"/>
      <c r="UZC5" s="72"/>
      <c r="UZD5" s="72"/>
      <c r="UZE5" s="72"/>
      <c r="UZF5" s="72"/>
      <c r="UZG5" s="72"/>
      <c r="UZH5" s="72"/>
      <c r="UZI5" s="72"/>
      <c r="UZJ5" s="72"/>
      <c r="UZK5" s="72"/>
      <c r="UZL5" s="72"/>
      <c r="UZM5" s="72"/>
      <c r="UZN5" s="72"/>
      <c r="UZO5" s="72"/>
      <c r="UZP5" s="72"/>
      <c r="UZQ5" s="72"/>
      <c r="UZR5" s="72"/>
      <c r="UZS5" s="72"/>
      <c r="UZT5" s="72"/>
      <c r="UZU5" s="72"/>
      <c r="UZV5" s="72"/>
      <c r="UZW5" s="72"/>
      <c r="UZX5" s="72"/>
      <c r="UZY5" s="72"/>
      <c r="UZZ5" s="72"/>
      <c r="VAA5" s="72"/>
      <c r="VAB5" s="72"/>
      <c r="VAC5" s="72"/>
      <c r="VAD5" s="72"/>
      <c r="VAE5" s="72"/>
      <c r="VAF5" s="72"/>
      <c r="VAG5" s="72"/>
      <c r="VAH5" s="72"/>
      <c r="VAI5" s="72"/>
      <c r="VAJ5" s="72"/>
      <c r="VAK5" s="72"/>
      <c r="VAL5" s="72"/>
      <c r="VAM5" s="72"/>
      <c r="VAN5" s="72"/>
      <c r="VAO5" s="72"/>
      <c r="VAP5" s="72"/>
      <c r="VAQ5" s="72"/>
      <c r="VAR5" s="72"/>
      <c r="VAS5" s="72"/>
      <c r="VAT5" s="72"/>
      <c r="VAU5" s="72"/>
      <c r="VAV5" s="72"/>
      <c r="VAW5" s="72"/>
      <c r="VAX5" s="72"/>
      <c r="VAY5" s="72"/>
      <c r="VAZ5" s="72"/>
      <c r="VBA5" s="72"/>
      <c r="VBB5" s="72"/>
      <c r="VBC5" s="72"/>
      <c r="VBD5" s="72"/>
      <c r="VBE5" s="72"/>
      <c r="VBF5" s="72"/>
      <c r="VBG5" s="72"/>
      <c r="VBH5" s="72"/>
      <c r="VBI5" s="72"/>
      <c r="VBJ5" s="72"/>
      <c r="VBK5" s="72"/>
      <c r="VBL5" s="72"/>
      <c r="VBM5" s="72"/>
      <c r="VBN5" s="72"/>
      <c r="VBO5" s="72"/>
      <c r="VBP5" s="72"/>
      <c r="VBQ5" s="72"/>
      <c r="VBR5" s="72"/>
      <c r="VBS5" s="72"/>
      <c r="VBT5" s="72"/>
      <c r="VBU5" s="72"/>
      <c r="VBV5" s="72"/>
      <c r="VBW5" s="72"/>
      <c r="VBX5" s="72"/>
      <c r="VBY5" s="72"/>
      <c r="VBZ5" s="72"/>
      <c r="VCA5" s="72"/>
      <c r="VCB5" s="72"/>
      <c r="VCC5" s="72"/>
      <c r="VCD5" s="72"/>
      <c r="VCE5" s="72"/>
      <c r="VCF5" s="72"/>
      <c r="VCG5" s="72"/>
      <c r="VCH5" s="72"/>
      <c r="VCI5" s="72"/>
      <c r="VCJ5" s="72"/>
      <c r="VCK5" s="72"/>
      <c r="VCL5" s="72"/>
      <c r="VCM5" s="72"/>
      <c r="VCN5" s="72"/>
      <c r="VCO5" s="72"/>
      <c r="VCP5" s="72"/>
      <c r="VCQ5" s="72"/>
      <c r="VCR5" s="72"/>
      <c r="VCS5" s="72"/>
      <c r="VCT5" s="72"/>
      <c r="VCU5" s="72"/>
      <c r="VCV5" s="72"/>
      <c r="VCW5" s="72"/>
      <c r="VCX5" s="72"/>
      <c r="VCY5" s="72"/>
      <c r="VCZ5" s="72"/>
      <c r="VDA5" s="72"/>
      <c r="VDB5" s="72"/>
      <c r="VDC5" s="72"/>
      <c r="VDD5" s="72"/>
      <c r="VDE5" s="72"/>
      <c r="VDF5" s="72"/>
      <c r="VDG5" s="72"/>
      <c r="VDH5" s="72"/>
      <c r="VDI5" s="72"/>
      <c r="VDJ5" s="72"/>
      <c r="VDK5" s="72"/>
      <c r="VDL5" s="72"/>
      <c r="VDM5" s="72"/>
      <c r="VDN5" s="72"/>
      <c r="VDO5" s="72"/>
      <c r="VDP5" s="72"/>
      <c r="VDQ5" s="72"/>
      <c r="VDR5" s="72"/>
      <c r="VDS5" s="72"/>
      <c r="VDT5" s="72"/>
      <c r="VDU5" s="72"/>
      <c r="VDV5" s="72"/>
      <c r="VDW5" s="72"/>
      <c r="VDX5" s="72"/>
      <c r="VDY5" s="72"/>
      <c r="VDZ5" s="72"/>
      <c r="VEA5" s="72"/>
      <c r="VEB5" s="72"/>
      <c r="VEC5" s="72"/>
      <c r="VED5" s="72"/>
      <c r="VEE5" s="72"/>
      <c r="VEF5" s="72"/>
      <c r="VEG5" s="72"/>
      <c r="VEH5" s="72"/>
      <c r="VEI5" s="72"/>
      <c r="VEJ5" s="72"/>
      <c r="VEK5" s="72"/>
      <c r="VEL5" s="72"/>
      <c r="VEM5" s="72"/>
      <c r="VEN5" s="72"/>
      <c r="VEO5" s="72"/>
      <c r="VEP5" s="72"/>
      <c r="VEQ5" s="72"/>
      <c r="VER5" s="72"/>
      <c r="VES5" s="72"/>
      <c r="VET5" s="72"/>
      <c r="VEU5" s="72"/>
      <c r="VEV5" s="72"/>
      <c r="VEW5" s="72"/>
      <c r="VEX5" s="72"/>
      <c r="VEY5" s="72"/>
      <c r="VEZ5" s="72"/>
      <c r="VFA5" s="72"/>
      <c r="VFB5" s="72"/>
      <c r="VFC5" s="72"/>
      <c r="VFD5" s="72"/>
      <c r="VFE5" s="72"/>
      <c r="VFF5" s="72"/>
      <c r="VFG5" s="72"/>
      <c r="VFH5" s="72"/>
      <c r="VFI5" s="72"/>
      <c r="VFJ5" s="72"/>
      <c r="VFK5" s="72"/>
      <c r="VFL5" s="72"/>
      <c r="VFM5" s="72"/>
      <c r="VFN5" s="72"/>
      <c r="VFO5" s="72"/>
      <c r="VFP5" s="72"/>
      <c r="VFQ5" s="72"/>
      <c r="VFR5" s="72"/>
      <c r="VFS5" s="72"/>
      <c r="VFT5" s="72"/>
      <c r="VFU5" s="72"/>
      <c r="VFV5" s="72"/>
      <c r="VFW5" s="72"/>
      <c r="VFX5" s="72"/>
      <c r="VFY5" s="72"/>
      <c r="VFZ5" s="72"/>
      <c r="VGA5" s="72"/>
      <c r="VGB5" s="72"/>
      <c r="VGC5" s="72"/>
      <c r="VGD5" s="72"/>
      <c r="VGE5" s="72"/>
      <c r="VGF5" s="72"/>
      <c r="VGG5" s="72"/>
      <c r="VGH5" s="72"/>
      <c r="VGI5" s="72"/>
      <c r="VGJ5" s="72"/>
      <c r="VGK5" s="72"/>
      <c r="VGL5" s="72"/>
      <c r="VGM5" s="72"/>
      <c r="VGN5" s="72"/>
      <c r="VGO5" s="72"/>
      <c r="VGP5" s="72"/>
      <c r="VGQ5" s="72"/>
      <c r="VGR5" s="72"/>
      <c r="VGS5" s="72"/>
      <c r="VGT5" s="72"/>
      <c r="VGU5" s="72"/>
      <c r="VGV5" s="72"/>
      <c r="VGW5" s="72"/>
      <c r="VGX5" s="72"/>
      <c r="VGY5" s="72"/>
      <c r="VGZ5" s="72"/>
      <c r="VHA5" s="72"/>
      <c r="VHB5" s="72"/>
      <c r="VHC5" s="72"/>
      <c r="VHD5" s="72"/>
      <c r="VHE5" s="72"/>
      <c r="VHF5" s="72"/>
      <c r="VHG5" s="72"/>
      <c r="VHH5" s="72"/>
      <c r="VHI5" s="72"/>
      <c r="VHJ5" s="72"/>
      <c r="VHK5" s="72"/>
      <c r="VHL5" s="72"/>
      <c r="VHM5" s="72"/>
      <c r="VHN5" s="72"/>
      <c r="VHO5" s="72"/>
      <c r="VHP5" s="72"/>
      <c r="VHQ5" s="72"/>
      <c r="VHR5" s="72"/>
      <c r="VHS5" s="72"/>
      <c r="VHT5" s="72"/>
      <c r="VHU5" s="72"/>
      <c r="VHV5" s="72"/>
      <c r="VHW5" s="72"/>
      <c r="VHX5" s="72"/>
      <c r="VHY5" s="72"/>
      <c r="VHZ5" s="72"/>
      <c r="VIA5" s="72"/>
      <c r="VIB5" s="72"/>
      <c r="VIC5" s="72"/>
      <c r="VID5" s="72"/>
      <c r="VIE5" s="72"/>
      <c r="VIF5" s="72"/>
      <c r="VIG5" s="72"/>
      <c r="VIH5" s="72"/>
      <c r="VII5" s="72"/>
      <c r="VIJ5" s="72"/>
      <c r="VIK5" s="72"/>
      <c r="VIL5" s="72"/>
      <c r="VIM5" s="72"/>
      <c r="VIN5" s="72"/>
      <c r="VIO5" s="72"/>
      <c r="VIP5" s="72"/>
      <c r="VIQ5" s="72"/>
      <c r="VIR5" s="72"/>
      <c r="VIS5" s="72"/>
      <c r="VIT5" s="72"/>
      <c r="VIU5" s="72"/>
      <c r="VIV5" s="72"/>
      <c r="VIW5" s="72"/>
      <c r="VIX5" s="72"/>
      <c r="VIY5" s="72"/>
      <c r="VIZ5" s="72"/>
      <c r="VJA5" s="72"/>
      <c r="VJB5" s="72"/>
      <c r="VJC5" s="72"/>
      <c r="VJD5" s="72"/>
      <c r="VJE5" s="72"/>
      <c r="VJF5" s="72"/>
      <c r="VJG5" s="72"/>
      <c r="VJH5" s="72"/>
      <c r="VJI5" s="72"/>
      <c r="VJJ5" s="72"/>
      <c r="VJK5" s="72"/>
      <c r="VJL5" s="72"/>
      <c r="VJM5" s="72"/>
      <c r="VJN5" s="72"/>
      <c r="VJO5" s="72"/>
      <c r="VJP5" s="72"/>
      <c r="VJQ5" s="72"/>
      <c r="VJR5" s="72"/>
      <c r="VJS5" s="72"/>
      <c r="VJT5" s="72"/>
      <c r="VJU5" s="72"/>
      <c r="VJV5" s="72"/>
      <c r="VJW5" s="72"/>
      <c r="VJX5" s="72"/>
      <c r="VJY5" s="72"/>
      <c r="VJZ5" s="72"/>
      <c r="VKA5" s="72"/>
      <c r="VKB5" s="72"/>
      <c r="VKC5" s="72"/>
      <c r="VKD5" s="72"/>
      <c r="VKE5" s="72"/>
      <c r="VKF5" s="72"/>
      <c r="VKG5" s="72"/>
      <c r="VKH5" s="72"/>
      <c r="VKI5" s="72"/>
      <c r="VKJ5" s="72"/>
      <c r="VKK5" s="72"/>
      <c r="VKL5" s="72"/>
      <c r="VKM5" s="72"/>
      <c r="VKN5" s="72"/>
      <c r="VKO5" s="72"/>
      <c r="VKP5" s="72"/>
      <c r="VKQ5" s="72"/>
      <c r="VKR5" s="72"/>
      <c r="VKS5" s="72"/>
      <c r="VKT5" s="72"/>
      <c r="VKU5" s="72"/>
      <c r="VKV5" s="72"/>
      <c r="VKW5" s="72"/>
      <c r="VKX5" s="72"/>
      <c r="VKY5" s="72"/>
      <c r="VKZ5" s="72"/>
      <c r="VLA5" s="72"/>
      <c r="VLB5" s="72"/>
      <c r="VLC5" s="72"/>
      <c r="VLD5" s="72"/>
      <c r="VLE5" s="72"/>
      <c r="VLF5" s="72"/>
      <c r="VLG5" s="72"/>
      <c r="VLH5" s="72"/>
      <c r="VLI5" s="72"/>
      <c r="VLJ5" s="72"/>
      <c r="VLK5" s="72"/>
      <c r="VLL5" s="72"/>
      <c r="VLM5" s="72"/>
      <c r="VLN5" s="72"/>
      <c r="VLO5" s="72"/>
      <c r="VLP5" s="72"/>
      <c r="VLQ5" s="72"/>
      <c r="VLR5" s="72"/>
      <c r="VLS5" s="72"/>
      <c r="VLT5" s="72"/>
      <c r="VLU5" s="72"/>
      <c r="VLV5" s="72"/>
      <c r="VLW5" s="72"/>
      <c r="VLX5" s="72"/>
      <c r="VLY5" s="72"/>
      <c r="VLZ5" s="72"/>
      <c r="VMA5" s="72"/>
      <c r="VMB5" s="72"/>
      <c r="VMC5" s="72"/>
      <c r="VMD5" s="72"/>
      <c r="VME5" s="72"/>
      <c r="VMF5" s="72"/>
      <c r="VMG5" s="72"/>
      <c r="VMH5" s="72"/>
      <c r="VMI5" s="72"/>
      <c r="VMJ5" s="72"/>
      <c r="VMK5" s="72"/>
      <c r="VML5" s="72"/>
      <c r="VMM5" s="72"/>
      <c r="VMN5" s="72"/>
      <c r="VMO5" s="72"/>
      <c r="VMP5" s="72"/>
      <c r="VMQ5" s="72"/>
      <c r="VMR5" s="72"/>
      <c r="VMS5" s="72"/>
      <c r="VMT5" s="72"/>
      <c r="VMU5" s="72"/>
      <c r="VMV5" s="72"/>
      <c r="VMW5" s="72"/>
      <c r="VMX5" s="72"/>
      <c r="VMY5" s="72"/>
      <c r="VMZ5" s="72"/>
      <c r="VNA5" s="72"/>
      <c r="VNB5" s="72"/>
      <c r="VNC5" s="72"/>
      <c r="VND5" s="72"/>
      <c r="VNE5" s="72"/>
      <c r="VNF5" s="72"/>
      <c r="VNG5" s="72"/>
      <c r="VNH5" s="72"/>
      <c r="VNI5" s="72"/>
      <c r="VNJ5" s="72"/>
      <c r="VNK5" s="72"/>
      <c r="VNL5" s="72"/>
      <c r="VNM5" s="72"/>
      <c r="VNN5" s="72"/>
      <c r="VNO5" s="72"/>
      <c r="VNP5" s="72"/>
      <c r="VNQ5" s="72"/>
      <c r="VNR5" s="72"/>
      <c r="VNS5" s="72"/>
      <c r="VNT5" s="72"/>
      <c r="VNU5" s="72"/>
      <c r="VNV5" s="72"/>
      <c r="VNW5" s="72"/>
      <c r="VNX5" s="72"/>
      <c r="VNY5" s="72"/>
      <c r="VNZ5" s="72"/>
      <c r="VOA5" s="72"/>
      <c r="VOB5" s="72"/>
      <c r="VOC5" s="72"/>
      <c r="VOD5" s="72"/>
      <c r="VOE5" s="72"/>
      <c r="VOF5" s="72"/>
      <c r="VOG5" s="72"/>
      <c r="VOH5" s="72"/>
      <c r="VOI5" s="72"/>
      <c r="VOJ5" s="72"/>
      <c r="VOK5" s="72"/>
      <c r="VOL5" s="72"/>
      <c r="VOM5" s="72"/>
      <c r="VON5" s="72"/>
      <c r="VOO5" s="72"/>
      <c r="VOP5" s="72"/>
      <c r="VOQ5" s="72"/>
      <c r="VOR5" s="72"/>
      <c r="VOS5" s="72"/>
      <c r="VOT5" s="72"/>
      <c r="VOU5" s="72"/>
      <c r="VOV5" s="72"/>
      <c r="VOW5" s="72"/>
      <c r="VOX5" s="72"/>
      <c r="VOY5" s="72"/>
      <c r="VOZ5" s="72"/>
      <c r="VPA5" s="72"/>
      <c r="VPB5" s="72"/>
      <c r="VPC5" s="72"/>
      <c r="VPD5" s="72"/>
      <c r="VPE5" s="72"/>
      <c r="VPF5" s="72"/>
      <c r="VPG5" s="72"/>
      <c r="VPH5" s="72"/>
      <c r="VPI5" s="72"/>
      <c r="VPJ5" s="72"/>
      <c r="VPK5" s="72"/>
      <c r="VPL5" s="72"/>
      <c r="VPM5" s="72"/>
      <c r="VPN5" s="72"/>
      <c r="VPO5" s="72"/>
      <c r="VPP5" s="72"/>
      <c r="VPQ5" s="72"/>
      <c r="VPR5" s="72"/>
      <c r="VPS5" s="72"/>
      <c r="VPT5" s="72"/>
      <c r="VPU5" s="72"/>
      <c r="VPV5" s="72"/>
      <c r="VPW5" s="72"/>
      <c r="VPX5" s="72"/>
      <c r="VPY5" s="72"/>
      <c r="VPZ5" s="72"/>
      <c r="VQA5" s="72"/>
      <c r="VQB5" s="72"/>
      <c r="VQC5" s="72"/>
      <c r="VQD5" s="72"/>
      <c r="VQE5" s="72"/>
      <c r="VQF5" s="72"/>
      <c r="VQG5" s="72"/>
      <c r="VQH5" s="72"/>
      <c r="VQI5" s="72"/>
      <c r="VQJ5" s="72"/>
      <c r="VQK5" s="72"/>
      <c r="VQL5" s="72"/>
      <c r="VQM5" s="72"/>
      <c r="VQN5" s="72"/>
      <c r="VQO5" s="72"/>
      <c r="VQP5" s="72"/>
      <c r="VQQ5" s="72"/>
      <c r="VQR5" s="72"/>
      <c r="VQS5" s="72"/>
      <c r="VQT5" s="72"/>
      <c r="VQU5" s="72"/>
      <c r="VQV5" s="72"/>
      <c r="VQW5" s="72"/>
      <c r="VQX5" s="72"/>
      <c r="VQY5" s="72"/>
      <c r="VQZ5" s="72"/>
      <c r="VRA5" s="72"/>
      <c r="VRB5" s="72"/>
      <c r="VRC5" s="72"/>
      <c r="VRD5" s="72"/>
      <c r="VRE5" s="72"/>
      <c r="VRF5" s="72"/>
      <c r="VRG5" s="72"/>
      <c r="VRH5" s="72"/>
      <c r="VRI5" s="72"/>
      <c r="VRJ5" s="72"/>
      <c r="VRK5" s="72"/>
      <c r="VRL5" s="72"/>
      <c r="VRM5" s="72"/>
      <c r="VRN5" s="72"/>
      <c r="VRO5" s="72"/>
      <c r="VRP5" s="72"/>
      <c r="VRQ5" s="72"/>
      <c r="VRR5" s="72"/>
      <c r="VRS5" s="72"/>
      <c r="VRT5" s="72"/>
      <c r="VRU5" s="72"/>
      <c r="VRV5" s="72"/>
      <c r="VRW5" s="72"/>
      <c r="VRX5" s="72"/>
      <c r="VRY5" s="72"/>
      <c r="VRZ5" s="72"/>
      <c r="VSA5" s="72"/>
      <c r="VSB5" s="72"/>
      <c r="VSC5" s="72"/>
      <c r="VSD5" s="72"/>
      <c r="VSE5" s="72"/>
      <c r="VSF5" s="72"/>
      <c r="VSG5" s="72"/>
      <c r="VSH5" s="72"/>
      <c r="VSI5" s="72"/>
      <c r="VSJ5" s="72"/>
      <c r="VSK5" s="72"/>
      <c r="VSL5" s="72"/>
      <c r="VSM5" s="72"/>
      <c r="VSN5" s="72"/>
      <c r="VSO5" s="72"/>
      <c r="VSP5" s="72"/>
      <c r="VSQ5" s="72"/>
      <c r="VSR5" s="72"/>
      <c r="VSS5" s="72"/>
      <c r="VST5" s="72"/>
      <c r="VSU5" s="72"/>
      <c r="VSV5" s="72"/>
      <c r="VSW5" s="72"/>
      <c r="VSX5" s="72"/>
      <c r="VSY5" s="72"/>
      <c r="VSZ5" s="72"/>
      <c r="VTA5" s="72"/>
      <c r="VTB5" s="72"/>
      <c r="VTC5" s="72"/>
      <c r="VTD5" s="72"/>
      <c r="VTE5" s="72"/>
      <c r="VTF5" s="72"/>
      <c r="VTG5" s="72"/>
      <c r="VTH5" s="72"/>
      <c r="VTI5" s="72"/>
      <c r="VTJ5" s="72"/>
      <c r="VTK5" s="72"/>
      <c r="VTL5" s="72"/>
      <c r="VTM5" s="72"/>
      <c r="VTN5" s="72"/>
      <c r="VTO5" s="72"/>
      <c r="VTP5" s="72"/>
      <c r="VTQ5" s="72"/>
      <c r="VTR5" s="72"/>
      <c r="VTS5" s="72"/>
      <c r="VTT5" s="72"/>
      <c r="VTU5" s="72"/>
      <c r="VTV5" s="72"/>
      <c r="VTW5" s="72"/>
      <c r="VTX5" s="72"/>
      <c r="VTY5" s="72"/>
      <c r="VTZ5" s="72"/>
      <c r="VUA5" s="72"/>
      <c r="VUB5" s="72"/>
      <c r="VUC5" s="72"/>
      <c r="VUD5" s="72"/>
      <c r="VUE5" s="72"/>
      <c r="VUF5" s="72"/>
      <c r="VUG5" s="72"/>
      <c r="VUH5" s="72"/>
      <c r="VUI5" s="72"/>
      <c r="VUJ5" s="72"/>
      <c r="VUK5" s="72"/>
      <c r="VUL5" s="72"/>
      <c r="VUM5" s="72"/>
      <c r="VUN5" s="72"/>
      <c r="VUO5" s="72"/>
      <c r="VUP5" s="72"/>
      <c r="VUQ5" s="72"/>
      <c r="VUR5" s="72"/>
      <c r="VUS5" s="72"/>
      <c r="VUT5" s="72"/>
      <c r="VUU5" s="72"/>
      <c r="VUV5" s="72"/>
      <c r="VUW5" s="72"/>
      <c r="VUX5" s="72"/>
      <c r="VUY5" s="72"/>
      <c r="VUZ5" s="72"/>
      <c r="VVA5" s="72"/>
      <c r="VVB5" s="72"/>
      <c r="VVC5" s="72"/>
      <c r="VVD5" s="72"/>
      <c r="VVE5" s="72"/>
      <c r="VVF5" s="72"/>
      <c r="VVG5" s="72"/>
      <c r="VVH5" s="72"/>
      <c r="VVI5" s="72"/>
      <c r="VVJ5" s="72"/>
      <c r="VVK5" s="72"/>
      <c r="VVL5" s="72"/>
      <c r="VVM5" s="72"/>
      <c r="VVN5" s="72"/>
      <c r="VVO5" s="72"/>
      <c r="VVP5" s="72"/>
      <c r="VVQ5" s="72"/>
      <c r="VVR5" s="72"/>
      <c r="VVS5" s="72"/>
      <c r="VVT5" s="72"/>
      <c r="VVU5" s="72"/>
      <c r="VVV5" s="72"/>
      <c r="VVW5" s="72"/>
      <c r="VVX5" s="72"/>
      <c r="VVY5" s="72"/>
      <c r="VVZ5" s="72"/>
      <c r="VWA5" s="72"/>
      <c r="VWB5" s="72"/>
      <c r="VWC5" s="72"/>
      <c r="VWD5" s="72"/>
      <c r="VWE5" s="72"/>
      <c r="VWF5" s="72"/>
      <c r="VWG5" s="72"/>
      <c r="VWH5" s="72"/>
      <c r="VWI5" s="72"/>
      <c r="VWJ5" s="72"/>
      <c r="VWK5" s="72"/>
      <c r="VWL5" s="72"/>
      <c r="VWM5" s="72"/>
      <c r="VWN5" s="72"/>
      <c r="VWO5" s="72"/>
      <c r="VWP5" s="72"/>
      <c r="VWQ5" s="72"/>
      <c r="VWR5" s="72"/>
      <c r="VWS5" s="72"/>
      <c r="VWT5" s="72"/>
      <c r="VWU5" s="72"/>
      <c r="VWV5" s="72"/>
      <c r="VWW5" s="72"/>
      <c r="VWX5" s="72"/>
      <c r="VWY5" s="72"/>
      <c r="VWZ5" s="72"/>
      <c r="VXA5" s="72"/>
      <c r="VXB5" s="72"/>
      <c r="VXC5" s="72"/>
      <c r="VXD5" s="72"/>
      <c r="VXE5" s="72"/>
      <c r="VXF5" s="72"/>
      <c r="VXG5" s="72"/>
      <c r="VXH5" s="72"/>
      <c r="VXI5" s="72"/>
      <c r="VXJ5" s="72"/>
      <c r="VXK5" s="72"/>
      <c r="VXL5" s="72"/>
      <c r="VXM5" s="72"/>
      <c r="VXN5" s="72"/>
      <c r="VXO5" s="72"/>
      <c r="VXP5" s="72"/>
      <c r="VXQ5" s="72"/>
      <c r="VXR5" s="72"/>
      <c r="VXS5" s="72"/>
      <c r="VXT5" s="72"/>
      <c r="VXU5" s="72"/>
      <c r="VXV5" s="72"/>
      <c r="VXW5" s="72"/>
      <c r="VXX5" s="72"/>
      <c r="VXY5" s="72"/>
      <c r="VXZ5" s="72"/>
      <c r="VYA5" s="72"/>
      <c r="VYB5" s="72"/>
      <c r="VYC5" s="72"/>
      <c r="VYD5" s="72"/>
      <c r="VYE5" s="72"/>
      <c r="VYF5" s="72"/>
      <c r="VYG5" s="72"/>
      <c r="VYH5" s="72"/>
      <c r="VYI5" s="72"/>
      <c r="VYJ5" s="72"/>
      <c r="VYK5" s="72"/>
      <c r="VYL5" s="72"/>
      <c r="VYM5" s="72"/>
      <c r="VYN5" s="72"/>
      <c r="VYO5" s="72"/>
      <c r="VYP5" s="72"/>
      <c r="VYQ5" s="72"/>
      <c r="VYR5" s="72"/>
      <c r="VYS5" s="72"/>
      <c r="VYT5" s="72"/>
      <c r="VYU5" s="72"/>
      <c r="VYV5" s="72"/>
      <c r="VYW5" s="72"/>
      <c r="VYX5" s="72"/>
      <c r="VYY5" s="72"/>
      <c r="VYZ5" s="72"/>
      <c r="VZA5" s="72"/>
      <c r="VZB5" s="72"/>
      <c r="VZC5" s="72"/>
      <c r="VZD5" s="72"/>
      <c r="VZE5" s="72"/>
      <c r="VZF5" s="72"/>
      <c r="VZG5" s="72"/>
      <c r="VZH5" s="72"/>
      <c r="VZI5" s="72"/>
      <c r="VZJ5" s="72"/>
      <c r="VZK5" s="72"/>
      <c r="VZL5" s="72"/>
      <c r="VZM5" s="72"/>
      <c r="VZN5" s="72"/>
      <c r="VZO5" s="72"/>
      <c r="VZP5" s="72"/>
      <c r="VZQ5" s="72"/>
      <c r="VZR5" s="72"/>
      <c r="VZS5" s="72"/>
      <c r="VZT5" s="72"/>
      <c r="VZU5" s="72"/>
      <c r="VZV5" s="72"/>
      <c r="VZW5" s="72"/>
      <c r="VZX5" s="72"/>
      <c r="VZY5" s="72"/>
      <c r="VZZ5" s="72"/>
      <c r="WAA5" s="72"/>
      <c r="WAB5" s="72"/>
      <c r="WAC5" s="72"/>
      <c r="WAD5" s="72"/>
      <c r="WAE5" s="72"/>
      <c r="WAF5" s="72"/>
      <c r="WAG5" s="72"/>
      <c r="WAH5" s="72"/>
      <c r="WAI5" s="72"/>
      <c r="WAJ5" s="72"/>
      <c r="WAK5" s="72"/>
      <c r="WAL5" s="72"/>
      <c r="WAM5" s="72"/>
      <c r="WAN5" s="72"/>
      <c r="WAO5" s="72"/>
      <c r="WAP5" s="72"/>
      <c r="WAQ5" s="72"/>
      <c r="WAR5" s="72"/>
      <c r="WAS5" s="72"/>
      <c r="WAT5" s="72"/>
      <c r="WAU5" s="72"/>
      <c r="WAV5" s="72"/>
      <c r="WAW5" s="72"/>
      <c r="WAX5" s="72"/>
      <c r="WAY5" s="72"/>
      <c r="WAZ5" s="72"/>
      <c r="WBA5" s="72"/>
      <c r="WBB5" s="72"/>
      <c r="WBC5" s="72"/>
      <c r="WBD5" s="72"/>
      <c r="WBE5" s="72"/>
      <c r="WBF5" s="72"/>
      <c r="WBG5" s="72"/>
      <c r="WBH5" s="72"/>
      <c r="WBI5" s="72"/>
      <c r="WBJ5" s="72"/>
      <c r="WBK5" s="72"/>
      <c r="WBL5" s="72"/>
      <c r="WBM5" s="72"/>
      <c r="WBN5" s="72"/>
      <c r="WBO5" s="72"/>
      <c r="WBP5" s="72"/>
      <c r="WBQ5" s="72"/>
      <c r="WBR5" s="72"/>
      <c r="WBS5" s="72"/>
      <c r="WBT5" s="72"/>
      <c r="WBU5" s="72"/>
      <c r="WBV5" s="72"/>
      <c r="WBW5" s="72"/>
      <c r="WBX5" s="72"/>
      <c r="WBY5" s="72"/>
      <c r="WBZ5" s="72"/>
      <c r="WCA5" s="72"/>
      <c r="WCB5" s="72"/>
      <c r="WCC5" s="72"/>
      <c r="WCD5" s="72"/>
      <c r="WCE5" s="72"/>
      <c r="WCF5" s="72"/>
      <c r="WCG5" s="72"/>
      <c r="WCH5" s="72"/>
      <c r="WCI5" s="72"/>
      <c r="WCJ5" s="72"/>
      <c r="WCK5" s="72"/>
      <c r="WCL5" s="72"/>
      <c r="WCM5" s="72"/>
      <c r="WCN5" s="72"/>
      <c r="WCO5" s="72"/>
      <c r="WCP5" s="72"/>
      <c r="WCQ5" s="72"/>
      <c r="WCR5" s="72"/>
      <c r="WCS5" s="72"/>
      <c r="WCT5" s="72"/>
      <c r="WCU5" s="72"/>
      <c r="WCV5" s="72"/>
      <c r="WCW5" s="72"/>
      <c r="WCX5" s="72"/>
      <c r="WCY5" s="72"/>
      <c r="WCZ5" s="72"/>
      <c r="WDA5" s="72"/>
      <c r="WDB5" s="72"/>
      <c r="WDC5" s="72"/>
      <c r="WDD5" s="72"/>
      <c r="WDE5" s="72"/>
      <c r="WDF5" s="72"/>
      <c r="WDG5" s="72"/>
      <c r="WDH5" s="72"/>
      <c r="WDI5" s="72"/>
      <c r="WDJ5" s="72"/>
      <c r="WDK5" s="72"/>
      <c r="WDL5" s="72"/>
      <c r="WDM5" s="72"/>
      <c r="WDN5" s="72"/>
      <c r="WDO5" s="72"/>
      <c r="WDP5" s="72"/>
      <c r="WDQ5" s="72"/>
      <c r="WDR5" s="72"/>
      <c r="WDS5" s="72"/>
      <c r="WDT5" s="72"/>
      <c r="WDU5" s="72"/>
      <c r="WDV5" s="72"/>
      <c r="WDW5" s="72"/>
      <c r="WDX5" s="72"/>
      <c r="WDY5" s="72"/>
      <c r="WDZ5" s="72"/>
      <c r="WEA5" s="72"/>
      <c r="WEB5" s="72"/>
      <c r="WEC5" s="72"/>
      <c r="WED5" s="72"/>
      <c r="WEE5" s="72"/>
      <c r="WEF5" s="72"/>
      <c r="WEG5" s="72"/>
      <c r="WEH5" s="72"/>
      <c r="WEI5" s="72"/>
      <c r="WEJ5" s="72"/>
      <c r="WEK5" s="72"/>
      <c r="WEL5" s="72"/>
      <c r="WEM5" s="72"/>
      <c r="WEN5" s="72"/>
      <c r="WEO5" s="72"/>
      <c r="WEP5" s="72"/>
      <c r="WEQ5" s="72"/>
      <c r="WER5" s="72"/>
      <c r="WES5" s="72"/>
      <c r="WET5" s="72"/>
      <c r="WEU5" s="72"/>
      <c r="WEV5" s="72"/>
      <c r="WEW5" s="72"/>
      <c r="WEX5" s="72"/>
      <c r="WEY5" s="72"/>
      <c r="WEZ5" s="72"/>
      <c r="WFA5" s="72"/>
      <c r="WFB5" s="72"/>
      <c r="WFC5" s="72"/>
      <c r="WFD5" s="72"/>
      <c r="WFE5" s="72"/>
      <c r="WFF5" s="72"/>
      <c r="WFG5" s="72"/>
      <c r="WFH5" s="72"/>
      <c r="WFI5" s="72"/>
      <c r="WFJ5" s="72"/>
      <c r="WFK5" s="72"/>
      <c r="WFL5" s="72"/>
      <c r="WFM5" s="72"/>
      <c r="WFN5" s="72"/>
      <c r="WFO5" s="72"/>
      <c r="WFP5" s="72"/>
      <c r="WFQ5" s="72"/>
      <c r="WFR5" s="72"/>
      <c r="WFS5" s="72"/>
      <c r="WFT5" s="72"/>
      <c r="WFU5" s="72"/>
      <c r="WFV5" s="72"/>
      <c r="WFW5" s="72"/>
      <c r="WFX5" s="72"/>
      <c r="WFY5" s="72"/>
      <c r="WFZ5" s="72"/>
      <c r="WGA5" s="72"/>
      <c r="WGB5" s="72"/>
      <c r="WGC5" s="72"/>
      <c r="WGD5" s="72"/>
      <c r="WGE5" s="72"/>
      <c r="WGF5" s="72"/>
      <c r="WGG5" s="72"/>
      <c r="WGH5" s="72"/>
      <c r="WGI5" s="72"/>
      <c r="WGJ5" s="72"/>
      <c r="WGK5" s="72"/>
      <c r="WGL5" s="72"/>
      <c r="WGM5" s="72"/>
      <c r="WGN5" s="72"/>
      <c r="WGO5" s="72"/>
      <c r="WGP5" s="72"/>
      <c r="WGQ5" s="72"/>
      <c r="WGR5" s="72"/>
      <c r="WGS5" s="72"/>
      <c r="WGT5" s="72"/>
      <c r="WGU5" s="72"/>
      <c r="WGV5" s="72"/>
      <c r="WGW5" s="72"/>
      <c r="WGX5" s="72"/>
      <c r="WGY5" s="72"/>
      <c r="WGZ5" s="72"/>
      <c r="WHA5" s="72"/>
      <c r="WHB5" s="72"/>
      <c r="WHC5" s="72"/>
      <c r="WHD5" s="72"/>
      <c r="WHE5" s="72"/>
      <c r="WHF5" s="72"/>
      <c r="WHG5" s="72"/>
      <c r="WHH5" s="72"/>
      <c r="WHI5" s="72"/>
      <c r="WHJ5" s="72"/>
      <c r="WHK5" s="72"/>
      <c r="WHL5" s="72"/>
      <c r="WHM5" s="72"/>
      <c r="WHN5" s="72"/>
      <c r="WHO5" s="72"/>
      <c r="WHP5" s="72"/>
      <c r="WHQ5" s="72"/>
      <c r="WHR5" s="72"/>
      <c r="WHS5" s="72"/>
      <c r="WHT5" s="72"/>
      <c r="WHU5" s="72"/>
      <c r="WHV5" s="72"/>
      <c r="WHW5" s="72"/>
      <c r="WHX5" s="72"/>
      <c r="WHY5" s="72"/>
      <c r="WHZ5" s="72"/>
      <c r="WIA5" s="72"/>
      <c r="WIB5" s="72"/>
      <c r="WIC5" s="72"/>
      <c r="WID5" s="72"/>
      <c r="WIE5" s="72"/>
      <c r="WIF5" s="72"/>
      <c r="WIG5" s="72"/>
      <c r="WIH5" s="72"/>
      <c r="WII5" s="72"/>
      <c r="WIJ5" s="72"/>
      <c r="WIK5" s="72"/>
      <c r="WIL5" s="72"/>
      <c r="WIM5" s="72"/>
      <c r="WIN5" s="72"/>
      <c r="WIO5" s="72"/>
      <c r="WIP5" s="72"/>
      <c r="WIQ5" s="72"/>
      <c r="WIR5" s="72"/>
      <c r="WIS5" s="72"/>
      <c r="WIT5" s="72"/>
      <c r="WIU5" s="72"/>
      <c r="WIV5" s="72"/>
      <c r="WIW5" s="72"/>
      <c r="WIX5" s="72"/>
      <c r="WIY5" s="72"/>
      <c r="WIZ5" s="72"/>
      <c r="WJA5" s="72"/>
      <c r="WJB5" s="72"/>
      <c r="WJC5" s="72"/>
      <c r="WJD5" s="72"/>
      <c r="WJE5" s="72"/>
      <c r="WJF5" s="72"/>
      <c r="WJG5" s="72"/>
      <c r="WJH5" s="72"/>
      <c r="WJI5" s="72"/>
      <c r="WJJ5" s="72"/>
      <c r="WJK5" s="72"/>
      <c r="WJL5" s="72"/>
      <c r="WJM5" s="72"/>
      <c r="WJN5" s="72"/>
      <c r="WJO5" s="72"/>
      <c r="WJP5" s="72"/>
      <c r="WJQ5" s="72"/>
      <c r="WJR5" s="72"/>
      <c r="WJS5" s="72"/>
      <c r="WJT5" s="72"/>
      <c r="WJU5" s="72"/>
      <c r="WJV5" s="72"/>
      <c r="WJW5" s="72"/>
      <c r="WJX5" s="72"/>
      <c r="WJY5" s="72"/>
      <c r="WJZ5" s="72"/>
      <c r="WKA5" s="72"/>
      <c r="WKB5" s="72"/>
      <c r="WKC5" s="72"/>
      <c r="WKD5" s="72"/>
      <c r="WKE5" s="72"/>
      <c r="WKF5" s="72"/>
      <c r="WKG5" s="72"/>
      <c r="WKH5" s="72"/>
      <c r="WKI5" s="72"/>
      <c r="WKJ5" s="72"/>
      <c r="WKK5" s="72"/>
      <c r="WKL5" s="72"/>
      <c r="WKM5" s="72"/>
      <c r="WKN5" s="72"/>
      <c r="WKO5" s="72"/>
      <c r="WKP5" s="72"/>
      <c r="WKQ5" s="72"/>
      <c r="WKR5" s="72"/>
      <c r="WKS5" s="72"/>
      <c r="WKT5" s="72"/>
      <c r="WKU5" s="72"/>
      <c r="WKV5" s="72"/>
      <c r="WKW5" s="72"/>
      <c r="WKX5" s="72"/>
      <c r="WKY5" s="72"/>
      <c r="WKZ5" s="72"/>
      <c r="WLA5" s="72"/>
      <c r="WLB5" s="72"/>
      <c r="WLC5" s="72"/>
      <c r="WLD5" s="72"/>
      <c r="WLE5" s="72"/>
      <c r="WLF5" s="72"/>
      <c r="WLG5" s="72"/>
      <c r="WLH5" s="72"/>
      <c r="WLI5" s="72"/>
      <c r="WLJ5" s="72"/>
      <c r="WLK5" s="72"/>
      <c r="WLL5" s="72"/>
      <c r="WLM5" s="72"/>
      <c r="WLN5" s="72"/>
      <c r="WLO5" s="72"/>
      <c r="WLP5" s="72"/>
      <c r="WLQ5" s="72"/>
      <c r="WLR5" s="72"/>
      <c r="WLS5" s="72"/>
      <c r="WLT5" s="72"/>
      <c r="WLU5" s="72"/>
      <c r="WLV5" s="72"/>
      <c r="WLW5" s="72"/>
      <c r="WLX5" s="72"/>
      <c r="WLY5" s="72"/>
      <c r="WLZ5" s="72"/>
      <c r="WMA5" s="72"/>
      <c r="WMB5" s="72"/>
      <c r="WMC5" s="72"/>
      <c r="WMD5" s="72"/>
      <c r="WME5" s="72"/>
      <c r="WMF5" s="72"/>
      <c r="WMG5" s="72"/>
      <c r="WMH5" s="72"/>
      <c r="WMI5" s="72"/>
      <c r="WMJ5" s="72"/>
      <c r="WMK5" s="72"/>
      <c r="WML5" s="72"/>
      <c r="WMM5" s="72"/>
      <c r="WMN5" s="72"/>
      <c r="WMO5" s="72"/>
      <c r="WMP5" s="72"/>
      <c r="WMQ5" s="72"/>
      <c r="WMR5" s="72"/>
      <c r="WMS5" s="72"/>
      <c r="WMT5" s="72"/>
      <c r="WMU5" s="72"/>
      <c r="WMV5" s="72"/>
      <c r="WMW5" s="72"/>
      <c r="WMX5" s="72"/>
      <c r="WMY5" s="72"/>
      <c r="WMZ5" s="72"/>
      <c r="WNA5" s="72"/>
      <c r="WNB5" s="72"/>
      <c r="WNC5" s="72"/>
      <c r="WND5" s="72"/>
      <c r="WNE5" s="72"/>
      <c r="WNF5" s="72"/>
      <c r="WNG5" s="72"/>
      <c r="WNH5" s="72"/>
      <c r="WNI5" s="72"/>
      <c r="WNJ5" s="72"/>
      <c r="WNK5" s="72"/>
      <c r="WNL5" s="72"/>
      <c r="WNM5" s="72"/>
      <c r="WNN5" s="72"/>
      <c r="WNO5" s="72"/>
      <c r="WNP5" s="72"/>
      <c r="WNQ5" s="72"/>
      <c r="WNR5" s="72"/>
      <c r="WNS5" s="72"/>
      <c r="WNT5" s="72"/>
      <c r="WNU5" s="72"/>
      <c r="WNV5" s="72"/>
      <c r="WNW5" s="72"/>
      <c r="WNX5" s="72"/>
      <c r="WNY5" s="72"/>
      <c r="WNZ5" s="72"/>
      <c r="WOA5" s="72"/>
      <c r="WOB5" s="72"/>
      <c r="WOC5" s="72"/>
      <c r="WOD5" s="72"/>
      <c r="WOE5" s="72"/>
      <c r="WOF5" s="72"/>
      <c r="WOG5" s="72"/>
      <c r="WOH5" s="72"/>
      <c r="WOI5" s="72"/>
      <c r="WOJ5" s="72"/>
      <c r="WOK5" s="72"/>
      <c r="WOL5" s="72"/>
      <c r="WOM5" s="72"/>
      <c r="WON5" s="72"/>
      <c r="WOO5" s="72"/>
      <c r="WOP5" s="72"/>
      <c r="WOQ5" s="72"/>
      <c r="WOR5" s="72"/>
      <c r="WOS5" s="72"/>
      <c r="WOT5" s="72"/>
      <c r="WOU5" s="72"/>
      <c r="WOV5" s="72"/>
      <c r="WOW5" s="72"/>
      <c r="WOX5" s="72"/>
      <c r="WOY5" s="72"/>
      <c r="WOZ5" s="72"/>
      <c r="WPA5" s="72"/>
      <c r="WPB5" s="72"/>
      <c r="WPC5" s="72"/>
      <c r="WPD5" s="72"/>
      <c r="WPE5" s="72"/>
      <c r="WPF5" s="72"/>
      <c r="WPG5" s="72"/>
      <c r="WPH5" s="72"/>
      <c r="WPI5" s="72"/>
      <c r="WPJ5" s="72"/>
      <c r="WPK5" s="72"/>
      <c r="WPL5" s="72"/>
      <c r="WPM5" s="72"/>
      <c r="WPN5" s="72"/>
      <c r="WPO5" s="72"/>
      <c r="WPP5" s="72"/>
      <c r="WPQ5" s="72"/>
      <c r="WPR5" s="72"/>
      <c r="WPS5" s="72"/>
      <c r="WPT5" s="72"/>
      <c r="WPU5" s="72"/>
      <c r="WPV5" s="72"/>
      <c r="WPW5" s="72"/>
      <c r="WPX5" s="72"/>
      <c r="WPY5" s="72"/>
      <c r="WPZ5" s="72"/>
      <c r="WQA5" s="72"/>
      <c r="WQB5" s="72"/>
      <c r="WQC5" s="72"/>
      <c r="WQD5" s="72"/>
      <c r="WQE5" s="72"/>
      <c r="WQF5" s="72"/>
      <c r="WQG5" s="72"/>
      <c r="WQH5" s="72"/>
      <c r="WQI5" s="72"/>
      <c r="WQJ5" s="72"/>
      <c r="WQK5" s="72"/>
      <c r="WQL5" s="72"/>
      <c r="WQM5" s="72"/>
      <c r="WQN5" s="72"/>
      <c r="WQO5" s="72"/>
      <c r="WQP5" s="72"/>
      <c r="WQQ5" s="72"/>
      <c r="WQR5" s="72"/>
      <c r="WQS5" s="72"/>
      <c r="WQT5" s="72"/>
      <c r="WQU5" s="72"/>
      <c r="WQV5" s="72"/>
      <c r="WQW5" s="72"/>
      <c r="WQX5" s="72"/>
      <c r="WQY5" s="72"/>
      <c r="WQZ5" s="72"/>
      <c r="WRA5" s="72"/>
      <c r="WRB5" s="72"/>
      <c r="WRC5" s="72"/>
      <c r="WRD5" s="72"/>
      <c r="WRE5" s="72"/>
      <c r="WRF5" s="72"/>
      <c r="WRG5" s="72"/>
      <c r="WRH5" s="72"/>
      <c r="WRI5" s="72"/>
      <c r="WRJ5" s="72"/>
      <c r="WRK5" s="72"/>
      <c r="WRL5" s="72"/>
      <c r="WRM5" s="72"/>
      <c r="WRN5" s="72"/>
      <c r="WRO5" s="72"/>
      <c r="WRP5" s="72"/>
      <c r="WRQ5" s="72"/>
      <c r="WRR5" s="72"/>
      <c r="WRS5" s="72"/>
      <c r="WRT5" s="72"/>
      <c r="WRU5" s="72"/>
      <c r="WRV5" s="72"/>
      <c r="WRW5" s="72"/>
      <c r="WRX5" s="72"/>
      <c r="WRY5" s="72"/>
      <c r="WRZ5" s="72"/>
      <c r="WSA5" s="72"/>
      <c r="WSB5" s="72"/>
      <c r="WSC5" s="72"/>
      <c r="WSD5" s="72"/>
      <c r="WSE5" s="72"/>
      <c r="WSF5" s="72"/>
      <c r="WSG5" s="72"/>
      <c r="WSH5" s="72"/>
      <c r="WSI5" s="72"/>
      <c r="WSJ5" s="72"/>
      <c r="WSK5" s="72"/>
      <c r="WSL5" s="72"/>
      <c r="WSM5" s="72"/>
      <c r="WSN5" s="72"/>
      <c r="WSO5" s="72"/>
      <c r="WSP5" s="72"/>
      <c r="WSQ5" s="72"/>
      <c r="WSR5" s="72"/>
      <c r="WSS5" s="72"/>
      <c r="WST5" s="72"/>
      <c r="WSU5" s="72"/>
      <c r="WSV5" s="72"/>
      <c r="WSW5" s="72"/>
      <c r="WSX5" s="72"/>
      <c r="WSY5" s="72"/>
      <c r="WSZ5" s="72"/>
      <c r="WTA5" s="72"/>
      <c r="WTB5" s="72"/>
      <c r="WTC5" s="72"/>
      <c r="WTD5" s="72"/>
      <c r="WTE5" s="72"/>
      <c r="WTF5" s="72"/>
      <c r="WTG5" s="72"/>
      <c r="WTH5" s="72"/>
      <c r="WTI5" s="72"/>
      <c r="WTJ5" s="72"/>
      <c r="WTK5" s="72"/>
      <c r="WTL5" s="72"/>
      <c r="WTM5" s="72"/>
      <c r="WTN5" s="72"/>
      <c r="WTO5" s="72"/>
      <c r="WTP5" s="72"/>
      <c r="WTQ5" s="72"/>
      <c r="WTR5" s="72"/>
      <c r="WTS5" s="72"/>
      <c r="WTT5" s="72"/>
      <c r="WTU5" s="72"/>
      <c r="WTV5" s="72"/>
      <c r="WTW5" s="72"/>
      <c r="WTX5" s="72"/>
      <c r="WTY5" s="72"/>
      <c r="WTZ5" s="72"/>
      <c r="WUA5" s="72"/>
      <c r="WUB5" s="72"/>
      <c r="WUC5" s="72"/>
      <c r="WUD5" s="72"/>
      <c r="WUE5" s="72"/>
      <c r="WUF5" s="72"/>
      <c r="WUG5" s="72"/>
      <c r="WUH5" s="72"/>
      <c r="WUI5" s="72"/>
      <c r="WUJ5" s="72"/>
      <c r="WUK5" s="72"/>
      <c r="WUL5" s="72"/>
      <c r="WUM5" s="72"/>
      <c r="WUN5" s="72"/>
      <c r="WUO5" s="72"/>
      <c r="WUP5" s="72"/>
      <c r="WUQ5" s="72"/>
      <c r="WUR5" s="72"/>
      <c r="WUS5" s="72"/>
      <c r="WUT5" s="72"/>
      <c r="WUU5" s="72"/>
      <c r="WUV5" s="72"/>
      <c r="WUW5" s="72"/>
      <c r="WUX5" s="72"/>
      <c r="WUY5" s="72"/>
      <c r="WUZ5" s="72"/>
      <c r="WVA5" s="72"/>
      <c r="WVB5" s="72"/>
      <c r="WVC5" s="72"/>
      <c r="WVD5" s="72"/>
      <c r="WVE5" s="72"/>
      <c r="WVF5" s="72"/>
      <c r="WVG5" s="72"/>
      <c r="WVH5" s="72"/>
      <c r="WVI5" s="72"/>
      <c r="WVJ5" s="72"/>
      <c r="WVK5" s="72"/>
      <c r="WVL5" s="72"/>
      <c r="WVM5" s="72"/>
      <c r="WVN5" s="72"/>
      <c r="WVO5" s="72"/>
      <c r="WVP5" s="72"/>
      <c r="WVQ5" s="72"/>
      <c r="WVR5" s="72"/>
      <c r="WVS5" s="72"/>
      <c r="WVT5" s="72"/>
      <c r="WVU5" s="72"/>
      <c r="WVV5" s="72"/>
      <c r="WVW5" s="72"/>
      <c r="WVX5" s="72"/>
      <c r="WVY5" s="72"/>
      <c r="WVZ5" s="72"/>
      <c r="WWA5" s="72"/>
      <c r="WWB5" s="72"/>
      <c r="WWC5" s="72"/>
      <c r="WWD5" s="72"/>
      <c r="WWE5" s="72"/>
      <c r="WWF5" s="72"/>
      <c r="WWG5" s="72"/>
      <c r="WWH5" s="72"/>
      <c r="WWI5" s="72"/>
      <c r="WWJ5" s="72"/>
      <c r="WWK5" s="72"/>
      <c r="WWL5" s="72"/>
      <c r="WWM5" s="72"/>
      <c r="WWN5" s="72"/>
      <c r="WWO5" s="72"/>
      <c r="WWP5" s="72"/>
      <c r="WWQ5" s="72"/>
      <c r="WWR5" s="72"/>
      <c r="WWS5" s="72"/>
      <c r="WWT5" s="72"/>
      <c r="WWU5" s="72"/>
      <c r="WWV5" s="72"/>
      <c r="WWW5" s="72"/>
      <c r="WWX5" s="72"/>
      <c r="WWY5" s="72"/>
      <c r="WWZ5" s="72"/>
      <c r="WXA5" s="72"/>
      <c r="WXB5" s="72"/>
      <c r="WXC5" s="72"/>
      <c r="WXD5" s="72"/>
      <c r="WXE5" s="72"/>
      <c r="WXF5" s="72"/>
      <c r="WXG5" s="72"/>
      <c r="WXH5" s="72"/>
      <c r="WXI5" s="72"/>
      <c r="WXJ5" s="72"/>
      <c r="WXK5" s="72"/>
      <c r="WXL5" s="72"/>
      <c r="WXM5" s="72"/>
      <c r="WXN5" s="72"/>
      <c r="WXO5" s="72"/>
      <c r="WXP5" s="72"/>
      <c r="WXQ5" s="72"/>
      <c r="WXR5" s="72"/>
      <c r="WXS5" s="72"/>
      <c r="WXT5" s="72"/>
      <c r="WXU5" s="72"/>
      <c r="WXV5" s="72"/>
      <c r="WXW5" s="72"/>
      <c r="WXX5" s="72"/>
      <c r="WXY5" s="72"/>
      <c r="WXZ5" s="72"/>
      <c r="WYA5" s="72"/>
      <c r="WYB5" s="72"/>
      <c r="WYC5" s="72"/>
      <c r="WYD5" s="72"/>
      <c r="WYE5" s="72"/>
      <c r="WYF5" s="72"/>
      <c r="WYG5" s="72"/>
      <c r="WYH5" s="72"/>
      <c r="WYI5" s="72"/>
      <c r="WYJ5" s="72"/>
      <c r="WYK5" s="72"/>
      <c r="WYL5" s="72"/>
      <c r="WYM5" s="72"/>
      <c r="WYN5" s="72"/>
      <c r="WYO5" s="72"/>
      <c r="WYP5" s="72"/>
      <c r="WYQ5" s="72"/>
      <c r="WYR5" s="72"/>
      <c r="WYS5" s="72"/>
      <c r="WYT5" s="72"/>
      <c r="WYU5" s="72"/>
      <c r="WYV5" s="72"/>
      <c r="WYW5" s="72"/>
      <c r="WYX5" s="72"/>
      <c r="WYY5" s="72"/>
      <c r="WYZ5" s="72"/>
      <c r="WZA5" s="72"/>
      <c r="WZB5" s="72"/>
      <c r="WZC5" s="72"/>
      <c r="WZD5" s="72"/>
      <c r="WZE5" s="72"/>
      <c r="WZF5" s="72"/>
      <c r="WZG5" s="72"/>
      <c r="WZH5" s="72"/>
      <c r="WZI5" s="72"/>
      <c r="WZJ5" s="72"/>
      <c r="WZK5" s="72"/>
      <c r="WZL5" s="72"/>
      <c r="WZM5" s="72"/>
      <c r="WZN5" s="72"/>
      <c r="WZO5" s="72"/>
      <c r="WZP5" s="72"/>
      <c r="WZQ5" s="72"/>
      <c r="WZR5" s="72"/>
      <c r="WZS5" s="72"/>
      <c r="WZT5" s="72"/>
      <c r="WZU5" s="72"/>
      <c r="WZV5" s="72"/>
      <c r="WZW5" s="72"/>
      <c r="WZX5" s="72"/>
      <c r="WZY5" s="72"/>
      <c r="WZZ5" s="72"/>
      <c r="XAA5" s="72"/>
      <c r="XAB5" s="72"/>
      <c r="XAC5" s="72"/>
      <c r="XAD5" s="72"/>
      <c r="XAE5" s="72"/>
      <c r="XAF5" s="72"/>
      <c r="XAG5" s="72"/>
      <c r="XAH5" s="72"/>
      <c r="XAI5" s="72"/>
      <c r="XAJ5" s="72"/>
      <c r="XAK5" s="72"/>
      <c r="XAL5" s="72"/>
      <c r="XAM5" s="72"/>
      <c r="XAN5" s="72"/>
      <c r="XAO5" s="72"/>
      <c r="XAP5" s="72"/>
      <c r="XAQ5" s="72"/>
      <c r="XAR5" s="72"/>
      <c r="XAS5" s="72"/>
      <c r="XAT5" s="72"/>
      <c r="XAU5" s="72"/>
      <c r="XAV5" s="72"/>
      <c r="XAW5" s="72"/>
      <c r="XAX5" s="72"/>
      <c r="XAY5" s="72"/>
      <c r="XAZ5" s="72"/>
      <c r="XBA5" s="72"/>
      <c r="XBB5" s="72"/>
      <c r="XBC5" s="72"/>
      <c r="XBD5" s="72"/>
      <c r="XBE5" s="72"/>
      <c r="XBF5" s="72"/>
      <c r="XBG5" s="72"/>
      <c r="XBH5" s="72"/>
      <c r="XBI5" s="72"/>
      <c r="XBJ5" s="72"/>
      <c r="XBK5" s="72"/>
      <c r="XBL5" s="72"/>
      <c r="XBM5" s="72"/>
      <c r="XBN5" s="72"/>
      <c r="XBO5" s="72"/>
      <c r="XBP5" s="72"/>
      <c r="XBQ5" s="72"/>
      <c r="XBR5" s="72"/>
      <c r="XBS5" s="72"/>
      <c r="XBT5" s="72"/>
      <c r="XBU5" s="72"/>
      <c r="XBV5" s="72"/>
      <c r="XBW5" s="72"/>
      <c r="XBX5" s="72"/>
      <c r="XBY5" s="72"/>
      <c r="XBZ5" s="72"/>
      <c r="XCA5" s="72"/>
      <c r="XCB5" s="72"/>
      <c r="XCC5" s="72"/>
      <c r="XCD5" s="72"/>
      <c r="XCE5" s="72"/>
      <c r="XCF5" s="72"/>
      <c r="XCG5" s="72"/>
      <c r="XCH5" s="72"/>
      <c r="XCI5" s="72"/>
      <c r="XCJ5" s="72"/>
      <c r="XCK5" s="72"/>
      <c r="XCL5" s="72"/>
      <c r="XCM5" s="72"/>
      <c r="XCN5" s="72"/>
      <c r="XCO5" s="72"/>
      <c r="XCP5" s="72"/>
      <c r="XCQ5" s="72"/>
      <c r="XCR5" s="72"/>
      <c r="XCS5" s="72"/>
      <c r="XCT5" s="72"/>
      <c r="XCU5" s="72"/>
      <c r="XCV5" s="72"/>
      <c r="XCW5" s="72"/>
      <c r="XCX5" s="72"/>
      <c r="XCY5" s="72"/>
      <c r="XCZ5" s="72"/>
      <c r="XDA5" s="72"/>
      <c r="XDB5" s="72"/>
      <c r="XDC5" s="72"/>
      <c r="XDD5" s="72"/>
      <c r="XDE5" s="72"/>
      <c r="XDF5" s="72"/>
      <c r="XDG5" s="72"/>
      <c r="XDH5" s="72"/>
      <c r="XDI5" s="72"/>
      <c r="XDJ5" s="72"/>
      <c r="XDK5" s="72"/>
      <c r="XDL5" s="72"/>
      <c r="XDM5" s="72"/>
      <c r="XDN5" s="72"/>
      <c r="XDO5" s="72"/>
      <c r="XDP5" s="72"/>
      <c r="XDQ5" s="72"/>
      <c r="XDR5" s="72"/>
      <c r="XDS5" s="72"/>
      <c r="XDT5" s="72"/>
      <c r="XDU5" s="72"/>
      <c r="XDV5" s="72"/>
      <c r="XDW5" s="72"/>
      <c r="XDX5" s="72"/>
      <c r="XDY5" s="72"/>
      <c r="XDZ5" s="72"/>
      <c r="XEA5" s="72"/>
      <c r="XEB5" s="72"/>
      <c r="XEC5" s="72"/>
      <c r="XED5" s="72"/>
      <c r="XEE5" s="72"/>
      <c r="XEF5" s="72"/>
      <c r="XEG5" s="72"/>
      <c r="XEH5" s="72"/>
      <c r="XEI5" s="72"/>
      <c r="XEJ5" s="72"/>
      <c r="XEK5" s="72"/>
      <c r="XEL5" s="72"/>
      <c r="XEM5" s="72"/>
      <c r="XEN5" s="72"/>
      <c r="XEO5" s="72"/>
      <c r="XEP5" s="72"/>
      <c r="XEQ5" s="72"/>
      <c r="XER5" s="72"/>
      <c r="XES5" s="72"/>
      <c r="XET5" s="72"/>
      <c r="XEU5" s="72"/>
      <c r="XEV5" s="72"/>
      <c r="XEW5" s="72"/>
      <c r="XEX5" s="72"/>
      <c r="XEY5" s="72"/>
      <c r="XEZ5" s="72"/>
      <c r="XFA5" s="72"/>
      <c r="XFB5" s="72"/>
      <c r="XFC5" s="72"/>
      <c r="XFD5" s="72"/>
    </row>
    <row r="6" spans="1:16384" s="2" customFormat="1" ht="81.75" customHeight="1">
      <c r="A6" s="224"/>
      <c r="B6" s="469" t="s">
        <v>7</v>
      </c>
      <c r="C6" s="392" t="s">
        <v>87</v>
      </c>
      <c r="D6" s="18" t="s">
        <v>81</v>
      </c>
      <c r="E6" s="19" t="s">
        <v>81</v>
      </c>
      <c r="F6" s="35" t="s">
        <v>62</v>
      </c>
      <c r="G6" s="54"/>
      <c r="H6" s="25" t="s">
        <v>54</v>
      </c>
      <c r="I6" s="32"/>
      <c r="J6" s="39"/>
      <c r="K6" s="54"/>
      <c r="L6" s="28" t="s">
        <v>54</v>
      </c>
      <c r="M6" s="18"/>
      <c r="N6" s="19"/>
      <c r="O6" s="54"/>
      <c r="P6" s="28" t="s">
        <v>54</v>
      </c>
      <c r="Q6" s="32"/>
      <c r="R6" s="39"/>
      <c r="S6" s="54"/>
      <c r="T6" s="23" t="s">
        <v>113</v>
      </c>
      <c r="U6" s="23" t="s">
        <v>67</v>
      </c>
      <c r="V6" s="23" t="s">
        <v>302</v>
      </c>
      <c r="W6" s="23" t="s">
        <v>51</v>
      </c>
      <c r="X6" s="217" t="s">
        <v>47</v>
      </c>
      <c r="Y6" s="221" t="s">
        <v>116</v>
      </c>
      <c r="Z6" s="84" t="s">
        <v>172</v>
      </c>
      <c r="AA6" s="102" t="s">
        <v>375</v>
      </c>
      <c r="AB6" s="401"/>
      <c r="AC6" s="84" t="s">
        <v>182</v>
      </c>
      <c r="AD6" s="85"/>
      <c r="AE6" s="84"/>
      <c r="AF6" s="86"/>
      <c r="AG6" s="86"/>
      <c r="AH6" s="86"/>
      <c r="AI6" s="86"/>
      <c r="AJ6" s="86"/>
      <c r="AK6" s="86"/>
      <c r="AL6" s="86"/>
      <c r="AM6" s="128"/>
      <c r="AN6" s="86"/>
      <c r="AO6" s="173"/>
      <c r="AP6" s="174"/>
      <c r="AQ6" s="100"/>
      <c r="AR6" s="90"/>
      <c r="AS6" s="174"/>
      <c r="AT6" s="386"/>
      <c r="AU6" s="386"/>
      <c r="AV6" s="386"/>
      <c r="AW6" s="386"/>
      <c r="AX6" s="386"/>
      <c r="AY6" s="386"/>
      <c r="AZ6" s="386"/>
      <c r="BA6" s="386"/>
      <c r="BB6" s="386"/>
      <c r="BC6" s="386"/>
      <c r="BD6" s="386"/>
      <c r="BE6" s="386"/>
      <c r="BF6" s="386"/>
      <c r="BG6" s="386"/>
      <c r="BH6" s="386"/>
      <c r="BI6" s="204"/>
      <c r="BJ6" s="204"/>
      <c r="BK6" s="204"/>
      <c r="BL6" s="204"/>
      <c r="BM6" s="204"/>
      <c r="BN6" s="204"/>
      <c r="BO6" s="204"/>
      <c r="BP6" s="204"/>
      <c r="BQ6" s="204"/>
      <c r="BR6" s="235" t="str">
        <f>+IFERROR(AVERAGE(AT6:BQ6),"")</f>
        <v/>
      </c>
      <c r="BS6" s="230" t="str">
        <f>+IFERROR(VAR(AT6:BQ6),"")</f>
        <v/>
      </c>
      <c r="BT6" s="231" t="str">
        <f>+IFERROR(STDEV(AT6:BQ6)*(1-$BS$1),"")</f>
        <v/>
      </c>
      <c r="BU6" s="400" t="str">
        <f t="shared" ca="1" si="3"/>
        <v/>
      </c>
      <c r="BV6" s="94" t="s">
        <v>247</v>
      </c>
      <c r="BW6" s="211" t="s">
        <v>289</v>
      </c>
      <c r="BY6" s="95"/>
    </row>
    <row r="7" spans="1:16384" s="2" customFormat="1" ht="81.75" customHeight="1">
      <c r="A7" s="224"/>
      <c r="B7" s="471"/>
      <c r="C7" s="392" t="s">
        <v>88</v>
      </c>
      <c r="D7" s="18" t="s">
        <v>81</v>
      </c>
      <c r="E7" s="19" t="s">
        <v>81</v>
      </c>
      <c r="F7" s="35" t="s">
        <v>62</v>
      </c>
      <c r="G7" s="54"/>
      <c r="H7" s="25" t="s">
        <v>54</v>
      </c>
      <c r="I7" s="32"/>
      <c r="J7" s="39"/>
      <c r="K7" s="54"/>
      <c r="L7" s="28" t="s">
        <v>54</v>
      </c>
      <c r="M7" s="18"/>
      <c r="N7" s="19"/>
      <c r="O7" s="54"/>
      <c r="P7" s="28" t="s">
        <v>54</v>
      </c>
      <c r="Q7" s="32"/>
      <c r="R7" s="39"/>
      <c r="S7" s="54"/>
      <c r="T7" s="23" t="s">
        <v>113</v>
      </c>
      <c r="U7" s="23" t="s">
        <v>68</v>
      </c>
      <c r="V7" s="23" t="s">
        <v>73</v>
      </c>
      <c r="W7" s="23" t="s">
        <v>51</v>
      </c>
      <c r="X7" s="217" t="s">
        <v>47</v>
      </c>
      <c r="Y7" s="221" t="s">
        <v>117</v>
      </c>
      <c r="Z7" s="84" t="s">
        <v>172</v>
      </c>
      <c r="AA7" s="102" t="s">
        <v>375</v>
      </c>
      <c r="AB7" s="401"/>
      <c r="AC7" s="84" t="s">
        <v>182</v>
      </c>
      <c r="AD7" s="85"/>
      <c r="AE7" s="84"/>
      <c r="AF7" s="86"/>
      <c r="AG7" s="86"/>
      <c r="AH7" s="86"/>
      <c r="AI7" s="86"/>
      <c r="AJ7" s="86"/>
      <c r="AK7" s="86"/>
      <c r="AL7" s="86"/>
      <c r="AM7" s="128"/>
      <c r="AN7" s="86"/>
      <c r="AO7" s="173"/>
      <c r="AP7" s="174"/>
      <c r="AQ7" s="100"/>
      <c r="AR7" s="90"/>
      <c r="AS7" s="174"/>
      <c r="AT7" s="386"/>
      <c r="AU7" s="386"/>
      <c r="AV7" s="386"/>
      <c r="AW7" s="386"/>
      <c r="AX7" s="386"/>
      <c r="AY7" s="386"/>
      <c r="AZ7" s="386"/>
      <c r="BA7" s="386"/>
      <c r="BB7" s="386"/>
      <c r="BC7" s="386"/>
      <c r="BD7" s="386"/>
      <c r="BE7" s="386"/>
      <c r="BF7" s="386"/>
      <c r="BG7" s="386"/>
      <c r="BH7" s="386"/>
      <c r="BI7" s="204"/>
      <c r="BJ7" s="204"/>
      <c r="BK7" s="204"/>
      <c r="BL7" s="204"/>
      <c r="BM7" s="204"/>
      <c r="BN7" s="204"/>
      <c r="BO7" s="204"/>
      <c r="BP7" s="204"/>
      <c r="BQ7" s="204"/>
      <c r="BR7" s="235" t="str">
        <f>+IFERROR(AVERAGE(AT7:BQ7),"")</f>
        <v/>
      </c>
      <c r="BS7" s="230" t="str">
        <f>+IFERROR(VAR(AT7:BQ7),"")</f>
        <v/>
      </c>
      <c r="BT7" s="231" t="str">
        <f>+IFERROR(STDEV(AT7:BQ7)*(1-$BS$1),"")</f>
        <v/>
      </c>
      <c r="BU7" s="400" t="str">
        <f t="shared" ca="1" si="3"/>
        <v/>
      </c>
      <c r="BV7" s="94" t="s">
        <v>247</v>
      </c>
      <c r="BW7" s="211" t="s">
        <v>289</v>
      </c>
      <c r="BY7" s="95"/>
    </row>
    <row r="8" spans="1:16384" s="2" customFormat="1" ht="81.75" customHeight="1" thickBot="1">
      <c r="A8" s="224"/>
      <c r="B8" s="470"/>
      <c r="C8" s="392" t="s">
        <v>89</v>
      </c>
      <c r="D8" s="18" t="s">
        <v>81</v>
      </c>
      <c r="E8" s="19" t="s">
        <v>81</v>
      </c>
      <c r="F8" s="35" t="s">
        <v>62</v>
      </c>
      <c r="G8" s="54"/>
      <c r="H8" s="25" t="s">
        <v>54</v>
      </c>
      <c r="I8" s="32"/>
      <c r="J8" s="39"/>
      <c r="K8" s="54"/>
      <c r="L8" s="28" t="s">
        <v>54</v>
      </c>
      <c r="M8" s="18"/>
      <c r="N8" s="19"/>
      <c r="O8" s="54"/>
      <c r="P8" s="28" t="s">
        <v>54</v>
      </c>
      <c r="Q8" s="32"/>
      <c r="R8" s="39"/>
      <c r="S8" s="54"/>
      <c r="T8" s="23" t="s">
        <v>113</v>
      </c>
      <c r="U8" s="23" t="s">
        <v>69</v>
      </c>
      <c r="V8" s="23" t="s">
        <v>48</v>
      </c>
      <c r="W8" s="23" t="s">
        <v>51</v>
      </c>
      <c r="X8" s="217" t="s">
        <v>47</v>
      </c>
      <c r="Y8" s="221" t="s">
        <v>118</v>
      </c>
      <c r="Z8" s="84" t="s">
        <v>172</v>
      </c>
      <c r="AA8" s="102" t="s">
        <v>375</v>
      </c>
      <c r="AB8" s="401"/>
      <c r="AC8" s="84" t="s">
        <v>182</v>
      </c>
      <c r="AD8" s="85"/>
      <c r="AE8" s="84"/>
      <c r="AF8" s="86"/>
      <c r="AG8" s="86"/>
      <c r="AH8" s="86"/>
      <c r="AI8" s="86"/>
      <c r="AJ8" s="86"/>
      <c r="AK8" s="86"/>
      <c r="AL8" s="86"/>
      <c r="AM8" s="128"/>
      <c r="AN8" s="86"/>
      <c r="AO8" s="173"/>
      <c r="AP8" s="174"/>
      <c r="AQ8" s="100"/>
      <c r="AR8" s="90"/>
      <c r="AS8" s="174"/>
      <c r="AT8" s="386"/>
      <c r="AU8" s="386"/>
      <c r="AV8" s="386"/>
      <c r="AW8" s="386"/>
      <c r="AX8" s="386"/>
      <c r="AY8" s="386"/>
      <c r="AZ8" s="386"/>
      <c r="BA8" s="386"/>
      <c r="BB8" s="386"/>
      <c r="BC8" s="386"/>
      <c r="BD8" s="386"/>
      <c r="BE8" s="386"/>
      <c r="BF8" s="386"/>
      <c r="BG8" s="386"/>
      <c r="BH8" s="386"/>
      <c r="BI8" s="204"/>
      <c r="BJ8" s="204"/>
      <c r="BK8" s="204"/>
      <c r="BL8" s="204"/>
      <c r="BM8" s="204"/>
      <c r="BN8" s="204"/>
      <c r="BO8" s="204"/>
      <c r="BP8" s="204"/>
      <c r="BQ8" s="204"/>
      <c r="BR8" s="235" t="str">
        <f>+IFERROR(AVERAGE(AT8:BQ8),"")</f>
        <v/>
      </c>
      <c r="BS8" s="230" t="str">
        <f>+IFERROR(VAR(AT8:BQ8),"")</f>
        <v/>
      </c>
      <c r="BT8" s="231" t="str">
        <f>+IFERROR(STDEV(AT8:BQ8)*(1-$BS$1),"")</f>
        <v/>
      </c>
      <c r="BU8" s="400" t="str">
        <f t="shared" ca="1" si="3"/>
        <v/>
      </c>
      <c r="BV8" s="94" t="s">
        <v>247</v>
      </c>
      <c r="BW8" s="211" t="s">
        <v>289</v>
      </c>
      <c r="BY8" s="95"/>
    </row>
    <row r="9" spans="1:16384" s="2" customFormat="1" ht="81.75" customHeight="1" thickBot="1">
      <c r="A9" s="224"/>
      <c r="B9" s="276" t="s">
        <v>6</v>
      </c>
      <c r="C9" s="249" t="s">
        <v>350</v>
      </c>
      <c r="D9" s="245" t="s">
        <v>25</v>
      </c>
      <c r="E9" s="8" t="s">
        <v>13</v>
      </c>
      <c r="F9" s="36" t="s">
        <v>61</v>
      </c>
      <c r="G9" s="53"/>
      <c r="H9" s="29" t="s">
        <v>54</v>
      </c>
      <c r="I9" s="17"/>
      <c r="J9" s="8"/>
      <c r="K9" s="53"/>
      <c r="L9" s="30" t="s">
        <v>54</v>
      </c>
      <c r="M9" s="17"/>
      <c r="N9" s="8"/>
      <c r="O9" s="53"/>
      <c r="P9" s="63" t="s">
        <v>11</v>
      </c>
      <c r="Q9" s="17"/>
      <c r="R9" s="8"/>
      <c r="S9" s="53"/>
      <c r="T9" s="22" t="s">
        <v>28</v>
      </c>
      <c r="U9" s="22"/>
      <c r="V9" s="22" t="s">
        <v>31</v>
      </c>
      <c r="W9" s="22" t="s">
        <v>45</v>
      </c>
      <c r="X9" s="214" t="s">
        <v>46</v>
      </c>
      <c r="Y9" s="219" t="s">
        <v>351</v>
      </c>
      <c r="Z9" s="84" t="s">
        <v>151</v>
      </c>
      <c r="AA9" s="102" t="s">
        <v>379</v>
      </c>
      <c r="AB9" s="401"/>
      <c r="AC9" s="84" t="s">
        <v>143</v>
      </c>
      <c r="AD9" s="85" t="s">
        <v>240</v>
      </c>
      <c r="AE9" s="84" t="s">
        <v>241</v>
      </c>
      <c r="AF9" s="86" t="s">
        <v>227</v>
      </c>
      <c r="AG9" s="86" t="s">
        <v>242</v>
      </c>
      <c r="AH9" s="86" t="s">
        <v>229</v>
      </c>
      <c r="AI9" s="86" t="s">
        <v>235</v>
      </c>
      <c r="AJ9" s="86" t="s">
        <v>235</v>
      </c>
      <c r="AK9" s="86"/>
      <c r="AL9" s="86" t="s">
        <v>243</v>
      </c>
      <c r="AM9" s="128" t="s">
        <v>244</v>
      </c>
      <c r="AN9" s="86"/>
      <c r="AO9" s="171"/>
      <c r="AP9" s="172"/>
      <c r="AQ9" s="100" t="s">
        <v>334</v>
      </c>
      <c r="AR9" s="264" t="s">
        <v>335</v>
      </c>
      <c r="AS9" s="176" t="s">
        <v>336</v>
      </c>
      <c r="AT9" s="169">
        <v>-36.950000000000003</v>
      </c>
      <c r="AU9" s="169">
        <v>-51.47</v>
      </c>
      <c r="AV9" s="169">
        <v>-49.4</v>
      </c>
      <c r="AW9" s="169">
        <v>-51.348205357534411</v>
      </c>
      <c r="AX9" s="169">
        <v>-53.75</v>
      </c>
      <c r="AY9" s="169">
        <v>-59.1</v>
      </c>
      <c r="AZ9" s="170">
        <v>-55.048282619494437</v>
      </c>
      <c r="BA9" s="170">
        <v>-42.729659278054896</v>
      </c>
      <c r="BB9" s="170">
        <v>-40.399868001099101</v>
      </c>
      <c r="BC9" s="169">
        <v>-43.484392906837499</v>
      </c>
      <c r="BD9" s="170">
        <v>-42.9</v>
      </c>
      <c r="BE9" s="170">
        <v>-48.85</v>
      </c>
      <c r="BF9" s="170">
        <v>-45.4</v>
      </c>
      <c r="BG9" s="170">
        <v>-41.768116345935596</v>
      </c>
      <c r="BH9" s="170">
        <v>-41.768116345935603</v>
      </c>
      <c r="BI9" s="206"/>
      <c r="BJ9" s="206"/>
      <c r="BK9" s="206"/>
      <c r="BL9" s="206"/>
      <c r="BM9" s="206"/>
      <c r="BN9" s="206"/>
      <c r="BO9" s="206"/>
      <c r="BP9" s="206"/>
      <c r="BQ9" s="206"/>
      <c r="BR9" s="229">
        <f t="shared" ref="BR9" si="7">+IFERROR(AVERAGE(AT9:BQ9),"")</f>
        <v>-46.95777605699277</v>
      </c>
      <c r="BS9" s="230">
        <f t="shared" ref="BS9" si="8">+IFERROR(VAR(AT9:BQ9),"")</f>
        <v>39.576118477953322</v>
      </c>
      <c r="BT9" s="231">
        <f t="shared" ref="BT9" si="9">+IFERROR(STDEV(AT9:BQ9)*(1-$BS$1),"")</f>
        <v>3.1454776456825013</v>
      </c>
      <c r="BU9" s="232" t="str">
        <f t="shared" ca="1" si="3"/>
        <v>N</v>
      </c>
      <c r="BV9" s="94" t="s">
        <v>245</v>
      </c>
      <c r="BW9" s="233" t="s">
        <v>287</v>
      </c>
    </row>
    <row r="10" spans="1:16384" s="2" customFormat="1" ht="81.75" customHeight="1" thickBot="1">
      <c r="A10" s="224"/>
      <c r="B10" s="467" t="s">
        <v>114</v>
      </c>
      <c r="C10" s="253" t="s">
        <v>298</v>
      </c>
      <c r="D10" s="247" t="s">
        <v>11</v>
      </c>
      <c r="E10" s="9" t="s">
        <v>11</v>
      </c>
      <c r="F10" s="36" t="s">
        <v>22</v>
      </c>
      <c r="G10" s="55"/>
      <c r="H10" s="29" t="s">
        <v>55</v>
      </c>
      <c r="I10" s="15"/>
      <c r="J10" s="9"/>
      <c r="K10" s="55"/>
      <c r="L10" s="30" t="s">
        <v>54</v>
      </c>
      <c r="M10" s="15"/>
      <c r="N10" s="9"/>
      <c r="O10" s="55"/>
      <c r="P10" s="30" t="s">
        <v>54</v>
      </c>
      <c r="Q10" s="15"/>
      <c r="R10" s="9"/>
      <c r="S10" s="55"/>
      <c r="T10" s="24" t="s">
        <v>52</v>
      </c>
      <c r="U10" s="24"/>
      <c r="V10" s="24"/>
      <c r="W10" s="24"/>
      <c r="X10" s="218"/>
      <c r="Y10" s="219" t="s">
        <v>364</v>
      </c>
      <c r="Z10" s="84" t="s">
        <v>325</v>
      </c>
      <c r="AA10" s="102" t="s">
        <v>380</v>
      </c>
      <c r="AB10" s="401"/>
      <c r="AC10" s="84" t="s">
        <v>143</v>
      </c>
      <c r="AD10" s="85"/>
      <c r="AE10" s="84" t="s">
        <v>269</v>
      </c>
      <c r="AF10" s="86" t="s">
        <v>268</v>
      </c>
      <c r="AG10" s="86"/>
      <c r="AH10" s="86"/>
      <c r="AI10" s="86"/>
      <c r="AJ10" s="86"/>
      <c r="AK10" s="86"/>
      <c r="AL10" s="86"/>
      <c r="AM10" s="128"/>
      <c r="AN10" s="86"/>
      <c r="AO10" s="133"/>
      <c r="AP10" s="176"/>
      <c r="AQ10" s="100"/>
      <c r="AR10" s="90"/>
      <c r="AS10" s="176"/>
      <c r="AT10" s="386" t="s">
        <v>21</v>
      </c>
      <c r="AU10" s="386" t="s">
        <v>21</v>
      </c>
      <c r="AV10" s="386" t="s">
        <v>21</v>
      </c>
      <c r="AW10" s="386" t="s">
        <v>21</v>
      </c>
      <c r="AX10" s="386" t="s">
        <v>21</v>
      </c>
      <c r="AY10" s="386" t="s">
        <v>21</v>
      </c>
      <c r="AZ10" s="386" t="s">
        <v>21</v>
      </c>
      <c r="BA10" s="386" t="s">
        <v>21</v>
      </c>
      <c r="BB10" s="386" t="s">
        <v>21</v>
      </c>
      <c r="BC10" s="386" t="s">
        <v>21</v>
      </c>
      <c r="BD10" s="386" t="s">
        <v>21</v>
      </c>
      <c r="BE10" s="386" t="s">
        <v>21</v>
      </c>
      <c r="BF10" s="405">
        <f>2655/287766</f>
        <v>9.2262463251391764E-3</v>
      </c>
      <c r="BG10" s="405">
        <f>2803/238867</f>
        <v>1.1734563585593657E-2</v>
      </c>
      <c r="BH10" s="386"/>
      <c r="BI10" s="207"/>
      <c r="BJ10" s="207"/>
      <c r="BK10" s="207"/>
      <c r="BL10" s="207"/>
      <c r="BM10" s="207"/>
      <c r="BN10" s="207"/>
      <c r="BO10" s="207"/>
      <c r="BP10" s="207"/>
      <c r="BQ10" s="207"/>
      <c r="BR10" s="235">
        <f>+IFERROR(AVERAGE(AT10:BQ10),"")</f>
        <v>1.0480404955366417E-2</v>
      </c>
      <c r="BS10" s="230">
        <f>+IFERROR(VAR(AT10:BQ10),"")</f>
        <v>3.1458277395469346E-6</v>
      </c>
      <c r="BT10" s="231">
        <f>+IFERROR(STDEV(AT10:BQ10)*(1-$BS$1),"")</f>
        <v>8.8682407211731324E-4</v>
      </c>
      <c r="BU10" s="232" t="str">
        <f t="shared" ca="1" si="3"/>
        <v>N</v>
      </c>
      <c r="BV10" s="94" t="s">
        <v>257</v>
      </c>
      <c r="BW10" s="233" t="s">
        <v>299</v>
      </c>
    </row>
    <row r="11" spans="1:16384" s="2" customFormat="1" ht="81.75" customHeight="1" thickBot="1">
      <c r="A11" s="224"/>
      <c r="B11" s="468"/>
      <c r="C11" s="253" t="s">
        <v>20</v>
      </c>
      <c r="D11" s="246" t="s">
        <v>11</v>
      </c>
      <c r="E11" s="11" t="s">
        <v>11</v>
      </c>
      <c r="F11" s="35" t="s">
        <v>22</v>
      </c>
      <c r="G11" s="50"/>
      <c r="H11" s="25" t="s">
        <v>55</v>
      </c>
      <c r="I11" s="3"/>
      <c r="J11" s="11"/>
      <c r="K11" s="50"/>
      <c r="L11" s="28" t="s">
        <v>54</v>
      </c>
      <c r="M11" s="3"/>
      <c r="N11" s="11"/>
      <c r="O11" s="50"/>
      <c r="P11" s="28" t="s">
        <v>54</v>
      </c>
      <c r="Q11" s="3"/>
      <c r="R11" s="11"/>
      <c r="S11" s="50"/>
      <c r="T11" s="21" t="s">
        <v>75</v>
      </c>
      <c r="U11" s="21"/>
      <c r="V11" s="21"/>
      <c r="W11" s="21"/>
      <c r="X11" s="216"/>
      <c r="Y11" s="219" t="s">
        <v>363</v>
      </c>
      <c r="Z11" s="84" t="s">
        <v>172</v>
      </c>
      <c r="AA11" s="102" t="s">
        <v>381</v>
      </c>
      <c r="AB11" s="401"/>
      <c r="AC11" s="84" t="s">
        <v>143</v>
      </c>
      <c r="AD11" s="85"/>
      <c r="AE11" s="84" t="s">
        <v>252</v>
      </c>
      <c r="AF11" s="86" t="s">
        <v>253</v>
      </c>
      <c r="AG11" s="86" t="s">
        <v>254</v>
      </c>
      <c r="AH11" s="86"/>
      <c r="AI11" s="86"/>
      <c r="AJ11" s="86" t="s">
        <v>330</v>
      </c>
      <c r="AK11" s="86"/>
      <c r="AL11" s="86" t="s">
        <v>255</v>
      </c>
      <c r="AM11" s="128"/>
      <c r="AN11" s="86"/>
      <c r="AO11" s="133"/>
      <c r="AP11" s="176"/>
      <c r="AQ11" s="141">
        <f>STDEV(AT11:BE11)+(AVERAGE(AT11:BE11))</f>
        <v>4.9069251784911847</v>
      </c>
      <c r="AR11" s="142">
        <v>6</v>
      </c>
      <c r="AS11" s="143">
        <v>7</v>
      </c>
      <c r="AT11" s="144">
        <v>0</v>
      </c>
      <c r="AU11" s="144">
        <v>2</v>
      </c>
      <c r="AV11" s="144">
        <v>5</v>
      </c>
      <c r="AW11" s="144">
        <v>2</v>
      </c>
      <c r="AX11" s="144">
        <v>2</v>
      </c>
      <c r="AY11" s="144">
        <v>1</v>
      </c>
      <c r="AZ11" s="144">
        <v>4</v>
      </c>
      <c r="BA11" s="179">
        <v>7</v>
      </c>
      <c r="BB11" s="144">
        <v>4</v>
      </c>
      <c r="BC11" s="144">
        <v>3</v>
      </c>
      <c r="BD11" s="144">
        <v>4</v>
      </c>
      <c r="BE11" s="144">
        <v>2</v>
      </c>
      <c r="BF11" s="146">
        <v>4</v>
      </c>
      <c r="BG11" s="146">
        <v>1</v>
      </c>
      <c r="BH11" s="146">
        <v>3</v>
      </c>
      <c r="BI11" s="204"/>
      <c r="BJ11" s="204"/>
      <c r="BK11" s="204"/>
      <c r="BL11" s="204"/>
      <c r="BM11" s="204"/>
      <c r="BN11" s="204"/>
      <c r="BO11" s="204"/>
      <c r="BP11" s="204"/>
      <c r="BQ11" s="204"/>
      <c r="BR11" s="234">
        <f>+IFERROR(AVERAGE(AT11:BQ11),"")</f>
        <v>2.9333333333333331</v>
      </c>
      <c r="BS11" s="230">
        <f>+IFERROR(VAR(AT11:BQ11),"")</f>
        <v>3.2095238095238097</v>
      </c>
      <c r="BT11" s="231">
        <f>+IFERROR(STDEV(AT11:BQ11)*(1-$BS$1),"")</f>
        <v>0.89575719499256745</v>
      </c>
      <c r="BU11" s="232" t="str">
        <f ca="1">+IF(OR(BT11="",OFFSET(AT11,0,MATCH($B$1,AT$2:BQ$2,0)-1)=""),"",IFERROR(IF(ABS(OFFSET(AT11,0,MATCH($B$1,AT$2:BQ$2,0)-1)-OFFSET(AT11,0,MATCH($B$1,AT$2:BQ$2,0)-2))&gt;BT11,"N","µ"),""))</f>
        <v>N</v>
      </c>
      <c r="BV11" s="118" t="s">
        <v>256</v>
      </c>
      <c r="BW11" s="233"/>
      <c r="BY11" s="95"/>
    </row>
    <row r="12" spans="1:16384" s="2" customFormat="1" ht="81.75" customHeight="1" thickBot="1">
      <c r="A12" s="224"/>
      <c r="B12" s="276" t="s">
        <v>6</v>
      </c>
      <c r="C12" s="393" t="s">
        <v>384</v>
      </c>
      <c r="D12" s="245" t="s">
        <v>25</v>
      </c>
      <c r="E12" s="8" t="s">
        <v>13</v>
      </c>
      <c r="F12" s="36" t="s">
        <v>61</v>
      </c>
      <c r="G12" s="53"/>
      <c r="H12" s="29" t="s">
        <v>54</v>
      </c>
      <c r="I12" s="17"/>
      <c r="J12" s="8"/>
      <c r="K12" s="53"/>
      <c r="L12" s="30" t="s">
        <v>54</v>
      </c>
      <c r="M12" s="17"/>
      <c r="N12" s="8"/>
      <c r="O12" s="53"/>
      <c r="P12" s="63" t="s">
        <v>11</v>
      </c>
      <c r="Q12" s="17"/>
      <c r="R12" s="8"/>
      <c r="S12" s="53"/>
      <c r="T12" s="22" t="s">
        <v>28</v>
      </c>
      <c r="U12" s="22"/>
      <c r="V12" s="22" t="s">
        <v>31</v>
      </c>
      <c r="W12" s="22" t="s">
        <v>45</v>
      </c>
      <c r="X12" s="214" t="s">
        <v>46</v>
      </c>
      <c r="Y12" s="219" t="s">
        <v>351</v>
      </c>
      <c r="Z12" s="84" t="s">
        <v>151</v>
      </c>
      <c r="AA12" s="102" t="s">
        <v>382</v>
      </c>
      <c r="AB12" s="401"/>
      <c r="AC12" s="84" t="s">
        <v>143</v>
      </c>
      <c r="AD12" s="85" t="s">
        <v>240</v>
      </c>
      <c r="AE12" s="84" t="s">
        <v>241</v>
      </c>
      <c r="AF12" s="86" t="s">
        <v>227</v>
      </c>
      <c r="AG12" s="86" t="s">
        <v>242</v>
      </c>
      <c r="AH12" s="86" t="s">
        <v>229</v>
      </c>
      <c r="AI12" s="86" t="s">
        <v>235</v>
      </c>
      <c r="AJ12" s="86" t="s">
        <v>235</v>
      </c>
      <c r="AK12" s="86"/>
      <c r="AL12" s="86" t="s">
        <v>243</v>
      </c>
      <c r="AM12" s="128" t="s">
        <v>244</v>
      </c>
      <c r="AN12" s="86"/>
      <c r="AO12" s="171"/>
      <c r="AP12" s="172"/>
      <c r="AQ12" s="100" t="s">
        <v>304</v>
      </c>
      <c r="AR12" s="264" t="s">
        <v>305</v>
      </c>
      <c r="AS12" s="176" t="s">
        <v>303</v>
      </c>
      <c r="AT12" s="169">
        <v>-48.38</v>
      </c>
      <c r="AU12" s="169">
        <v>-63.04</v>
      </c>
      <c r="AV12" s="169">
        <v>-60.83</v>
      </c>
      <c r="AW12" s="169">
        <v>-62.380593306632996</v>
      </c>
      <c r="AX12" s="169">
        <v>-64.8</v>
      </c>
      <c r="AY12" s="169">
        <v>-70</v>
      </c>
      <c r="AZ12" s="170">
        <v>-65.900000000000006</v>
      </c>
      <c r="BA12" s="170">
        <v>-53.84453122305149</v>
      </c>
      <c r="BB12" s="170">
        <v>-51.1063145672533</v>
      </c>
      <c r="BC12" s="169">
        <v>-53.982362796086797</v>
      </c>
      <c r="BD12" s="170">
        <v>-53.2</v>
      </c>
      <c r="BE12" s="170">
        <v>-58.97</v>
      </c>
      <c r="BF12" s="170">
        <v>-55.562196263262194</v>
      </c>
      <c r="BG12" s="170">
        <v>-51.8</v>
      </c>
      <c r="BH12" s="386"/>
      <c r="BI12" s="206"/>
      <c r="BJ12" s="206"/>
      <c r="BK12" s="206"/>
      <c r="BL12" s="206"/>
      <c r="BM12" s="206"/>
      <c r="BN12" s="206"/>
      <c r="BO12" s="206"/>
      <c r="BP12" s="206"/>
      <c r="BQ12" s="206"/>
      <c r="BR12" s="229">
        <f t="shared" ref="BR12:BR19" si="10">+IFERROR(AVERAGE(AT12:BQ12),"")</f>
        <v>-58.128285582591914</v>
      </c>
      <c r="BS12" s="230">
        <f t="shared" ref="BS12:BS19" si="11">+IFERROR(VAR(AT12:BQ12),"")</f>
        <v>42.066162493174488</v>
      </c>
      <c r="BT12" s="231">
        <f t="shared" ref="BT12" si="12">+IFERROR(STDEV(AT12:BQ12)*(1-$BS$1),"")</f>
        <v>3.2429216184319998</v>
      </c>
      <c r="BU12" s="232" t="str">
        <f t="shared" ca="1" si="3"/>
        <v>N</v>
      </c>
      <c r="BV12" s="94" t="s">
        <v>245</v>
      </c>
      <c r="BW12" s="233" t="s">
        <v>287</v>
      </c>
    </row>
    <row r="13" spans="1:16384" ht="81.75" customHeight="1" thickBot="1">
      <c r="B13" s="281" t="s">
        <v>5</v>
      </c>
      <c r="C13" s="252" t="s">
        <v>85</v>
      </c>
      <c r="D13" s="243" t="s">
        <v>81</v>
      </c>
      <c r="E13" s="12" t="s">
        <v>81</v>
      </c>
      <c r="F13" s="35" t="s">
        <v>61</v>
      </c>
      <c r="G13" s="52"/>
      <c r="H13" s="25" t="s">
        <v>54</v>
      </c>
      <c r="I13" s="13"/>
      <c r="J13" s="38"/>
      <c r="K13" s="52"/>
      <c r="L13" s="28" t="s">
        <v>54</v>
      </c>
      <c r="M13" s="14"/>
      <c r="N13" s="12"/>
      <c r="O13" s="52"/>
      <c r="P13" s="64" t="s">
        <v>11</v>
      </c>
      <c r="Q13" s="13"/>
      <c r="R13" s="38"/>
      <c r="S13" s="52"/>
      <c r="T13" s="22" t="s">
        <v>33</v>
      </c>
      <c r="U13" s="22" t="s">
        <v>65</v>
      </c>
      <c r="V13" s="22" t="s">
        <v>36</v>
      </c>
      <c r="W13" s="22" t="s">
        <v>45</v>
      </c>
      <c r="X13" s="214" t="s">
        <v>46</v>
      </c>
      <c r="Y13" s="219" t="s">
        <v>360</v>
      </c>
      <c r="Z13" s="84" t="s">
        <v>172</v>
      </c>
      <c r="AA13" s="102" t="s">
        <v>383</v>
      </c>
      <c r="AB13" s="401"/>
      <c r="AC13" s="84" t="s">
        <v>182</v>
      </c>
      <c r="AD13" s="85"/>
      <c r="AE13" s="84"/>
      <c r="AF13" s="272" t="s">
        <v>313</v>
      </c>
      <c r="AG13" s="86"/>
      <c r="AH13" s="86"/>
      <c r="AI13" s="86"/>
      <c r="AJ13" s="86"/>
      <c r="AK13" s="96"/>
      <c r="AL13" s="86"/>
      <c r="AM13" s="128"/>
      <c r="AN13" s="86"/>
      <c r="AO13" s="164"/>
      <c r="AP13" s="163"/>
      <c r="AQ13" s="100"/>
      <c r="AR13" s="90"/>
      <c r="AS13" s="163"/>
      <c r="AT13" s="386"/>
      <c r="AU13" s="386"/>
      <c r="AV13" s="386"/>
      <c r="AW13" s="386"/>
      <c r="AX13" s="386"/>
      <c r="AY13" s="386"/>
      <c r="AZ13" s="386"/>
      <c r="BA13" s="386"/>
      <c r="BB13" s="386"/>
      <c r="BC13" s="386"/>
      <c r="BD13" s="386"/>
      <c r="BE13" s="386"/>
      <c r="BF13" s="386"/>
      <c r="BG13" s="386"/>
      <c r="BH13" s="386"/>
      <c r="BI13" s="204"/>
      <c r="BJ13" s="204"/>
      <c r="BK13" s="204"/>
      <c r="BL13" s="204"/>
      <c r="BM13" s="204"/>
      <c r="BN13" s="204"/>
      <c r="BO13" s="204"/>
      <c r="BP13" s="204"/>
      <c r="BQ13" s="204"/>
      <c r="BR13" s="235" t="str">
        <f t="shared" si="10"/>
        <v/>
      </c>
      <c r="BS13" s="230" t="str">
        <f t="shared" si="11"/>
        <v/>
      </c>
      <c r="BT13" s="231" t="str">
        <f>+IFERROR(STDEV(#REF!)*(1-$BS$1),"")</f>
        <v/>
      </c>
      <c r="BU13" s="232" t="e">
        <f ca="1">+IF(OR(BT13="",OFFSET(#REF!,0,MATCH($B$1,AT$2:BQ$2,0)-1)=""),"",IFERROR(IF(ABS(OFFSET(#REF!,0,MATCH($B$1,AT$2:BQ$2,0)-1)-OFFSET(#REF!,0,MATCH($B$1,AT$2:BQ$2,0)-2))&gt;BT13,"N","µ"),""))</f>
        <v>#REF!</v>
      </c>
      <c r="BV13" s="94"/>
      <c r="BW13" s="233" t="s">
        <v>287</v>
      </c>
    </row>
    <row r="14" spans="1:16384" s="2" customFormat="1" ht="81.75" customHeight="1">
      <c r="B14" s="469" t="s">
        <v>6</v>
      </c>
      <c r="C14" s="249" t="s">
        <v>387</v>
      </c>
      <c r="D14" s="244" t="s">
        <v>24</v>
      </c>
      <c r="E14" s="10" t="s">
        <v>12</v>
      </c>
      <c r="F14" s="34" t="s">
        <v>61</v>
      </c>
      <c r="G14" s="51"/>
      <c r="H14" s="26" t="s">
        <v>54</v>
      </c>
      <c r="I14" s="16"/>
      <c r="J14" s="10"/>
      <c r="K14" s="51"/>
      <c r="L14" s="27" t="s">
        <v>54</v>
      </c>
      <c r="M14" s="16"/>
      <c r="N14" s="10"/>
      <c r="O14" s="51"/>
      <c r="P14" s="27" t="s">
        <v>54</v>
      </c>
      <c r="Q14" s="16"/>
      <c r="R14" s="10"/>
      <c r="S14" s="51"/>
      <c r="T14" s="22" t="s">
        <v>28</v>
      </c>
      <c r="U14" s="22"/>
      <c r="V14" s="22" t="s">
        <v>31</v>
      </c>
      <c r="W14" s="22" t="s">
        <v>45</v>
      </c>
      <c r="X14" s="214" t="s">
        <v>46</v>
      </c>
      <c r="Y14" s="219" t="s">
        <v>361</v>
      </c>
      <c r="Z14" s="84" t="s">
        <v>151</v>
      </c>
      <c r="AA14" s="219" t="s">
        <v>361</v>
      </c>
      <c r="AB14" s="401"/>
      <c r="AC14" s="84" t="s">
        <v>143</v>
      </c>
      <c r="AD14" s="85" t="s">
        <v>232</v>
      </c>
      <c r="AE14" s="84" t="s">
        <v>233</v>
      </c>
      <c r="AF14" s="86" t="s">
        <v>227</v>
      </c>
      <c r="AG14" s="86" t="s">
        <v>234</v>
      </c>
      <c r="AH14" s="86" t="s">
        <v>229</v>
      </c>
      <c r="AI14" s="86" t="s">
        <v>235</v>
      </c>
      <c r="AJ14" s="86" t="s">
        <v>235</v>
      </c>
      <c r="AK14" s="86"/>
      <c r="AL14" s="86" t="s">
        <v>236</v>
      </c>
      <c r="AM14" s="128" t="s">
        <v>237</v>
      </c>
      <c r="AN14" s="86"/>
      <c r="AO14" s="167" t="s">
        <v>238</v>
      </c>
      <c r="AP14" s="168" t="s">
        <v>239</v>
      </c>
      <c r="AQ14" s="100" t="s">
        <v>331</v>
      </c>
      <c r="AR14" s="167" t="s">
        <v>332</v>
      </c>
      <c r="AS14" s="168" t="s">
        <v>333</v>
      </c>
      <c r="AT14" s="169">
        <v>-2.42</v>
      </c>
      <c r="AU14" s="169">
        <v>-7.0000000000000007E-2</v>
      </c>
      <c r="AV14" s="170">
        <f>-142047.019494295/1000000</f>
        <v>-0.14204701949429499</v>
      </c>
      <c r="AW14" s="169">
        <v>-2.1221236143996118</v>
      </c>
      <c r="AX14" s="169">
        <v>-1.92</v>
      </c>
      <c r="AY14" s="170">
        <v>-3.32</v>
      </c>
      <c r="AZ14" s="169">
        <v>-1.0950627342776655</v>
      </c>
      <c r="BA14" s="169">
        <v>-0.20498104180905199</v>
      </c>
      <c r="BB14" s="170">
        <f>3948208.23575136/1000000</f>
        <v>3.9482082357513604</v>
      </c>
      <c r="BC14" s="169">
        <f>2953605.46328443/1000000</f>
        <v>2.95360546328443</v>
      </c>
      <c r="BD14" s="169">
        <v>3.7</v>
      </c>
      <c r="BE14" s="170">
        <v>1.61</v>
      </c>
      <c r="BF14" s="170">
        <v>3.2</v>
      </c>
      <c r="BG14" s="170">
        <v>4.0381037399215245</v>
      </c>
      <c r="BH14" s="170">
        <v>4.0381037399215201</v>
      </c>
      <c r="BI14" s="204"/>
      <c r="BJ14" s="204"/>
      <c r="BK14" s="204"/>
      <c r="BL14" s="204"/>
      <c r="BM14" s="204"/>
      <c r="BN14" s="204"/>
      <c r="BO14" s="204"/>
      <c r="BP14" s="204"/>
      <c r="BQ14" s="204"/>
      <c r="BR14" s="229">
        <f t="shared" si="10"/>
        <v>0.81292045125988088</v>
      </c>
      <c r="BS14" s="230">
        <f t="shared" si="11"/>
        <v>7.1335048459450592</v>
      </c>
      <c r="BT14" s="231">
        <f>+IFERROR(STDEV(AT15:BQ15)*(1-$BS$1),"")</f>
        <v>1.848818578016594</v>
      </c>
      <c r="BU14" s="232" t="str">
        <f ca="1">+IF(OR(BT14="",OFFSET(AT15,0,MATCH($B$1,AT$2:BQ$2,0)-1)=""),"",IFERROR(IF(ABS(OFFSET(AT15,0,MATCH($B$1,AT$2:BQ$2,0)-1)-OFFSET(AT15,0,MATCH($B$1,AT$2:BQ$2,0)-2))&gt;BT14,"N","µ"),""))</f>
        <v>N</v>
      </c>
      <c r="BV14" s="94" t="s">
        <v>245</v>
      </c>
      <c r="BW14" s="233"/>
      <c r="BY14" s="95"/>
    </row>
    <row r="15" spans="1:16384" s="2" customFormat="1" ht="81.75" customHeight="1" thickBot="1">
      <c r="B15" s="470"/>
      <c r="C15" s="249" t="s">
        <v>385</v>
      </c>
      <c r="D15" s="245" t="s">
        <v>25</v>
      </c>
      <c r="E15" s="8" t="s">
        <v>13</v>
      </c>
      <c r="F15" s="36" t="s">
        <v>61</v>
      </c>
      <c r="G15" s="53"/>
      <c r="H15" s="29" t="s">
        <v>54</v>
      </c>
      <c r="I15" s="17"/>
      <c r="J15" s="8"/>
      <c r="K15" s="53"/>
      <c r="L15" s="30" t="s">
        <v>54</v>
      </c>
      <c r="M15" s="17"/>
      <c r="N15" s="8"/>
      <c r="O15" s="53"/>
      <c r="P15" s="63" t="s">
        <v>11</v>
      </c>
      <c r="Q15" s="17"/>
      <c r="R15" s="8"/>
      <c r="S15" s="53"/>
      <c r="T15" s="22" t="s">
        <v>28</v>
      </c>
      <c r="U15" s="22"/>
      <c r="V15" s="22" t="s">
        <v>31</v>
      </c>
      <c r="W15" s="22" t="s">
        <v>45</v>
      </c>
      <c r="X15" s="214" t="s">
        <v>46</v>
      </c>
      <c r="Y15" s="219" t="s">
        <v>362</v>
      </c>
      <c r="Z15" s="84" t="s">
        <v>151</v>
      </c>
      <c r="AA15" s="219" t="s">
        <v>362</v>
      </c>
      <c r="AB15" s="401"/>
      <c r="AC15" s="84" t="s">
        <v>143</v>
      </c>
      <c r="AD15" s="85" t="s">
        <v>348</v>
      </c>
      <c r="AE15" s="84" t="s">
        <v>347</v>
      </c>
      <c r="AF15" s="86" t="s">
        <v>227</v>
      </c>
      <c r="AG15" s="86" t="s">
        <v>242</v>
      </c>
      <c r="AH15" s="86" t="s">
        <v>229</v>
      </c>
      <c r="AI15" s="86" t="s">
        <v>235</v>
      </c>
      <c r="AJ15" s="86" t="s">
        <v>235</v>
      </c>
      <c r="AK15" s="86"/>
      <c r="AL15" s="86" t="s">
        <v>243</v>
      </c>
      <c r="AM15" s="128" t="s">
        <v>244</v>
      </c>
      <c r="AN15" s="86"/>
      <c r="AO15" s="171"/>
      <c r="AP15" s="172"/>
      <c r="AQ15" s="100" t="s">
        <v>355</v>
      </c>
      <c r="AR15" s="264" t="s">
        <v>356</v>
      </c>
      <c r="AS15" s="168" t="s">
        <v>349</v>
      </c>
      <c r="AT15" s="386" t="s">
        <v>165</v>
      </c>
      <c r="AU15" s="386" t="s">
        <v>165</v>
      </c>
      <c r="AV15" s="169">
        <v>-19.920000000000002</v>
      </c>
      <c r="AW15" s="169">
        <v>-21.85</v>
      </c>
      <c r="AX15" s="169">
        <v>-23.06</v>
      </c>
      <c r="AY15" s="169">
        <v>-26.88</v>
      </c>
      <c r="AZ15" s="170">
        <v>-23.938430634967805</v>
      </c>
      <c r="BA15" s="170">
        <v>-17.51452294873161</v>
      </c>
      <c r="BB15" s="170">
        <v>-15.860446980120299</v>
      </c>
      <c r="BC15" s="169">
        <v>-18.026247635008101</v>
      </c>
      <c r="BD15" s="170">
        <v>-16.899999999999999</v>
      </c>
      <c r="BE15" s="170">
        <v>-20.93</v>
      </c>
      <c r="BF15" s="170">
        <v>-17.2</v>
      </c>
      <c r="BG15" s="170">
        <v>-15.130692737093341</v>
      </c>
      <c r="BH15" s="170">
        <v>-15.1306927370933</v>
      </c>
      <c r="BI15" s="206"/>
      <c r="BJ15" s="206"/>
      <c r="BK15" s="206"/>
      <c r="BL15" s="206"/>
      <c r="BM15" s="206"/>
      <c r="BN15" s="206"/>
      <c r="BO15" s="206"/>
      <c r="BP15" s="206"/>
      <c r="BQ15" s="206"/>
      <c r="BR15" s="229">
        <f t="shared" si="10"/>
        <v>-19.410848744078034</v>
      </c>
      <c r="BS15" s="230">
        <f t="shared" si="11"/>
        <v>13.672520537677201</v>
      </c>
      <c r="BT15" s="231">
        <f>+IFERROR(STDEV(AT16:BQ16)*(1-$BS$1),"")</f>
        <v>1.308028730010045</v>
      </c>
      <c r="BU15" s="232" t="str">
        <f ca="1">+IF(OR(BT15="",OFFSET(AT16,0,MATCH($B$1,AT$2:BQ$2,0)-1)=""),"",IFERROR(IF(ABS(OFFSET(AT16,0,MATCH($B$1,AT$2:BQ$2,0)-1)-OFFSET(AT16,0,MATCH($B$1,AT$2:BQ$2,0)-2))&gt;BT15,"N","µ"),""))</f>
        <v>µ</v>
      </c>
      <c r="BV15" s="94" t="s">
        <v>247</v>
      </c>
      <c r="BW15" s="233" t="s">
        <v>287</v>
      </c>
      <c r="BY15" s="95"/>
    </row>
    <row r="16" spans="1:16384" s="2" customFormat="1" ht="81.75" customHeight="1">
      <c r="B16" s="469" t="s">
        <v>6</v>
      </c>
      <c r="C16" s="393" t="s">
        <v>386</v>
      </c>
      <c r="D16" s="244" t="s">
        <v>24</v>
      </c>
      <c r="E16" s="10" t="s">
        <v>12</v>
      </c>
      <c r="F16" s="34" t="s">
        <v>61</v>
      </c>
      <c r="G16" s="51"/>
      <c r="H16" s="26" t="s">
        <v>54</v>
      </c>
      <c r="I16" s="16"/>
      <c r="J16" s="10"/>
      <c r="K16" s="51"/>
      <c r="L16" s="27" t="s">
        <v>54</v>
      </c>
      <c r="M16" s="16"/>
      <c r="N16" s="10"/>
      <c r="O16" s="51"/>
      <c r="P16" s="27" t="s">
        <v>54</v>
      </c>
      <c r="Q16" s="16"/>
      <c r="R16" s="10"/>
      <c r="S16" s="51"/>
      <c r="T16" s="22" t="s">
        <v>28</v>
      </c>
      <c r="U16" s="22"/>
      <c r="V16" s="22" t="s">
        <v>31</v>
      </c>
      <c r="W16" s="22" t="s">
        <v>45</v>
      </c>
      <c r="X16" s="214" t="s">
        <v>46</v>
      </c>
      <c r="Y16" s="219" t="s">
        <v>361</v>
      </c>
      <c r="Z16" s="84" t="s">
        <v>151</v>
      </c>
      <c r="AA16" s="219" t="s">
        <v>361</v>
      </c>
      <c r="AB16" s="401"/>
      <c r="AC16" s="84" t="s">
        <v>143</v>
      </c>
      <c r="AD16" s="85" t="s">
        <v>317</v>
      </c>
      <c r="AE16" s="84" t="s">
        <v>233</v>
      </c>
      <c r="AF16" s="86" t="s">
        <v>227</v>
      </c>
      <c r="AG16" s="86" t="s">
        <v>234</v>
      </c>
      <c r="AH16" s="86" t="s">
        <v>229</v>
      </c>
      <c r="AI16" s="86" t="s">
        <v>235</v>
      </c>
      <c r="AJ16" s="86" t="s">
        <v>235</v>
      </c>
      <c r="AK16" s="86"/>
      <c r="AL16" s="86" t="s">
        <v>236</v>
      </c>
      <c r="AM16" s="128" t="s">
        <v>237</v>
      </c>
      <c r="AN16" s="86"/>
      <c r="AO16" s="167" t="s">
        <v>238</v>
      </c>
      <c r="AP16" s="168" t="s">
        <v>239</v>
      </c>
      <c r="AQ16" s="100" t="s">
        <v>331</v>
      </c>
      <c r="AR16" s="167" t="s">
        <v>332</v>
      </c>
      <c r="AS16" s="168" t="s">
        <v>333</v>
      </c>
      <c r="AT16" s="169">
        <v>-2.5</v>
      </c>
      <c r="AU16" s="169">
        <v>-7.0000000000000007E-2</v>
      </c>
      <c r="AV16" s="170">
        <v>-0.28999999999999998</v>
      </c>
      <c r="AW16" s="169">
        <v>-2.2740028845906854</v>
      </c>
      <c r="AX16" s="169">
        <v>-2.1</v>
      </c>
      <c r="AY16" s="170">
        <v>-3.5</v>
      </c>
      <c r="AZ16" s="169">
        <v>-1.2</v>
      </c>
      <c r="BA16" s="169">
        <v>-0.33539839034935831</v>
      </c>
      <c r="BB16" s="170">
        <v>3.8190937963656202</v>
      </c>
      <c r="BC16" s="169">
        <v>2.8493692708149303</v>
      </c>
      <c r="BD16" s="169">
        <v>3.6</v>
      </c>
      <c r="BE16" s="170">
        <v>1.51</v>
      </c>
      <c r="BF16" s="170">
        <v>3.0451164590368194</v>
      </c>
      <c r="BG16" s="170">
        <v>3.87</v>
      </c>
      <c r="BH16" s="386"/>
      <c r="BI16" s="204"/>
      <c r="BJ16" s="204"/>
      <c r="BK16" s="204"/>
      <c r="BL16" s="204"/>
      <c r="BM16" s="204"/>
      <c r="BN16" s="204"/>
      <c r="BO16" s="204"/>
      <c r="BP16" s="204"/>
      <c r="BQ16" s="204"/>
      <c r="BR16" s="229">
        <f t="shared" si="10"/>
        <v>0.45886987509123767</v>
      </c>
      <c r="BS16" s="230">
        <f t="shared" si="11"/>
        <v>6.8437566341267662</v>
      </c>
      <c r="BT16" s="231">
        <f t="shared" ref="BT16:BT19" si="13">+IFERROR(STDEV(AT16:BQ16)*(1-$BS$1),"")</f>
        <v>1.308028730010045</v>
      </c>
      <c r="BU16" s="232" t="str">
        <f t="shared" ref="BU16:BU19" ca="1" si="14">+IF(OR(BT16="",OFFSET(AT16,0,MATCH($B$1,AT$2:BQ$2,0)-1)=""),"",IFERROR(IF(ABS(OFFSET(AT16,0,MATCH($B$1,AT$2:BQ$2,0)-1)-OFFSET(AT16,0,MATCH($B$1,AT$2:BQ$2,0)-2))&gt;BT16,"N","µ"),""))</f>
        <v>µ</v>
      </c>
      <c r="BV16" s="94"/>
      <c r="BW16" s="233"/>
      <c r="BY16" s="95"/>
    </row>
    <row r="17" spans="1:77" s="2" customFormat="1" ht="81.75" customHeight="1" thickBot="1">
      <c r="B17" s="470"/>
      <c r="C17" s="393" t="s">
        <v>388</v>
      </c>
      <c r="D17" s="245" t="s">
        <v>25</v>
      </c>
      <c r="E17" s="8" t="s">
        <v>13</v>
      </c>
      <c r="F17" s="36" t="s">
        <v>61</v>
      </c>
      <c r="G17" s="53"/>
      <c r="H17" s="29" t="s">
        <v>54</v>
      </c>
      <c r="I17" s="17"/>
      <c r="J17" s="8"/>
      <c r="K17" s="53"/>
      <c r="L17" s="30" t="s">
        <v>54</v>
      </c>
      <c r="M17" s="17"/>
      <c r="N17" s="8"/>
      <c r="O17" s="53"/>
      <c r="P17" s="63" t="s">
        <v>11</v>
      </c>
      <c r="Q17" s="17"/>
      <c r="R17" s="8"/>
      <c r="S17" s="53"/>
      <c r="T17" s="22" t="s">
        <v>28</v>
      </c>
      <c r="U17" s="22"/>
      <c r="V17" s="22" t="s">
        <v>31</v>
      </c>
      <c r="W17" s="22" t="s">
        <v>45</v>
      </c>
      <c r="X17" s="214" t="s">
        <v>46</v>
      </c>
      <c r="Y17" s="219" t="s">
        <v>362</v>
      </c>
      <c r="Z17" s="84" t="s">
        <v>151</v>
      </c>
      <c r="AA17" s="219" t="s">
        <v>362</v>
      </c>
      <c r="AB17" s="402"/>
      <c r="AC17" s="84" t="s">
        <v>143</v>
      </c>
      <c r="AD17" s="85" t="s">
        <v>348</v>
      </c>
      <c r="AE17" s="84" t="s">
        <v>347</v>
      </c>
      <c r="AF17" s="86" t="s">
        <v>227</v>
      </c>
      <c r="AG17" s="86" t="s">
        <v>242</v>
      </c>
      <c r="AH17" s="86" t="s">
        <v>229</v>
      </c>
      <c r="AI17" s="86" t="s">
        <v>235</v>
      </c>
      <c r="AJ17" s="86" t="s">
        <v>235</v>
      </c>
      <c r="AK17" s="86"/>
      <c r="AL17" s="86" t="s">
        <v>243</v>
      </c>
      <c r="AM17" s="128" t="s">
        <v>244</v>
      </c>
      <c r="AN17" s="86"/>
      <c r="AO17" s="171"/>
      <c r="AP17" s="172"/>
      <c r="AQ17" s="100" t="s">
        <v>355</v>
      </c>
      <c r="AR17" s="264" t="s">
        <v>356</v>
      </c>
      <c r="AS17" s="168" t="s">
        <v>349</v>
      </c>
      <c r="AT17" s="386" t="s">
        <v>311</v>
      </c>
      <c r="AU17" s="386" t="s">
        <v>311</v>
      </c>
      <c r="AV17" s="403">
        <v>-25.83</v>
      </c>
      <c r="AW17" s="403">
        <v>-27.57</v>
      </c>
      <c r="AX17" s="404">
        <v>-28.72</v>
      </c>
      <c r="AY17" s="404">
        <v>-32.46</v>
      </c>
      <c r="AZ17" s="404">
        <v>-29.5</v>
      </c>
      <c r="BA17" s="404">
        <v>-23.19434254828866</v>
      </c>
      <c r="BB17" s="404">
        <v>-21.321668997154099</v>
      </c>
      <c r="BC17" s="404">
        <v>-23.3862362657555</v>
      </c>
      <c r="BD17" s="404">
        <v>-22.2</v>
      </c>
      <c r="BE17" s="404">
        <v>-26.09</v>
      </c>
      <c r="BF17" s="404">
        <v>-22.366529668028306</v>
      </c>
      <c r="BG17" s="404">
        <v>-20.22</v>
      </c>
      <c r="BH17" s="386"/>
      <c r="BI17" s="206"/>
      <c r="BJ17" s="206"/>
      <c r="BK17" s="206"/>
      <c r="BL17" s="206"/>
      <c r="BM17" s="206"/>
      <c r="BN17" s="206"/>
      <c r="BO17" s="206"/>
      <c r="BP17" s="206"/>
      <c r="BQ17" s="206"/>
      <c r="BR17" s="229">
        <f t="shared" si="10"/>
        <v>-25.238231456602211</v>
      </c>
      <c r="BS17" s="230">
        <f t="shared" si="11"/>
        <v>14.050833314161785</v>
      </c>
      <c r="BT17" s="231">
        <f t="shared" si="13"/>
        <v>1.8742220595597647</v>
      </c>
      <c r="BU17" s="232" t="str">
        <f t="shared" ca="1" si="14"/>
        <v>N</v>
      </c>
      <c r="BV17" s="94" t="s">
        <v>245</v>
      </c>
      <c r="BW17" s="233" t="s">
        <v>287</v>
      </c>
      <c r="BY17" s="95"/>
    </row>
    <row r="18" spans="1:77" s="353" customFormat="1" ht="57.75" customHeight="1">
      <c r="B18" s="467" t="s">
        <v>0</v>
      </c>
      <c r="C18" s="433" t="s">
        <v>479</v>
      </c>
      <c r="D18" s="326">
        <v>0.105</v>
      </c>
      <c r="E18" s="293">
        <v>0.1</v>
      </c>
      <c r="F18" s="294" t="s">
        <v>95</v>
      </c>
      <c r="G18" s="293"/>
      <c r="H18" s="295" t="s">
        <v>55</v>
      </c>
      <c r="I18" s="293"/>
      <c r="J18" s="204"/>
      <c r="K18" s="204"/>
      <c r="L18" s="295" t="s">
        <v>55</v>
      </c>
      <c r="M18" s="293"/>
      <c r="N18" s="293"/>
      <c r="O18" s="293"/>
      <c r="P18" s="295" t="s">
        <v>11</v>
      </c>
      <c r="Q18" s="286"/>
      <c r="R18" s="287"/>
      <c r="S18" s="289"/>
      <c r="T18" s="291"/>
      <c r="U18" s="291"/>
      <c r="V18" s="291"/>
      <c r="W18" s="291"/>
      <c r="X18" s="291"/>
      <c r="Y18" s="373"/>
      <c r="Z18" s="84" t="s">
        <v>151</v>
      </c>
      <c r="AA18" s="373" t="s">
        <v>486</v>
      </c>
      <c r="AB18" s="374"/>
      <c r="AC18" s="84" t="s">
        <v>143</v>
      </c>
      <c r="AD18" s="85" t="s">
        <v>160</v>
      </c>
      <c r="AE18" s="84" t="s">
        <v>161</v>
      </c>
      <c r="AF18" s="86" t="s">
        <v>447</v>
      </c>
      <c r="AG18" s="86" t="s">
        <v>162</v>
      </c>
      <c r="AH18" s="86" t="s">
        <v>163</v>
      </c>
      <c r="AI18" s="86" t="s">
        <v>148</v>
      </c>
      <c r="AJ18" s="86" t="s">
        <v>448</v>
      </c>
      <c r="AK18" s="96"/>
      <c r="AL18" s="88" t="s">
        <v>149</v>
      </c>
      <c r="AM18" s="89" t="s">
        <v>164</v>
      </c>
      <c r="AN18" s="88"/>
      <c r="AO18" s="90">
        <v>8.5099999999999995E-2</v>
      </c>
      <c r="AP18" s="190">
        <v>0.08</v>
      </c>
      <c r="AQ18" s="91"/>
      <c r="AR18" s="90">
        <v>0.1062</v>
      </c>
      <c r="AS18" s="190">
        <v>8.6199999999999999E-2</v>
      </c>
      <c r="AT18" s="97" t="s">
        <v>165</v>
      </c>
      <c r="AU18" s="97" t="s">
        <v>165</v>
      </c>
      <c r="AV18" s="97" t="s">
        <v>165</v>
      </c>
      <c r="AW18" s="98">
        <v>0.1464</v>
      </c>
      <c r="AX18" s="98">
        <v>0.14960000000000001</v>
      </c>
      <c r="AY18" s="93">
        <v>0.15140000000000001</v>
      </c>
      <c r="AZ18" s="93">
        <v>0.15079999999999999</v>
      </c>
      <c r="BA18" s="93">
        <v>0.152213361539008</v>
      </c>
      <c r="BB18" s="93">
        <f>828705/5433623</f>
        <v>0.15251426166298251</v>
      </c>
      <c r="BC18" s="93">
        <f>829825/5382917</f>
        <v>0.15415898108776338</v>
      </c>
      <c r="BD18" s="93">
        <f>831576.05456/5368834.299</f>
        <v>0.1548894989578817</v>
      </c>
      <c r="BE18" s="93">
        <f>840007.713990001/5333502.97335</f>
        <v>0.15749643680471936</v>
      </c>
      <c r="BF18" s="93">
        <f>843882.000719997/5264748.94318</f>
        <v>0.16028912486191174</v>
      </c>
      <c r="BG18" s="93">
        <f>846058.057370008/5277491.15576</f>
        <v>0.16031444343522902</v>
      </c>
      <c r="BH18" s="93">
        <f>847434.153269995/5333610.94634</f>
        <v>0.15888563335342568</v>
      </c>
      <c r="BI18" s="93"/>
      <c r="BJ18" s="93"/>
      <c r="BK18" s="93"/>
      <c r="BL18" s="93"/>
      <c r="BM18" s="93"/>
      <c r="BN18" s="93"/>
      <c r="BO18" s="93"/>
      <c r="BP18" s="93"/>
      <c r="BQ18" s="93"/>
      <c r="BR18" s="199">
        <f t="shared" si="10"/>
        <v>0.15408014514191012</v>
      </c>
      <c r="BS18" s="375">
        <f t="shared" si="11"/>
        <v>1.961624280658015E-5</v>
      </c>
      <c r="BT18" s="376">
        <f t="shared" si="13"/>
        <v>2.2145113911752716E-3</v>
      </c>
      <c r="BU18" s="377" t="str">
        <f t="shared" ca="1" si="14"/>
        <v>µ</v>
      </c>
      <c r="BV18" s="94"/>
      <c r="BW18" s="378" t="s">
        <v>278</v>
      </c>
      <c r="BY18" s="95"/>
    </row>
    <row r="19" spans="1:77" s="353" customFormat="1" ht="57.75" customHeight="1" thickBot="1">
      <c r="B19" s="468"/>
      <c r="C19" s="433" t="s">
        <v>480</v>
      </c>
      <c r="D19" s="326">
        <v>0.105</v>
      </c>
      <c r="E19" s="293">
        <v>0.1</v>
      </c>
      <c r="F19" s="294" t="s">
        <v>95</v>
      </c>
      <c r="G19" s="293"/>
      <c r="H19" s="295" t="s">
        <v>55</v>
      </c>
      <c r="I19" s="293"/>
      <c r="J19" s="204"/>
      <c r="K19" s="204"/>
      <c r="L19" s="295" t="s">
        <v>55</v>
      </c>
      <c r="M19" s="293"/>
      <c r="N19" s="293"/>
      <c r="O19" s="293"/>
      <c r="P19" s="295" t="s">
        <v>11</v>
      </c>
      <c r="Q19" s="286"/>
      <c r="R19" s="287"/>
      <c r="S19" s="289"/>
      <c r="T19" s="291"/>
      <c r="U19" s="291"/>
      <c r="V19" s="291"/>
      <c r="W19" s="291"/>
      <c r="X19" s="291"/>
      <c r="Y19" s="373"/>
      <c r="Z19" s="84" t="s">
        <v>151</v>
      </c>
      <c r="AA19" s="373" t="s">
        <v>486</v>
      </c>
      <c r="AB19" s="374"/>
      <c r="AC19" s="84" t="s">
        <v>143</v>
      </c>
      <c r="AD19" s="85" t="s">
        <v>322</v>
      </c>
      <c r="AE19" s="84" t="s">
        <v>161</v>
      </c>
      <c r="AF19" s="86" t="s">
        <v>447</v>
      </c>
      <c r="AG19" s="86" t="s">
        <v>162</v>
      </c>
      <c r="AH19" s="86" t="s">
        <v>163</v>
      </c>
      <c r="AI19" s="86" t="s">
        <v>148</v>
      </c>
      <c r="AJ19" s="86" t="s">
        <v>455</v>
      </c>
      <c r="AK19" s="96"/>
      <c r="AL19" s="88" t="s">
        <v>149</v>
      </c>
      <c r="AM19" s="89" t="s">
        <v>164</v>
      </c>
      <c r="AN19" s="88"/>
      <c r="AO19" s="90">
        <v>8.5099999999999995E-2</v>
      </c>
      <c r="AP19" s="190">
        <v>0.08</v>
      </c>
      <c r="AQ19" s="91"/>
      <c r="AR19" s="90">
        <v>0.1062</v>
      </c>
      <c r="AS19" s="190">
        <v>8.6199999999999999E-2</v>
      </c>
      <c r="AT19" s="97" t="s">
        <v>311</v>
      </c>
      <c r="AU19" s="97" t="s">
        <v>311</v>
      </c>
      <c r="AV19" s="97" t="s">
        <v>311</v>
      </c>
      <c r="AW19" s="98">
        <v>0.1777</v>
      </c>
      <c r="AX19" s="98">
        <v>0.18110000000000001</v>
      </c>
      <c r="AY19" s="93">
        <v>0.18340000000000001</v>
      </c>
      <c r="AZ19" s="93">
        <v>0.18149999999999999</v>
      </c>
      <c r="BA19" s="93">
        <v>0.18281759805758421</v>
      </c>
      <c r="BB19" s="93">
        <v>0.1828682637799115</v>
      </c>
      <c r="BC19" s="93">
        <v>0.18464742175908155</v>
      </c>
      <c r="BD19" s="93">
        <v>0.18506390455427713</v>
      </c>
      <c r="BE19" s="93">
        <v>0.18552012901601678</v>
      </c>
      <c r="BF19" s="93">
        <v>0.18823631667211985</v>
      </c>
      <c r="BG19" s="93">
        <v>0.18686662042701729</v>
      </c>
      <c r="BH19" s="93">
        <v>0.18504887387829294</v>
      </c>
      <c r="BI19" s="93"/>
      <c r="BJ19" s="93"/>
      <c r="BK19" s="93"/>
      <c r="BL19" s="93"/>
      <c r="BM19" s="93"/>
      <c r="BN19" s="93"/>
      <c r="BO19" s="93"/>
      <c r="BP19" s="93"/>
      <c r="BQ19" s="93"/>
      <c r="BR19" s="199">
        <f t="shared" si="10"/>
        <v>0.18373076067869179</v>
      </c>
      <c r="BS19" s="375">
        <f t="shared" si="11"/>
        <v>7.9677174155768457E-6</v>
      </c>
      <c r="BT19" s="376">
        <f t="shared" si="13"/>
        <v>1.411357273653348E-3</v>
      </c>
      <c r="BU19" s="377" t="str">
        <f t="shared" ca="1" si="14"/>
        <v>µ</v>
      </c>
      <c r="BV19" s="94"/>
      <c r="BW19" s="378" t="s">
        <v>278</v>
      </c>
      <c r="BY19" s="95"/>
    </row>
    <row r="20" spans="1:77" s="353" customFormat="1" ht="57.75" customHeight="1">
      <c r="B20" s="460" t="s">
        <v>9</v>
      </c>
      <c r="C20" s="249" t="s">
        <v>487</v>
      </c>
      <c r="D20" s="327"/>
      <c r="E20" s="297"/>
      <c r="F20" s="298"/>
      <c r="G20" s="299"/>
      <c r="H20" s="290"/>
      <c r="I20" s="296"/>
      <c r="J20" s="297"/>
      <c r="K20" s="299"/>
      <c r="L20" s="290"/>
      <c r="M20" s="296"/>
      <c r="N20" s="297"/>
      <c r="O20" s="299"/>
      <c r="P20" s="290"/>
      <c r="Q20" s="296"/>
      <c r="R20" s="297"/>
      <c r="S20" s="299"/>
      <c r="T20" s="291"/>
      <c r="U20" s="291"/>
      <c r="V20" s="291"/>
      <c r="W20" s="291"/>
      <c r="X20" s="291"/>
      <c r="Y20" s="373"/>
      <c r="Z20" s="84"/>
      <c r="AA20" s="86" t="s">
        <v>503</v>
      </c>
      <c r="AB20" s="374"/>
      <c r="AC20" s="84"/>
      <c r="AD20" s="85"/>
      <c r="AE20" s="84" t="s">
        <v>475</v>
      </c>
      <c r="AF20" s="86" t="s">
        <v>454</v>
      </c>
      <c r="AG20" s="86"/>
      <c r="AH20" s="86"/>
      <c r="AI20" s="86"/>
      <c r="AJ20" s="420" t="s">
        <v>496</v>
      </c>
      <c r="AK20" s="99"/>
      <c r="AL20" s="88"/>
      <c r="AM20" s="89"/>
      <c r="AN20" s="88"/>
      <c r="AO20" s="90"/>
      <c r="AP20" s="190"/>
      <c r="AQ20" s="91"/>
      <c r="AR20" s="90">
        <f>AS20+1.71%</f>
        <v>0.1101</v>
      </c>
      <c r="AS20" s="190">
        <v>9.2999999999999999E-2</v>
      </c>
      <c r="AT20" s="105"/>
      <c r="AU20" s="105"/>
      <c r="AV20" s="105"/>
      <c r="AW20" s="105"/>
      <c r="AX20" s="105"/>
      <c r="AY20" s="105"/>
      <c r="AZ20" s="105"/>
      <c r="BA20" s="105"/>
      <c r="BB20" s="105"/>
      <c r="BC20" s="105"/>
      <c r="BD20" s="105"/>
      <c r="BE20" s="105"/>
      <c r="BF20" s="105"/>
      <c r="BG20" s="105"/>
      <c r="BH20" s="105"/>
      <c r="BI20" s="161"/>
      <c r="BJ20" s="161"/>
      <c r="BK20" s="161"/>
      <c r="BL20" s="161"/>
      <c r="BM20" s="161"/>
      <c r="BN20" s="161"/>
      <c r="BO20" s="161"/>
      <c r="BP20" s="161"/>
      <c r="BQ20" s="161"/>
      <c r="BR20" s="199"/>
      <c r="BS20" s="375"/>
      <c r="BT20" s="376"/>
      <c r="BU20" s="377"/>
      <c r="BV20" s="94"/>
      <c r="BW20" s="378"/>
      <c r="BY20" s="95"/>
    </row>
    <row r="21" spans="1:77" s="353" customFormat="1" ht="57.75" customHeight="1">
      <c r="B21" s="461"/>
      <c r="C21" s="249" t="s">
        <v>488</v>
      </c>
      <c r="D21" s="327"/>
      <c r="E21" s="297"/>
      <c r="F21" s="298"/>
      <c r="G21" s="299"/>
      <c r="H21" s="290"/>
      <c r="I21" s="296"/>
      <c r="J21" s="297"/>
      <c r="K21" s="299"/>
      <c r="L21" s="290"/>
      <c r="M21" s="296"/>
      <c r="N21" s="297"/>
      <c r="O21" s="299"/>
      <c r="P21" s="290"/>
      <c r="Q21" s="296"/>
      <c r="R21" s="297"/>
      <c r="S21" s="299"/>
      <c r="T21" s="291"/>
      <c r="U21" s="291"/>
      <c r="V21" s="291"/>
      <c r="W21" s="291"/>
      <c r="X21" s="291"/>
      <c r="Y21" s="373"/>
      <c r="Z21" s="84"/>
      <c r="AA21" s="86" t="s">
        <v>503</v>
      </c>
      <c r="AB21" s="374"/>
      <c r="AC21" s="84"/>
      <c r="AD21" s="85"/>
      <c r="AE21" s="84" t="s">
        <v>475</v>
      </c>
      <c r="AF21" s="86" t="s">
        <v>454</v>
      </c>
      <c r="AG21" s="86"/>
      <c r="AH21" s="86"/>
      <c r="AI21" s="86"/>
      <c r="AJ21" s="420" t="s">
        <v>495</v>
      </c>
      <c r="AK21" s="99"/>
      <c r="AL21" s="88"/>
      <c r="AM21" s="89"/>
      <c r="AN21" s="88"/>
      <c r="AO21" s="90"/>
      <c r="AP21" s="190"/>
      <c r="AQ21" s="91"/>
      <c r="AR21" s="90">
        <f>AS21+2%</f>
        <v>0.1275</v>
      </c>
      <c r="AS21" s="190">
        <v>0.1075</v>
      </c>
      <c r="AT21" s="105"/>
      <c r="AU21" s="105"/>
      <c r="AV21" s="105"/>
      <c r="AW21" s="105"/>
      <c r="AX21" s="105"/>
      <c r="AY21" s="105"/>
      <c r="AZ21" s="105"/>
      <c r="BA21" s="105"/>
      <c r="BB21" s="105"/>
      <c r="BC21" s="105"/>
      <c r="BD21" s="105"/>
      <c r="BE21" s="105"/>
      <c r="BF21" s="105"/>
      <c r="BG21" s="105"/>
      <c r="BH21" s="105"/>
      <c r="BI21" s="161"/>
      <c r="BJ21" s="161"/>
      <c r="BK21" s="161"/>
      <c r="BL21" s="161"/>
      <c r="BM21" s="161"/>
      <c r="BN21" s="161"/>
      <c r="BO21" s="161"/>
      <c r="BP21" s="161"/>
      <c r="BQ21" s="161"/>
      <c r="BR21" s="199"/>
      <c r="BS21" s="375"/>
      <c r="BT21" s="376"/>
      <c r="BU21" s="377"/>
      <c r="BV21" s="94"/>
      <c r="BW21" s="378"/>
      <c r="BY21" s="95"/>
    </row>
    <row r="22" spans="1:77" s="353" customFormat="1" ht="57.75" customHeight="1">
      <c r="B22" s="461"/>
      <c r="C22" s="249" t="s">
        <v>489</v>
      </c>
      <c r="D22" s="327"/>
      <c r="E22" s="297"/>
      <c r="F22" s="298"/>
      <c r="G22" s="299"/>
      <c r="H22" s="290"/>
      <c r="I22" s="296"/>
      <c r="J22" s="297"/>
      <c r="K22" s="299"/>
      <c r="L22" s="290"/>
      <c r="M22" s="296"/>
      <c r="N22" s="297"/>
      <c r="O22" s="299"/>
      <c r="P22" s="290"/>
      <c r="Q22" s="296"/>
      <c r="R22" s="297"/>
      <c r="S22" s="299"/>
      <c r="T22" s="291"/>
      <c r="U22" s="291"/>
      <c r="V22" s="291"/>
      <c r="W22" s="291"/>
      <c r="X22" s="291"/>
      <c r="Y22" s="373"/>
      <c r="Z22" s="84"/>
      <c r="AA22" s="86" t="s">
        <v>503</v>
      </c>
      <c r="AB22" s="374"/>
      <c r="AC22" s="84"/>
      <c r="AD22" s="85"/>
      <c r="AE22" s="84" t="s">
        <v>475</v>
      </c>
      <c r="AF22" s="86" t="s">
        <v>454</v>
      </c>
      <c r="AG22" s="86"/>
      <c r="AH22" s="86"/>
      <c r="AI22" s="86"/>
      <c r="AJ22" s="420" t="s">
        <v>497</v>
      </c>
      <c r="AK22" s="99"/>
      <c r="AL22" s="88"/>
      <c r="AM22" s="89"/>
      <c r="AN22" s="88"/>
      <c r="AO22" s="90"/>
      <c r="AP22" s="190"/>
      <c r="AQ22" s="91"/>
      <c r="AR22" s="90">
        <f>AS22+2%</f>
        <v>0.14149999999999999</v>
      </c>
      <c r="AS22" s="190">
        <v>0.1215</v>
      </c>
      <c r="AT22" s="105"/>
      <c r="AU22" s="105"/>
      <c r="AV22" s="105"/>
      <c r="AW22" s="105"/>
      <c r="AX22" s="105"/>
      <c r="AY22" s="105"/>
      <c r="AZ22" s="105"/>
      <c r="BA22" s="105"/>
      <c r="BB22" s="105"/>
      <c r="BC22" s="105"/>
      <c r="BD22" s="105"/>
      <c r="BE22" s="105"/>
      <c r="BF22" s="105"/>
      <c r="BG22" s="105"/>
      <c r="BH22" s="105"/>
      <c r="BI22" s="161"/>
      <c r="BJ22" s="161"/>
      <c r="BK22" s="161"/>
      <c r="BL22" s="161"/>
      <c r="BM22" s="161"/>
      <c r="BN22" s="161"/>
      <c r="BO22" s="161"/>
      <c r="BP22" s="161"/>
      <c r="BQ22" s="161"/>
      <c r="BR22" s="199"/>
      <c r="BS22" s="375"/>
      <c r="BT22" s="376"/>
      <c r="BU22" s="377"/>
      <c r="BV22" s="94"/>
      <c r="BW22" s="378"/>
      <c r="BY22" s="95"/>
    </row>
    <row r="23" spans="1:77" s="353" customFormat="1" ht="57.75" customHeight="1" thickBot="1">
      <c r="B23" s="462"/>
      <c r="C23" s="249" t="s">
        <v>490</v>
      </c>
      <c r="D23" s="327"/>
      <c r="E23" s="297"/>
      <c r="F23" s="298"/>
      <c r="G23" s="299"/>
      <c r="H23" s="290"/>
      <c r="I23" s="296"/>
      <c r="J23" s="297"/>
      <c r="K23" s="299"/>
      <c r="L23" s="290"/>
      <c r="M23" s="296"/>
      <c r="N23" s="297"/>
      <c r="O23" s="299"/>
      <c r="P23" s="290"/>
      <c r="Q23" s="296"/>
      <c r="R23" s="297"/>
      <c r="S23" s="299"/>
      <c r="T23" s="291"/>
      <c r="U23" s="291"/>
      <c r="V23" s="291"/>
      <c r="W23" s="291"/>
      <c r="X23" s="291"/>
      <c r="Y23" s="373"/>
      <c r="Z23" s="84"/>
      <c r="AA23" s="86" t="s">
        <v>503</v>
      </c>
      <c r="AB23" s="374"/>
      <c r="AC23" s="84"/>
      <c r="AD23" s="85"/>
      <c r="AE23" s="84" t="s">
        <v>475</v>
      </c>
      <c r="AF23" s="86" t="s">
        <v>454</v>
      </c>
      <c r="AG23" s="86"/>
      <c r="AH23" s="86"/>
      <c r="AI23" s="86"/>
      <c r="AJ23" s="420" t="s">
        <v>498</v>
      </c>
      <c r="AK23" s="99"/>
      <c r="AL23" s="88"/>
      <c r="AM23" s="89"/>
      <c r="AN23" s="88"/>
      <c r="AO23" s="90"/>
      <c r="AP23" s="190"/>
      <c r="AQ23" s="91"/>
      <c r="AR23" s="90">
        <f>AS23+2%</f>
        <v>8.8000000000000009E-2</v>
      </c>
      <c r="AS23" s="190">
        <v>6.8000000000000005E-2</v>
      </c>
      <c r="AT23" s="105"/>
      <c r="AU23" s="105"/>
      <c r="AV23" s="105"/>
      <c r="AW23" s="105"/>
      <c r="AX23" s="105"/>
      <c r="AY23" s="105"/>
      <c r="AZ23" s="105"/>
      <c r="BA23" s="105"/>
      <c r="BB23" s="105"/>
      <c r="BC23" s="105"/>
      <c r="BD23" s="105"/>
      <c r="BE23" s="105"/>
      <c r="BF23" s="105"/>
      <c r="BG23" s="105"/>
      <c r="BH23" s="105"/>
      <c r="BI23" s="161"/>
      <c r="BJ23" s="161"/>
      <c r="BK23" s="161"/>
      <c r="BL23" s="161"/>
      <c r="BM23" s="161"/>
      <c r="BN23" s="161"/>
      <c r="BO23" s="161"/>
      <c r="BP23" s="161"/>
      <c r="BQ23" s="161"/>
      <c r="BR23" s="199"/>
      <c r="BS23" s="375"/>
      <c r="BT23" s="376"/>
      <c r="BU23" s="377"/>
      <c r="BV23" s="94"/>
      <c r="BW23" s="378"/>
      <c r="BY23" s="95"/>
    </row>
    <row r="24" spans="1:77" s="2" customFormat="1">
      <c r="A24" s="224"/>
      <c r="C24" s="59"/>
      <c r="G24" s="46"/>
      <c r="H24" s="31"/>
      <c r="K24" s="46"/>
      <c r="L24" s="31"/>
      <c r="O24" s="46"/>
      <c r="P24" s="31"/>
      <c r="S24" s="46"/>
      <c r="T24" s="1"/>
      <c r="U24" s="1"/>
      <c r="V24" s="1"/>
      <c r="W24" s="1"/>
      <c r="X24" s="1"/>
      <c r="Y24" s="184"/>
      <c r="Z24" s="186"/>
      <c r="AA24" s="185"/>
      <c r="AB24" s="183"/>
      <c r="BW24" s="211"/>
    </row>
    <row r="25" spans="1:77" s="2" customFormat="1">
      <c r="A25" s="224"/>
      <c r="C25" s="59"/>
      <c r="G25" s="46"/>
      <c r="H25" s="31"/>
      <c r="K25" s="46"/>
      <c r="L25" s="31"/>
      <c r="O25" s="46"/>
      <c r="P25" s="31"/>
      <c r="S25" s="46"/>
      <c r="T25" s="1"/>
      <c r="U25" s="1"/>
      <c r="V25" s="1"/>
      <c r="W25" s="1"/>
      <c r="X25" s="1"/>
      <c r="Y25" s="184"/>
      <c r="Z25" s="186"/>
      <c r="AA25" s="185"/>
      <c r="AB25" s="183"/>
      <c r="BW25" s="211"/>
    </row>
    <row r="26" spans="1:77" s="2" customFormat="1">
      <c r="A26" s="224"/>
      <c r="C26" s="59"/>
      <c r="G26" s="46"/>
      <c r="H26" s="31"/>
      <c r="K26" s="46"/>
      <c r="L26" s="31"/>
      <c r="O26" s="46"/>
      <c r="P26" s="31"/>
      <c r="S26" s="46"/>
      <c r="T26" s="1"/>
      <c r="U26" s="1"/>
      <c r="V26" s="1"/>
      <c r="W26" s="1"/>
      <c r="X26" s="1"/>
      <c r="Y26" s="184"/>
      <c r="Z26" s="186"/>
      <c r="AA26" s="185"/>
      <c r="AB26" s="183"/>
      <c r="BW26" s="211"/>
    </row>
    <row r="27" spans="1:77" s="2" customFormat="1">
      <c r="A27" s="224"/>
      <c r="C27" s="59"/>
      <c r="G27" s="46"/>
      <c r="H27" s="31"/>
      <c r="K27" s="46"/>
      <c r="L27" s="31"/>
      <c r="O27" s="46"/>
      <c r="P27" s="31"/>
      <c r="S27" s="46"/>
      <c r="T27" s="1"/>
      <c r="U27" s="1"/>
      <c r="V27" s="1"/>
      <c r="W27" s="1"/>
      <c r="X27" s="1"/>
      <c r="Y27" s="184"/>
      <c r="Z27" s="186"/>
      <c r="AA27" s="185"/>
      <c r="AB27" s="183"/>
      <c r="BW27" s="211"/>
    </row>
    <row r="28" spans="1:77" s="2" customFormat="1">
      <c r="A28" s="224"/>
      <c r="C28" s="59"/>
      <c r="G28" s="46"/>
      <c r="H28" s="31"/>
      <c r="K28" s="46"/>
      <c r="L28" s="31"/>
      <c r="O28" s="46"/>
      <c r="P28" s="31"/>
      <c r="S28" s="46"/>
      <c r="T28" s="1"/>
      <c r="U28" s="1"/>
      <c r="V28" s="1"/>
      <c r="W28" s="1"/>
      <c r="X28" s="1"/>
      <c r="Y28" s="184"/>
      <c r="Z28" s="186"/>
      <c r="AA28" s="185"/>
      <c r="AB28" s="183"/>
      <c r="BW28" s="211"/>
    </row>
    <row r="29" spans="1:77" s="2" customFormat="1">
      <c r="A29" s="224"/>
      <c r="C29" s="59"/>
      <c r="G29" s="46"/>
      <c r="H29" s="31"/>
      <c r="K29" s="46"/>
      <c r="L29" s="31"/>
      <c r="O29" s="46"/>
      <c r="P29" s="31"/>
      <c r="S29" s="46"/>
      <c r="T29" s="1"/>
      <c r="U29" s="1"/>
      <c r="V29" s="1"/>
      <c r="W29" s="1"/>
      <c r="X29" s="1"/>
      <c r="Y29" s="184"/>
      <c r="Z29" s="186"/>
      <c r="AA29" s="185"/>
      <c r="AB29" s="183"/>
      <c r="BW29" s="211"/>
    </row>
    <row r="30" spans="1:77" s="2" customFormat="1">
      <c r="A30" s="224"/>
      <c r="C30" s="59"/>
      <c r="G30" s="46"/>
      <c r="H30" s="31"/>
      <c r="K30" s="46"/>
      <c r="L30" s="31"/>
      <c r="O30" s="46"/>
      <c r="P30" s="31"/>
      <c r="S30" s="46"/>
      <c r="T30" s="1"/>
      <c r="U30" s="1"/>
      <c r="V30" s="1"/>
      <c r="W30" s="1"/>
      <c r="X30" s="1"/>
      <c r="Y30" s="184"/>
      <c r="Z30" s="186"/>
      <c r="AA30" s="185"/>
      <c r="AB30" s="183"/>
      <c r="BW30" s="211"/>
    </row>
    <row r="31" spans="1:77" s="2" customFormat="1">
      <c r="A31" s="224"/>
      <c r="C31" s="59"/>
      <c r="G31" s="46"/>
      <c r="H31" s="31"/>
      <c r="K31" s="46"/>
      <c r="L31" s="31"/>
      <c r="O31" s="46"/>
      <c r="P31" s="31"/>
      <c r="S31" s="46"/>
      <c r="T31" s="1"/>
      <c r="U31" s="1"/>
      <c r="V31" s="1"/>
      <c r="W31" s="1"/>
      <c r="X31" s="1"/>
      <c r="Y31" s="184"/>
      <c r="Z31" s="186"/>
      <c r="AA31" s="185"/>
      <c r="AB31" s="183"/>
      <c r="BW31" s="211"/>
    </row>
    <row r="32" spans="1:77" s="2" customFormat="1">
      <c r="A32" s="224"/>
      <c r="C32" s="59"/>
      <c r="G32" s="46"/>
      <c r="H32" s="31"/>
      <c r="K32" s="46"/>
      <c r="L32" s="31"/>
      <c r="O32" s="46"/>
      <c r="P32" s="31"/>
      <c r="S32" s="46"/>
      <c r="T32" s="1"/>
      <c r="U32" s="1"/>
      <c r="V32" s="1"/>
      <c r="W32" s="1"/>
      <c r="X32" s="1"/>
      <c r="Y32" s="184"/>
      <c r="Z32" s="186"/>
      <c r="AA32" s="185"/>
      <c r="AB32" s="183"/>
      <c r="BW32" s="211"/>
    </row>
    <row r="33" spans="1:75" s="2" customFormat="1">
      <c r="A33" s="224"/>
      <c r="C33" s="59"/>
      <c r="G33" s="46"/>
      <c r="H33" s="31"/>
      <c r="K33" s="46"/>
      <c r="L33" s="31"/>
      <c r="O33" s="46"/>
      <c r="P33" s="31"/>
      <c r="S33" s="46"/>
      <c r="T33" s="1"/>
      <c r="U33" s="1"/>
      <c r="V33" s="1"/>
      <c r="W33" s="1"/>
      <c r="X33" s="1"/>
      <c r="Y33" s="184"/>
      <c r="Z33" s="186"/>
      <c r="AA33" s="185"/>
      <c r="AB33" s="183"/>
      <c r="BW33" s="211"/>
    </row>
    <row r="34" spans="1:75" s="2" customFormat="1">
      <c r="A34" s="224"/>
      <c r="C34" s="59"/>
      <c r="G34" s="46"/>
      <c r="H34" s="31"/>
      <c r="K34" s="46"/>
      <c r="L34" s="31"/>
      <c r="O34" s="46"/>
      <c r="P34" s="31"/>
      <c r="S34" s="46"/>
      <c r="T34" s="1"/>
      <c r="U34" s="1"/>
      <c r="V34" s="1"/>
      <c r="W34" s="1"/>
      <c r="X34" s="1"/>
      <c r="Y34" s="184"/>
      <c r="Z34" s="186"/>
      <c r="AA34" s="185"/>
      <c r="AB34" s="183"/>
      <c r="BW34" s="211"/>
    </row>
    <row r="35" spans="1:75" s="2" customFormat="1">
      <c r="A35" s="224"/>
      <c r="C35" s="59"/>
      <c r="G35" s="46"/>
      <c r="H35" s="31"/>
      <c r="K35" s="46"/>
      <c r="L35" s="31"/>
      <c r="O35" s="46"/>
      <c r="P35" s="31"/>
      <c r="S35" s="46"/>
      <c r="T35" s="1"/>
      <c r="U35" s="1"/>
      <c r="V35" s="1"/>
      <c r="W35" s="1"/>
      <c r="X35" s="1"/>
      <c r="Y35" s="184"/>
      <c r="Z35" s="186"/>
      <c r="AA35" s="185"/>
      <c r="AB35" s="183"/>
      <c r="BW35" s="211"/>
    </row>
    <row r="36" spans="1:75" s="2" customFormat="1">
      <c r="A36" s="224"/>
      <c r="C36" s="59"/>
      <c r="G36" s="46"/>
      <c r="H36" s="31"/>
      <c r="K36" s="46"/>
      <c r="L36" s="31"/>
      <c r="O36" s="46"/>
      <c r="P36" s="31"/>
      <c r="S36" s="46"/>
      <c r="T36" s="1"/>
      <c r="U36" s="1"/>
      <c r="V36" s="1"/>
      <c r="W36" s="1"/>
      <c r="X36" s="1"/>
      <c r="Y36" s="184"/>
      <c r="Z36" s="186"/>
      <c r="AA36" s="185"/>
      <c r="AB36" s="183"/>
      <c r="BW36" s="211"/>
    </row>
    <row r="37" spans="1:75" s="2" customFormat="1">
      <c r="A37" s="224"/>
      <c r="C37" s="59"/>
      <c r="G37" s="46"/>
      <c r="H37" s="31"/>
      <c r="K37" s="46"/>
      <c r="L37" s="31"/>
      <c r="O37" s="46"/>
      <c r="P37" s="31"/>
      <c r="S37" s="46"/>
      <c r="T37" s="1"/>
      <c r="U37" s="1"/>
      <c r="V37" s="1"/>
      <c r="W37" s="1"/>
      <c r="X37" s="1"/>
      <c r="Y37" s="184"/>
      <c r="Z37" s="186"/>
      <c r="AA37" s="185"/>
      <c r="AB37" s="183"/>
      <c r="BW37" s="211"/>
    </row>
    <row r="38" spans="1:75" s="2" customFormat="1">
      <c r="A38" s="224"/>
      <c r="C38" s="59"/>
      <c r="G38" s="46"/>
      <c r="H38" s="31"/>
      <c r="K38" s="46"/>
      <c r="L38" s="31"/>
      <c r="O38" s="46"/>
      <c r="P38" s="31"/>
      <c r="S38" s="46"/>
      <c r="T38" s="1"/>
      <c r="U38" s="1"/>
      <c r="V38" s="1"/>
      <c r="W38" s="1"/>
      <c r="X38" s="1"/>
      <c r="Y38" s="184"/>
      <c r="Z38" s="186"/>
      <c r="AA38" s="185"/>
      <c r="AB38" s="183"/>
      <c r="BW38" s="211"/>
    </row>
    <row r="39" spans="1:75" s="2" customFormat="1">
      <c r="A39" s="224"/>
      <c r="C39" s="59"/>
      <c r="G39" s="46"/>
      <c r="H39" s="31"/>
      <c r="K39" s="46"/>
      <c r="L39" s="31"/>
      <c r="O39" s="46"/>
      <c r="P39" s="31"/>
      <c r="S39" s="46"/>
      <c r="T39" s="1"/>
      <c r="U39" s="1"/>
      <c r="V39" s="1"/>
      <c r="W39" s="1"/>
      <c r="X39" s="1"/>
      <c r="Y39" s="1"/>
      <c r="Z39" s="186"/>
      <c r="AA39" s="185"/>
      <c r="AB39" s="61"/>
      <c r="BW39" s="211"/>
    </row>
    <row r="40" spans="1:75" s="2" customFormat="1">
      <c r="A40" s="224"/>
      <c r="C40" s="59"/>
      <c r="G40" s="46"/>
      <c r="H40" s="31"/>
      <c r="K40" s="46"/>
      <c r="L40" s="31"/>
      <c r="O40" s="46"/>
      <c r="P40" s="31"/>
      <c r="S40" s="46"/>
      <c r="T40" s="1"/>
      <c r="U40" s="1"/>
      <c r="V40" s="1"/>
      <c r="W40" s="1"/>
      <c r="X40" s="1"/>
      <c r="Y40" s="1"/>
      <c r="Z40" s="186"/>
      <c r="AA40" s="185"/>
      <c r="AB40" s="61"/>
      <c r="BW40" s="211"/>
    </row>
    <row r="41" spans="1:75" s="2" customFormat="1">
      <c r="A41" s="224"/>
      <c r="C41" s="59"/>
      <c r="G41" s="46"/>
      <c r="H41" s="31"/>
      <c r="K41" s="46"/>
      <c r="L41" s="31"/>
      <c r="O41" s="46"/>
      <c r="P41" s="31"/>
      <c r="S41" s="46"/>
      <c r="T41" s="1"/>
      <c r="U41" s="1"/>
      <c r="V41" s="1"/>
      <c r="W41" s="1"/>
      <c r="X41" s="1"/>
      <c r="Y41" s="1"/>
      <c r="Z41" s="186"/>
      <c r="AA41" s="185"/>
      <c r="AB41" s="61"/>
      <c r="BW41" s="211"/>
    </row>
    <row r="42" spans="1:75" s="2" customFormat="1">
      <c r="A42" s="224"/>
      <c r="C42" s="59"/>
      <c r="G42" s="46"/>
      <c r="H42" s="31"/>
      <c r="K42" s="46"/>
      <c r="L42" s="31"/>
      <c r="O42" s="46"/>
      <c r="P42" s="31"/>
      <c r="S42" s="46"/>
      <c r="T42" s="1"/>
      <c r="U42" s="1"/>
      <c r="V42" s="1"/>
      <c r="W42" s="1"/>
      <c r="X42" s="1"/>
      <c r="Y42" s="1"/>
      <c r="Z42" s="186"/>
      <c r="AA42" s="185"/>
      <c r="AB42" s="61"/>
      <c r="BW42" s="211"/>
    </row>
    <row r="43" spans="1:75" s="2" customFormat="1">
      <c r="A43" s="224"/>
      <c r="C43" s="59"/>
      <c r="G43" s="46"/>
      <c r="H43" s="31"/>
      <c r="K43" s="46"/>
      <c r="L43" s="31"/>
      <c r="O43" s="46"/>
      <c r="P43" s="31"/>
      <c r="S43" s="46"/>
      <c r="T43" s="1"/>
      <c r="U43" s="1"/>
      <c r="V43" s="1"/>
      <c r="W43" s="1"/>
      <c r="X43" s="1"/>
      <c r="Y43" s="1"/>
      <c r="Z43" s="186"/>
      <c r="AA43" s="185"/>
      <c r="AB43" s="61"/>
      <c r="BW43" s="211"/>
    </row>
    <row r="44" spans="1:75" s="2" customFormat="1">
      <c r="A44" s="224"/>
      <c r="C44" s="59"/>
      <c r="G44" s="46"/>
      <c r="H44" s="31"/>
      <c r="K44" s="46"/>
      <c r="L44" s="31"/>
      <c r="O44" s="46"/>
      <c r="P44" s="31"/>
      <c r="S44" s="46"/>
      <c r="T44" s="1"/>
      <c r="U44" s="1"/>
      <c r="V44" s="1"/>
      <c r="W44" s="1"/>
      <c r="X44" s="1"/>
      <c r="Y44" s="1"/>
      <c r="Z44" s="186"/>
      <c r="AA44" s="185"/>
      <c r="AB44" s="61"/>
      <c r="BW44" s="211"/>
    </row>
    <row r="45" spans="1:75">
      <c r="A45" s="225"/>
    </row>
    <row r="46" spans="1:75">
      <c r="A46" s="225"/>
    </row>
    <row r="47" spans="1:75">
      <c r="A47" s="225"/>
    </row>
    <row r="48" spans="1:75">
      <c r="A48" s="225"/>
    </row>
    <row r="49" spans="1:1">
      <c r="A49" s="225"/>
    </row>
    <row r="50" spans="1:1">
      <c r="A50" s="225"/>
    </row>
    <row r="51" spans="1:1">
      <c r="A51" s="225"/>
    </row>
    <row r="52" spans="1:1">
      <c r="A52" s="225"/>
    </row>
    <row r="53" spans="1:1">
      <c r="A53" s="225"/>
    </row>
    <row r="54" spans="1:1">
      <c r="A54" s="225"/>
    </row>
    <row r="55" spans="1:1">
      <c r="A55" s="225"/>
    </row>
    <row r="56" spans="1:1">
      <c r="A56" s="225"/>
    </row>
    <row r="57" spans="1:1">
      <c r="A57" s="225"/>
    </row>
    <row r="58" spans="1:1">
      <c r="A58" s="225"/>
    </row>
    <row r="59" spans="1:1">
      <c r="A59" s="225"/>
    </row>
    <row r="60" spans="1:1">
      <c r="A60" s="225"/>
    </row>
    <row r="61" spans="1:1">
      <c r="A61" s="225"/>
    </row>
    <row r="62" spans="1:1">
      <c r="A62" s="225"/>
    </row>
    <row r="63" spans="1:1">
      <c r="A63" s="225"/>
    </row>
    <row r="64" spans="1:1">
      <c r="A64" s="225"/>
    </row>
    <row r="65" spans="1:1">
      <c r="A65" s="225"/>
    </row>
    <row r="66" spans="1:1">
      <c r="A66" s="225"/>
    </row>
    <row r="67" spans="1:1">
      <c r="A67" s="225"/>
    </row>
    <row r="68" spans="1:1">
      <c r="A68" s="225"/>
    </row>
    <row r="69" spans="1:1">
      <c r="A69" s="225"/>
    </row>
    <row r="70" spans="1:1">
      <c r="A70" s="225"/>
    </row>
    <row r="71" spans="1:1">
      <c r="A71" s="225"/>
    </row>
    <row r="72" spans="1:1">
      <c r="A72" s="225"/>
    </row>
    <row r="73" spans="1:1">
      <c r="A73" s="225"/>
    </row>
    <row r="74" spans="1:1">
      <c r="A74" s="225"/>
    </row>
    <row r="75" spans="1:1">
      <c r="A75" s="225"/>
    </row>
    <row r="76" spans="1:1">
      <c r="A76" s="225"/>
    </row>
    <row r="77" spans="1:1">
      <c r="A77" s="225"/>
    </row>
    <row r="78" spans="1:1">
      <c r="A78" s="225"/>
    </row>
    <row r="79" spans="1:1">
      <c r="A79" s="225"/>
    </row>
    <row r="80" spans="1:1">
      <c r="A80" s="225"/>
    </row>
    <row r="81" spans="1:1">
      <c r="A81" s="225"/>
    </row>
    <row r="82" spans="1:1">
      <c r="A82" s="225"/>
    </row>
    <row r="83" spans="1:1">
      <c r="A83" s="225"/>
    </row>
    <row r="84" spans="1:1">
      <c r="A84" s="225"/>
    </row>
    <row r="85" spans="1:1">
      <c r="A85" s="225"/>
    </row>
    <row r="86" spans="1:1">
      <c r="A86" s="225"/>
    </row>
    <row r="87" spans="1:1">
      <c r="A87" s="225"/>
    </row>
  </sheetData>
  <protectedRanges>
    <protectedRange password="DC35" sqref="AT17:AU17 BB17" name="BSPR JULY_6"/>
    <protectedRange password="DC35" sqref="AS17" name="BSPR JULY_7"/>
    <protectedRange password="DC35" sqref="AQ17" name="BSPR JULY_7_1"/>
  </protectedRanges>
  <autoFilter ref="B2:CN2"/>
  <mergeCells count="9">
    <mergeCell ref="B20:B23"/>
    <mergeCell ref="AC1:BG1"/>
    <mergeCell ref="B3:B5"/>
    <mergeCell ref="B10:B11"/>
    <mergeCell ref="B18:B19"/>
    <mergeCell ref="B14:B15"/>
    <mergeCell ref="B16:B17"/>
    <mergeCell ref="B6:B8"/>
    <mergeCell ref="W1:X1"/>
  </mergeCells>
  <conditionalFormatting sqref="AY9">
    <cfRule type="containsBlanks" dxfId="190" priority="189">
      <formula>LEN(TRIM(AY9))=0</formula>
    </cfRule>
    <cfRule type="cellIs" dxfId="189" priority="190" operator="lessThanOrEqual">
      <formula>-135</formula>
    </cfRule>
    <cfRule type="cellIs" dxfId="188" priority="191" operator="between">
      <formula>-134</formula>
      <formula>-125</formula>
    </cfRule>
    <cfRule type="cellIs" dxfId="187" priority="192" operator="between">
      <formula>-124</formula>
      <formula>-101</formula>
    </cfRule>
    <cfRule type="cellIs" dxfId="186" priority="193" operator="greaterThanOrEqual">
      <formula>-100</formula>
    </cfRule>
  </conditionalFormatting>
  <conditionalFormatting sqref="AZ9:BD9">
    <cfRule type="containsBlanks" dxfId="185" priority="184">
      <formula>LEN(TRIM(AZ9))=0</formula>
    </cfRule>
    <cfRule type="cellIs" dxfId="184" priority="185" operator="lessThanOrEqual">
      <formula>-135</formula>
    </cfRule>
    <cfRule type="cellIs" dxfId="183" priority="186" operator="between">
      <formula>-134</formula>
      <formula>-125</formula>
    </cfRule>
    <cfRule type="cellIs" dxfId="182" priority="187" operator="between">
      <formula>-124</formula>
      <formula>-101</formula>
    </cfRule>
    <cfRule type="cellIs" dxfId="181" priority="188" operator="greaterThanOrEqual">
      <formula>-100</formula>
    </cfRule>
  </conditionalFormatting>
  <conditionalFormatting sqref="BE9">
    <cfRule type="containsBlanks" dxfId="180" priority="179">
      <formula>LEN(TRIM(BE9))=0</formula>
    </cfRule>
    <cfRule type="cellIs" dxfId="179" priority="180" operator="lessThanOrEqual">
      <formula>-135</formula>
    </cfRule>
    <cfRule type="cellIs" dxfId="178" priority="181" operator="between">
      <formula>-134</formula>
      <formula>-125</formula>
    </cfRule>
    <cfRule type="cellIs" dxfId="177" priority="182" operator="between">
      <formula>-124</formula>
      <formula>-101</formula>
    </cfRule>
    <cfRule type="cellIs" dxfId="176" priority="183" operator="greaterThanOrEqual">
      <formula>-100</formula>
    </cfRule>
  </conditionalFormatting>
  <conditionalFormatting sqref="BF9">
    <cfRule type="containsBlanks" dxfId="175" priority="174">
      <formula>LEN(TRIM(BF9))=0</formula>
    </cfRule>
    <cfRule type="cellIs" dxfId="174" priority="175" operator="lessThanOrEqual">
      <formula>-135</formula>
    </cfRule>
    <cfRule type="cellIs" dxfId="173" priority="176" operator="between">
      <formula>-134</formula>
      <formula>-125</formula>
    </cfRule>
    <cfRule type="cellIs" dxfId="172" priority="177" operator="between">
      <formula>-124</formula>
      <formula>-101</formula>
    </cfRule>
    <cfRule type="cellIs" dxfId="171" priority="178" operator="greaterThanOrEqual">
      <formula>-100</formula>
    </cfRule>
  </conditionalFormatting>
  <conditionalFormatting sqref="BG9:BH9">
    <cfRule type="containsBlanks" dxfId="170" priority="169">
      <formula>LEN(TRIM(BG9))=0</formula>
    </cfRule>
    <cfRule type="cellIs" dxfId="169" priority="170" operator="lessThanOrEqual">
      <formula>-135</formula>
    </cfRule>
    <cfRule type="cellIs" dxfId="168" priority="171" operator="between">
      <formula>-134</formula>
      <formula>-125</formula>
    </cfRule>
    <cfRule type="cellIs" dxfId="167" priority="172" operator="between">
      <formula>-124</formula>
      <formula>-101</formula>
    </cfRule>
    <cfRule type="cellIs" dxfId="166" priority="173" operator="greaterThanOrEqual">
      <formula>-100</formula>
    </cfRule>
  </conditionalFormatting>
  <conditionalFormatting sqref="AY12">
    <cfRule type="containsBlanks" dxfId="165" priority="164">
      <formula>LEN(TRIM(AY12))=0</formula>
    </cfRule>
    <cfRule type="cellIs" dxfId="164" priority="165" operator="lessThanOrEqual">
      <formula>-135</formula>
    </cfRule>
    <cfRule type="cellIs" dxfId="163" priority="166" operator="between">
      <formula>-134</formula>
      <formula>-125</formula>
    </cfRule>
    <cfRule type="cellIs" dxfId="162" priority="167" operator="between">
      <formula>-124</formula>
      <formula>-101</formula>
    </cfRule>
    <cfRule type="cellIs" dxfId="161" priority="168" operator="greaterThanOrEqual">
      <formula>-100</formula>
    </cfRule>
  </conditionalFormatting>
  <conditionalFormatting sqref="AZ12:BD12">
    <cfRule type="containsBlanks" dxfId="160" priority="159">
      <formula>LEN(TRIM(AZ12))=0</formula>
    </cfRule>
    <cfRule type="cellIs" dxfId="159" priority="160" operator="lessThanOrEqual">
      <formula>-135</formula>
    </cfRule>
    <cfRule type="cellIs" dxfId="158" priority="161" operator="between">
      <formula>-134</formula>
      <formula>-125</formula>
    </cfRule>
    <cfRule type="cellIs" dxfId="157" priority="162" operator="between">
      <formula>-124</formula>
      <formula>-101</formula>
    </cfRule>
    <cfRule type="cellIs" dxfId="156" priority="163" operator="greaterThanOrEqual">
      <formula>-100</formula>
    </cfRule>
  </conditionalFormatting>
  <conditionalFormatting sqref="BE12">
    <cfRule type="containsBlanks" dxfId="155" priority="154">
      <formula>LEN(TRIM(BE12))=0</formula>
    </cfRule>
    <cfRule type="cellIs" dxfId="154" priority="155" operator="lessThanOrEqual">
      <formula>-135</formula>
    </cfRule>
    <cfRule type="cellIs" dxfId="153" priority="156" operator="between">
      <formula>-134</formula>
      <formula>-125</formula>
    </cfRule>
    <cfRule type="cellIs" dxfId="152" priority="157" operator="between">
      <formula>-124</formula>
      <formula>-101</formula>
    </cfRule>
    <cfRule type="cellIs" dxfId="151" priority="158" operator="greaterThanOrEqual">
      <formula>-100</formula>
    </cfRule>
  </conditionalFormatting>
  <conditionalFormatting sqref="BF12">
    <cfRule type="containsBlanks" dxfId="150" priority="149">
      <formula>LEN(TRIM(BF12))=0</formula>
    </cfRule>
    <cfRule type="cellIs" dxfId="149" priority="150" operator="lessThanOrEqual">
      <formula>-135</formula>
    </cfRule>
    <cfRule type="cellIs" dxfId="148" priority="151" operator="between">
      <formula>-134</formula>
      <formula>-125</formula>
    </cfRule>
    <cfRule type="cellIs" dxfId="147" priority="152" operator="between">
      <formula>-124</formula>
      <formula>-101</formula>
    </cfRule>
    <cfRule type="cellIs" dxfId="146" priority="153" operator="greaterThanOrEqual">
      <formula>-100</formula>
    </cfRule>
  </conditionalFormatting>
  <conditionalFormatting sqref="BG12">
    <cfRule type="containsBlanks" dxfId="145" priority="144">
      <formula>LEN(TRIM(BG12))=0</formula>
    </cfRule>
    <cfRule type="cellIs" dxfId="144" priority="145" operator="lessThanOrEqual">
      <formula>-135</formula>
    </cfRule>
    <cfRule type="cellIs" dxfId="143" priority="146" operator="between">
      <formula>-134</formula>
      <formula>-125</formula>
    </cfRule>
    <cfRule type="cellIs" dxfId="142" priority="147" operator="between">
      <formula>-124</formula>
      <formula>-101</formula>
    </cfRule>
    <cfRule type="cellIs" dxfId="141" priority="148" operator="greaterThanOrEqual">
      <formula>-100</formula>
    </cfRule>
  </conditionalFormatting>
  <conditionalFormatting sqref="AY14">
    <cfRule type="containsBlanks" dxfId="140" priority="139">
      <formula>LEN(TRIM(AY14))=0</formula>
    </cfRule>
    <cfRule type="cellIs" dxfId="139" priority="140" operator="lessThan">
      <formula>-15</formula>
    </cfRule>
    <cfRule type="cellIs" dxfId="138" priority="141" operator="between">
      <formula>-14</formula>
      <formula>-14.9</formula>
    </cfRule>
    <cfRule type="cellIs" dxfId="137" priority="142" operator="between">
      <formula>-12</formula>
      <formula>-13.9</formula>
    </cfRule>
    <cfRule type="cellIs" dxfId="136" priority="143" operator="greaterThan">
      <formula>-12</formula>
    </cfRule>
  </conditionalFormatting>
  <conditionalFormatting sqref="AZ14:BD14">
    <cfRule type="containsBlanks" dxfId="135" priority="134">
      <formula>LEN(TRIM(AZ14))=0</formula>
    </cfRule>
    <cfRule type="cellIs" dxfId="134" priority="135" operator="lessThanOrEqual">
      <formula>-15</formula>
    </cfRule>
    <cfRule type="cellIs" dxfId="133" priority="136" operator="between">
      <formula>-14</formula>
      <formula>-14.9</formula>
    </cfRule>
    <cfRule type="cellIs" dxfId="132" priority="137" operator="between">
      <formula>-12</formula>
      <formula>-13.9</formula>
    </cfRule>
    <cfRule type="cellIs" dxfId="131" priority="138" operator="greaterThan">
      <formula>-12</formula>
    </cfRule>
  </conditionalFormatting>
  <conditionalFormatting sqref="BE14">
    <cfRule type="containsBlanks" dxfId="130" priority="129">
      <formula>LEN(TRIM(BE14))=0</formula>
    </cfRule>
    <cfRule type="cellIs" dxfId="129" priority="130" operator="lessThanOrEqual">
      <formula>-15</formula>
    </cfRule>
    <cfRule type="cellIs" dxfId="128" priority="131" operator="between">
      <formula>-14</formula>
      <formula>-14.9</formula>
    </cfRule>
    <cfRule type="cellIs" dxfId="127" priority="132" operator="between">
      <formula>-12</formula>
      <formula>-13.9</formula>
    </cfRule>
    <cfRule type="cellIs" dxfId="126" priority="133" operator="greaterThan">
      <formula>-12</formula>
    </cfRule>
  </conditionalFormatting>
  <conditionalFormatting sqref="AY15">
    <cfRule type="containsBlanks" dxfId="125" priority="124">
      <formula>LEN(TRIM(AY15))=0</formula>
    </cfRule>
    <cfRule type="cellIs" dxfId="124" priority="125" operator="lessThanOrEqual">
      <formula>-135</formula>
    </cfRule>
    <cfRule type="cellIs" dxfId="123" priority="126" operator="between">
      <formula>-134</formula>
      <formula>-125</formula>
    </cfRule>
    <cfRule type="cellIs" dxfId="122" priority="127" operator="between">
      <formula>-124</formula>
      <formula>-101</formula>
    </cfRule>
    <cfRule type="cellIs" dxfId="121" priority="128" operator="greaterThanOrEqual">
      <formula>-100</formula>
    </cfRule>
  </conditionalFormatting>
  <conditionalFormatting sqref="AZ15:BD15">
    <cfRule type="containsBlanks" dxfId="120" priority="119">
      <formula>LEN(TRIM(AZ15))=0</formula>
    </cfRule>
    <cfRule type="cellIs" dxfId="119" priority="120" operator="lessThanOrEqual">
      <formula>-135</formula>
    </cfRule>
    <cfRule type="cellIs" dxfId="118" priority="121" operator="between">
      <formula>-134</formula>
      <formula>-125</formula>
    </cfRule>
    <cfRule type="cellIs" dxfId="117" priority="122" operator="between">
      <formula>-124</formula>
      <formula>-101</formula>
    </cfRule>
    <cfRule type="cellIs" dxfId="116" priority="123" operator="greaterThanOrEqual">
      <formula>-100</formula>
    </cfRule>
  </conditionalFormatting>
  <conditionalFormatting sqref="BE15">
    <cfRule type="containsBlanks" dxfId="115" priority="114">
      <formula>LEN(TRIM(BE15))=0</formula>
    </cfRule>
    <cfRule type="cellIs" dxfId="114" priority="115" operator="lessThanOrEqual">
      <formula>-135</formula>
    </cfRule>
    <cfRule type="cellIs" dxfId="113" priority="116" operator="between">
      <formula>-134</formula>
      <formula>-125</formula>
    </cfRule>
    <cfRule type="cellIs" dxfId="112" priority="117" operator="between">
      <formula>-124</formula>
      <formula>-101</formula>
    </cfRule>
    <cfRule type="cellIs" dxfId="111" priority="118" operator="greaterThanOrEqual">
      <formula>-100</formula>
    </cfRule>
  </conditionalFormatting>
  <conditionalFormatting sqref="BF14">
    <cfRule type="containsBlanks" dxfId="110" priority="109">
      <formula>LEN(TRIM(BF14))=0</formula>
    </cfRule>
    <cfRule type="cellIs" dxfId="109" priority="110" operator="lessThanOrEqual">
      <formula>-15</formula>
    </cfRule>
    <cfRule type="cellIs" dxfId="108" priority="111" operator="between">
      <formula>-14</formula>
      <formula>-14.9</formula>
    </cfRule>
    <cfRule type="cellIs" dxfId="107" priority="112" operator="between">
      <formula>-12</formula>
      <formula>-13.9</formula>
    </cfRule>
    <cfRule type="cellIs" dxfId="106" priority="113" operator="greaterThan">
      <formula>-12</formula>
    </cfRule>
  </conditionalFormatting>
  <conditionalFormatting sqref="BF15">
    <cfRule type="containsBlanks" dxfId="105" priority="104">
      <formula>LEN(TRIM(BF15))=0</formula>
    </cfRule>
    <cfRule type="cellIs" dxfId="104" priority="105" operator="lessThanOrEqual">
      <formula>-135</formula>
    </cfRule>
    <cfRule type="cellIs" dxfId="103" priority="106" operator="between">
      <formula>-134</formula>
      <formula>-125</formula>
    </cfRule>
    <cfRule type="cellIs" dxfId="102" priority="107" operator="between">
      <formula>-124</formula>
      <formula>-101</formula>
    </cfRule>
    <cfRule type="cellIs" dxfId="101" priority="108" operator="greaterThanOrEqual">
      <formula>-100</formula>
    </cfRule>
  </conditionalFormatting>
  <conditionalFormatting sqref="BG14">
    <cfRule type="containsBlanks" dxfId="100" priority="99">
      <formula>LEN(TRIM(BG14))=0</formula>
    </cfRule>
    <cfRule type="cellIs" dxfId="99" priority="100" operator="lessThanOrEqual">
      <formula>-15</formula>
    </cfRule>
    <cfRule type="cellIs" dxfId="98" priority="101" operator="between">
      <formula>-14</formula>
      <formula>-14.9</formula>
    </cfRule>
    <cfRule type="cellIs" dxfId="97" priority="102" operator="between">
      <formula>-12</formula>
      <formula>-13.9</formula>
    </cfRule>
    <cfRule type="cellIs" dxfId="96" priority="103" operator="greaterThan">
      <formula>-12</formula>
    </cfRule>
  </conditionalFormatting>
  <conditionalFormatting sqref="BH14">
    <cfRule type="containsBlanks" dxfId="95" priority="94">
      <formula>LEN(TRIM(BH14))=0</formula>
    </cfRule>
    <cfRule type="cellIs" dxfId="94" priority="95" operator="lessThanOrEqual">
      <formula>-15</formula>
    </cfRule>
    <cfRule type="cellIs" dxfId="93" priority="96" operator="between">
      <formula>-14</formula>
      <formula>-14.9</formula>
    </cfRule>
    <cfRule type="cellIs" dxfId="92" priority="97" operator="between">
      <formula>-12</formula>
      <formula>-13.9</formula>
    </cfRule>
    <cfRule type="cellIs" dxfId="91" priority="98" operator="greaterThan">
      <formula>-12</formula>
    </cfRule>
  </conditionalFormatting>
  <conditionalFormatting sqref="BG15:BH15">
    <cfRule type="containsBlanks" dxfId="90" priority="89">
      <formula>LEN(TRIM(BG15))=0</formula>
    </cfRule>
    <cfRule type="cellIs" dxfId="89" priority="90" operator="lessThanOrEqual">
      <formula>-135</formula>
    </cfRule>
    <cfRule type="cellIs" dxfId="88" priority="91" operator="between">
      <formula>-134</formula>
      <formula>-125</formula>
    </cfRule>
    <cfRule type="cellIs" dxfId="87" priority="92" operator="between">
      <formula>-124</formula>
      <formula>-101</formula>
    </cfRule>
    <cfRule type="cellIs" dxfId="86" priority="93" operator="greaterThanOrEqual">
      <formula>-100</formula>
    </cfRule>
  </conditionalFormatting>
  <conditionalFormatting sqref="AY16">
    <cfRule type="containsBlanks" dxfId="85" priority="84">
      <formula>LEN(TRIM(AY16))=0</formula>
    </cfRule>
    <cfRule type="cellIs" dxfId="84" priority="85" operator="lessThan">
      <formula>-15</formula>
    </cfRule>
    <cfRule type="cellIs" dxfId="83" priority="86" operator="between">
      <formula>-14</formula>
      <formula>-14.9</formula>
    </cfRule>
    <cfRule type="cellIs" dxfId="82" priority="87" operator="between">
      <formula>-12</formula>
      <formula>-13.9</formula>
    </cfRule>
    <cfRule type="cellIs" dxfId="81" priority="88" operator="greaterThan">
      <formula>-12</formula>
    </cfRule>
  </conditionalFormatting>
  <conditionalFormatting sqref="AZ16:BD16">
    <cfRule type="containsBlanks" dxfId="80" priority="79">
      <formula>LEN(TRIM(AZ16))=0</formula>
    </cfRule>
    <cfRule type="cellIs" dxfId="79" priority="80" operator="lessThanOrEqual">
      <formula>-15</formula>
    </cfRule>
    <cfRule type="cellIs" dxfId="78" priority="81" operator="between">
      <formula>-14</formula>
      <formula>-14.9</formula>
    </cfRule>
    <cfRule type="cellIs" dxfId="77" priority="82" operator="between">
      <formula>-12</formula>
      <formula>-13.9</formula>
    </cfRule>
    <cfRule type="cellIs" dxfId="76" priority="83" operator="greaterThan">
      <formula>-12</formula>
    </cfRule>
  </conditionalFormatting>
  <conditionalFormatting sqref="BE16">
    <cfRule type="containsBlanks" dxfId="75" priority="74">
      <formula>LEN(TRIM(BE16))=0</formula>
    </cfRule>
    <cfRule type="cellIs" dxfId="74" priority="75" operator="lessThanOrEqual">
      <formula>-15</formula>
    </cfRule>
    <cfRule type="cellIs" dxfId="73" priority="76" operator="between">
      <formula>-14</formula>
      <formula>-14.9</formula>
    </cfRule>
    <cfRule type="cellIs" dxfId="72" priority="77" operator="between">
      <formula>-12</formula>
      <formula>-13.9</formula>
    </cfRule>
    <cfRule type="cellIs" dxfId="71" priority="78" operator="greaterThan">
      <formula>-12</formula>
    </cfRule>
  </conditionalFormatting>
  <conditionalFormatting sqref="BF16">
    <cfRule type="containsBlanks" dxfId="70" priority="69">
      <formula>LEN(TRIM(BF16))=0</formula>
    </cfRule>
    <cfRule type="cellIs" dxfId="69" priority="70" operator="lessThanOrEqual">
      <formula>-15</formula>
    </cfRule>
    <cfRule type="cellIs" dxfId="68" priority="71" operator="between">
      <formula>-14</formula>
      <formula>-14.9</formula>
    </cfRule>
    <cfRule type="cellIs" dxfId="67" priority="72" operator="between">
      <formula>-12</formula>
      <formula>-13.9</formula>
    </cfRule>
    <cfRule type="cellIs" dxfId="66" priority="73" operator="greaterThan">
      <formula>-12</formula>
    </cfRule>
  </conditionalFormatting>
  <conditionalFormatting sqref="BG16">
    <cfRule type="containsBlanks" dxfId="65" priority="64">
      <formula>LEN(TRIM(BG16))=0</formula>
    </cfRule>
    <cfRule type="cellIs" dxfId="64" priority="65" operator="lessThanOrEqual">
      <formula>-15</formula>
    </cfRule>
    <cfRule type="cellIs" dxfId="63" priority="66" operator="between">
      <formula>-14</formula>
      <formula>-14.9</formula>
    </cfRule>
    <cfRule type="cellIs" dxfId="62" priority="67" operator="between">
      <formula>-12</formula>
      <formula>-13.9</formula>
    </cfRule>
    <cfRule type="cellIs" dxfId="61" priority="68" operator="greaterThan">
      <formula>-12</formula>
    </cfRule>
  </conditionalFormatting>
  <conditionalFormatting sqref="AX17">
    <cfRule type="cellIs" dxfId="60" priority="53" operator="equal">
      <formula>"N/A"</formula>
    </cfRule>
  </conditionalFormatting>
  <conditionalFormatting sqref="AY17">
    <cfRule type="cellIs" dxfId="59" priority="52" operator="equal">
      <formula>"N/A"</formula>
    </cfRule>
  </conditionalFormatting>
  <conditionalFormatting sqref="BA17">
    <cfRule type="cellIs" dxfId="58" priority="51" operator="equal">
      <formula>"N/A"</formula>
    </cfRule>
  </conditionalFormatting>
  <conditionalFormatting sqref="BB17">
    <cfRule type="cellIs" dxfId="57" priority="50" operator="equal">
      <formula>"N/A"</formula>
    </cfRule>
  </conditionalFormatting>
  <conditionalFormatting sqref="BC17">
    <cfRule type="cellIs" dxfId="56" priority="49" operator="equal">
      <formula>"N/A"</formula>
    </cfRule>
  </conditionalFormatting>
  <conditionalFormatting sqref="BD17">
    <cfRule type="cellIs" dxfId="55" priority="48" operator="equal">
      <formula>"N/A"</formula>
    </cfRule>
  </conditionalFormatting>
  <conditionalFormatting sqref="AZ17:BD17">
    <cfRule type="containsBlanks" dxfId="54" priority="43">
      <formula>LEN(TRIM(AZ17))=0</formula>
    </cfRule>
    <cfRule type="cellIs" dxfId="53" priority="44" operator="lessThanOrEqual">
      <formula>-55</formula>
    </cfRule>
    <cfRule type="cellIs" dxfId="52" priority="45" operator="between">
      <formula>-54</formula>
      <formula>-50</formula>
    </cfRule>
    <cfRule type="cellIs" dxfId="51" priority="46" operator="between">
      <formula>-46</formula>
      <formula>-49</formula>
    </cfRule>
    <cfRule type="cellIs" dxfId="50" priority="47" operator="greaterThanOrEqual">
      <formula>-45</formula>
    </cfRule>
  </conditionalFormatting>
  <conditionalFormatting sqref="BE17:BF17">
    <cfRule type="cellIs" dxfId="49" priority="42" operator="equal">
      <formula>"N/A"</formula>
    </cfRule>
  </conditionalFormatting>
  <conditionalFormatting sqref="BE17:BF17">
    <cfRule type="containsBlanks" dxfId="48" priority="37">
      <formula>LEN(TRIM(BE17))=0</formula>
    </cfRule>
    <cfRule type="cellIs" dxfId="47" priority="38" operator="lessThanOrEqual">
      <formula>-55</formula>
    </cfRule>
    <cfRule type="cellIs" dxfId="46" priority="39" operator="between">
      <formula>-54</formula>
      <formula>-50</formula>
    </cfRule>
    <cfRule type="cellIs" dxfId="45" priority="40" operator="between">
      <formula>-46</formula>
      <formula>-49</formula>
    </cfRule>
    <cfRule type="cellIs" dxfId="44" priority="41" operator="greaterThanOrEqual">
      <formula>-45</formula>
    </cfRule>
  </conditionalFormatting>
  <conditionalFormatting sqref="BG17">
    <cfRule type="cellIs" dxfId="43" priority="36" operator="equal">
      <formula>"N/A"</formula>
    </cfRule>
  </conditionalFormatting>
  <conditionalFormatting sqref="BG17">
    <cfRule type="containsBlanks" dxfId="42" priority="31">
      <formula>LEN(TRIM(BG17))=0</formula>
    </cfRule>
    <cfRule type="cellIs" dxfId="41" priority="32" operator="lessThanOrEqual">
      <formula>-55</formula>
    </cfRule>
    <cfRule type="cellIs" dxfId="40" priority="33" operator="between">
      <formula>-54</formula>
      <formula>-50</formula>
    </cfRule>
    <cfRule type="cellIs" dxfId="39" priority="34" operator="between">
      <formula>-46</formula>
      <formula>-49</formula>
    </cfRule>
    <cfRule type="cellIs" dxfId="38" priority="35" operator="greaterThanOrEqual">
      <formula>-45</formula>
    </cfRule>
  </conditionalFormatting>
  <conditionalFormatting sqref="AY18">
    <cfRule type="containsBlanks" dxfId="37" priority="26">
      <formula>LEN(TRIM(AY18))=0</formula>
    </cfRule>
    <cfRule type="cellIs" dxfId="36" priority="27" operator="lessThanOrEqual">
      <formula>0.08</formula>
    </cfRule>
    <cfRule type="cellIs" dxfId="35" priority="28" operator="between">
      <formula>0.085</formula>
      <formula>0.0801</formula>
    </cfRule>
    <cfRule type="cellIs" dxfId="34" priority="29" operator="between">
      <formula>0.09</formula>
      <formula>0.0851</formula>
    </cfRule>
    <cfRule type="cellIs" dxfId="33" priority="30" operator="greaterThan">
      <formula>0.09</formula>
    </cfRule>
  </conditionalFormatting>
  <conditionalFormatting sqref="AZ18:BD18 BF18:BQ18">
    <cfRule type="containsBlanks" dxfId="32" priority="21">
      <formula>LEN(TRIM(AZ18))=0</formula>
    </cfRule>
    <cfRule type="cellIs" dxfId="31" priority="22" operator="lessThanOrEqual">
      <formula>0.08</formula>
    </cfRule>
    <cfRule type="cellIs" dxfId="30" priority="23" operator="between">
      <formula>0.085</formula>
      <formula>0.0801</formula>
    </cfRule>
    <cfRule type="cellIs" dxfId="29" priority="24" operator="between">
      <formula>0.09</formula>
      <formula>0.0851</formula>
    </cfRule>
    <cfRule type="cellIs" dxfId="28" priority="25" operator="greaterThan">
      <formula>0.09</formula>
    </cfRule>
  </conditionalFormatting>
  <conditionalFormatting sqref="BE18">
    <cfRule type="containsBlanks" dxfId="27" priority="16">
      <formula>LEN(TRIM(BE18))=0</formula>
    </cfRule>
    <cfRule type="cellIs" dxfId="26" priority="17" operator="lessThanOrEqual">
      <formula>0.08</formula>
    </cfRule>
    <cfRule type="cellIs" dxfId="25" priority="18" operator="between">
      <formula>0.085</formula>
      <formula>0.0801</formula>
    </cfRule>
    <cfRule type="cellIs" dxfId="24" priority="19" operator="between">
      <formula>0.09</formula>
      <formula>0.0851</formula>
    </cfRule>
    <cfRule type="cellIs" dxfId="23" priority="20" operator="greaterThan">
      <formula>0.09</formula>
    </cfRule>
  </conditionalFormatting>
  <conditionalFormatting sqref="AY19">
    <cfRule type="containsBlanks" dxfId="22" priority="11">
      <formula>LEN(TRIM(AY19))=0</formula>
    </cfRule>
    <cfRule type="cellIs" dxfId="21" priority="12" operator="lessThanOrEqual">
      <formula>0.08</formula>
    </cfRule>
    <cfRule type="cellIs" dxfId="20" priority="13" operator="between">
      <formula>0.085</formula>
      <formula>0.0801</formula>
    </cfRule>
    <cfRule type="cellIs" dxfId="19" priority="14" operator="between">
      <formula>0.09</formula>
      <formula>0.0851</formula>
    </cfRule>
    <cfRule type="cellIs" dxfId="18" priority="15" operator="greaterThan">
      <formula>0.09</formula>
    </cfRule>
  </conditionalFormatting>
  <conditionalFormatting sqref="AZ19:BD19 BF19:BQ19">
    <cfRule type="containsBlanks" dxfId="17" priority="6">
      <formula>LEN(TRIM(AZ19))=0</formula>
    </cfRule>
    <cfRule type="cellIs" dxfId="16" priority="7" operator="lessThanOrEqual">
      <formula>0.08</formula>
    </cfRule>
    <cfRule type="cellIs" dxfId="15" priority="8" operator="between">
      <formula>0.085</formula>
      <formula>0.0801</formula>
    </cfRule>
    <cfRule type="cellIs" dxfId="14" priority="9" operator="between">
      <formula>0.09</formula>
      <formula>0.0851</formula>
    </cfRule>
    <cfRule type="cellIs" dxfId="13" priority="10" operator="greaterThan">
      <formula>0.09</formula>
    </cfRule>
  </conditionalFormatting>
  <conditionalFormatting sqref="BE19">
    <cfRule type="containsBlanks" dxfId="12" priority="1">
      <formula>LEN(TRIM(BE19))=0</formula>
    </cfRule>
    <cfRule type="cellIs" dxfId="11" priority="2" operator="lessThanOrEqual">
      <formula>0.08</formula>
    </cfRule>
    <cfRule type="cellIs" dxfId="10" priority="3" operator="between">
      <formula>0.085</formula>
      <formula>0.0801</formula>
    </cfRule>
    <cfRule type="cellIs" dxfId="9" priority="4" operator="between">
      <formula>0.09</formula>
      <formula>0.0851</formula>
    </cfRule>
    <cfRule type="cellIs" dxfId="8" priority="5" operator="greaterThan">
      <formula>0.09</formula>
    </cfRule>
  </conditionalFormatting>
  <pageMargins left="0.70866141732283505" right="0.70866141732283505" top="0.74803149606299202" bottom="0.74803149606299202" header="0.31496062992126" footer="0.31496062992126"/>
  <pageSetup paperSize="5" scale="36" fitToHeight="1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N16"/>
  <sheetViews>
    <sheetView zoomScale="70" zoomScaleNormal="70" workbookViewId="0">
      <pane xSplit="24" ySplit="2" topLeftCell="Y3" activePane="bottomRight" state="frozen"/>
      <selection pane="topRight" activeCell="Y1" sqref="Y1"/>
      <selection pane="bottomLeft" activeCell="A3" sqref="A3"/>
      <selection pane="bottomRight" activeCell="AE4" sqref="AE4"/>
    </sheetView>
  </sheetViews>
  <sheetFormatPr defaultRowHeight="15" outlineLevelCol="2"/>
  <cols>
    <col min="1" max="1" width="5" customWidth="1"/>
    <col min="2" max="2" width="13.5703125" customWidth="1"/>
    <col min="3" max="3" width="31.140625" style="62" customWidth="1"/>
    <col min="4" max="4" width="15" hidden="1" customWidth="1" outlineLevel="2"/>
    <col min="5" max="5" width="13.7109375" hidden="1" customWidth="1" outlineLevel="2"/>
    <col min="6" max="6" width="13.7109375" style="2" hidden="1" customWidth="1" outlineLevel="2" collapsed="1"/>
    <col min="7" max="7" width="2.28515625" style="46" hidden="1" customWidth="1" outlineLevel="1"/>
    <col min="8" max="8" width="13.7109375" style="31" hidden="1" customWidth="1" outlineLevel="1"/>
    <col min="9" max="9" width="15" hidden="1" customWidth="1" outlineLevel="2"/>
    <col min="10" max="10" width="13.7109375" hidden="1" customWidth="1" outlineLevel="2"/>
    <col min="11" max="11" width="2.28515625" style="46" hidden="1" customWidth="1" outlineLevel="2"/>
    <col min="12" max="12" width="13.7109375" style="31" hidden="1" customWidth="1" outlineLevel="1"/>
    <col min="13" max="13" width="15" hidden="1" customWidth="1" outlineLevel="2"/>
    <col min="14" max="14" width="13.7109375" hidden="1" customWidth="1" outlineLevel="2"/>
    <col min="15" max="15" width="2.28515625" style="46" hidden="1" customWidth="1" outlineLevel="1"/>
    <col min="16" max="16" width="13.28515625" style="31" hidden="1" customWidth="1" outlineLevel="1"/>
    <col min="17" max="17" width="15" hidden="1" customWidth="1" outlineLevel="2"/>
    <col min="18" max="18" width="13.7109375" hidden="1" customWidth="1" outlineLevel="2"/>
    <col min="19" max="19" width="2.28515625" style="46" hidden="1" customWidth="1" outlineLevel="1"/>
    <col min="20" max="20" width="17" style="1" hidden="1" customWidth="1" collapsed="1"/>
    <col min="21" max="21" width="27" style="1" hidden="1" customWidth="1"/>
    <col min="22" max="22" width="22.7109375" style="1" hidden="1" customWidth="1"/>
    <col min="23" max="24" width="9.85546875" style="1" hidden="1" customWidth="1"/>
    <col min="25" max="25" width="35.85546875" style="1" customWidth="1"/>
    <col min="26" max="26" width="14.42578125" style="186" customWidth="1"/>
    <col min="27" max="27" width="42.42578125" style="185" customWidth="1"/>
    <col min="28" max="28" width="11.85546875" style="61" customWidth="1"/>
    <col min="29" max="30" width="9.140625" style="2" customWidth="1"/>
    <col min="31" max="31" width="41.7109375" style="2" customWidth="1"/>
    <col min="32" max="32" width="17.42578125" style="2" customWidth="1"/>
    <col min="33" max="33" width="18" style="2" customWidth="1"/>
    <col min="34" max="34" width="18.7109375" style="2" customWidth="1"/>
    <col min="35" max="35" width="9.140625" style="2" customWidth="1"/>
    <col min="36" max="36" width="34.7109375" style="2" customWidth="1"/>
    <col min="37" max="37" width="9.140625" style="2" customWidth="1"/>
    <col min="38" max="38" width="20" style="2" hidden="1" customWidth="1"/>
    <col min="39" max="39" width="20.42578125" style="2" hidden="1" customWidth="1"/>
    <col min="40" max="40" width="12.140625" style="2" hidden="1" customWidth="1"/>
    <col min="41" max="42" width="9.140625" style="2" hidden="1" customWidth="1"/>
    <col min="43" max="43" width="14.140625" style="2" customWidth="1"/>
    <col min="44" max="44" width="15" style="2" customWidth="1"/>
    <col min="45" max="45" width="14.28515625" style="2" customWidth="1"/>
    <col min="46" max="47" width="11.7109375" style="2" customWidth="1" outlineLevel="1"/>
    <col min="48" max="48" width="11.7109375" style="2" customWidth="1"/>
    <col min="49" max="50" width="11.7109375" style="2" customWidth="1" outlineLevel="1"/>
    <col min="51" max="51" width="11.7109375" style="2" customWidth="1"/>
    <col min="52" max="53" width="11.7109375" style="2" customWidth="1" outlineLevel="1"/>
    <col min="54" max="54" width="11.7109375" style="2" customWidth="1"/>
    <col min="55" max="56" width="11.7109375" style="2" customWidth="1" outlineLevel="1"/>
    <col min="57" max="60" width="11.7109375" style="2" customWidth="1"/>
    <col min="61" max="69" width="9.140625" style="2" hidden="1" customWidth="1"/>
    <col min="70" max="70" width="16.85546875" style="2" hidden="1" customWidth="1"/>
    <col min="71" max="71" width="17.28515625" style="2" hidden="1" customWidth="1"/>
    <col min="72" max="72" width="18.28515625" style="2" hidden="1" customWidth="1"/>
    <col min="73" max="73" width="12.85546875" style="2" hidden="1" customWidth="1"/>
    <col min="74" max="74" width="47.5703125" style="2" hidden="1" customWidth="1"/>
    <col min="75" max="75" width="23.5703125" style="209" hidden="1" customWidth="1"/>
    <col min="76" max="76" width="0" hidden="1" customWidth="1"/>
    <col min="77" max="77" width="30.7109375" style="2" customWidth="1"/>
    <col min="78" max="92" width="9.140625" style="2"/>
  </cols>
  <sheetData>
    <row r="1" spans="1:77" ht="27" thickBot="1">
      <c r="B1" s="192">
        <v>42401</v>
      </c>
      <c r="W1" s="452" t="s">
        <v>76</v>
      </c>
      <c r="X1" s="453"/>
      <c r="AC1" s="463" t="s">
        <v>129</v>
      </c>
      <c r="AD1" s="464"/>
      <c r="AE1" s="464"/>
      <c r="AF1" s="464"/>
      <c r="AG1" s="464"/>
      <c r="AH1" s="464"/>
      <c r="AI1" s="464"/>
      <c r="AJ1" s="464"/>
      <c r="AK1" s="464"/>
      <c r="AL1" s="464"/>
      <c r="AM1" s="464"/>
      <c r="AN1" s="464"/>
      <c r="AO1" s="464"/>
      <c r="AP1" s="464"/>
      <c r="AQ1" s="464"/>
      <c r="AR1" s="464"/>
      <c r="AS1" s="464"/>
      <c r="AT1" s="464"/>
      <c r="AU1" s="464"/>
      <c r="AV1" s="464"/>
      <c r="AW1" s="464"/>
      <c r="AX1" s="464"/>
      <c r="AY1" s="464"/>
      <c r="AZ1" s="464"/>
      <c r="BA1" s="464"/>
      <c r="BB1" s="464"/>
      <c r="BC1" s="464"/>
      <c r="BD1" s="464"/>
      <c r="BE1" s="464"/>
      <c r="BF1" s="464"/>
      <c r="BG1" s="464"/>
      <c r="BH1" s="277"/>
      <c r="BI1" s="277"/>
      <c r="BJ1" s="277"/>
      <c r="BK1" s="277"/>
      <c r="BL1" s="277"/>
      <c r="BM1" s="277"/>
      <c r="BN1" s="277"/>
      <c r="BO1" s="277"/>
      <c r="BP1" s="277"/>
      <c r="BQ1" s="277"/>
      <c r="BR1" s="193" t="s">
        <v>270</v>
      </c>
      <c r="BS1" s="194">
        <v>0.5</v>
      </c>
      <c r="BT1" s="195"/>
      <c r="BU1" s="196"/>
    </row>
    <row r="2" spans="1:77" s="45" customFormat="1" ht="60.75" customHeight="1" thickBot="1">
      <c r="B2" s="239"/>
      <c r="C2" s="248" t="s">
        <v>1</v>
      </c>
      <c r="D2" s="240" t="s">
        <v>77</v>
      </c>
      <c r="E2" s="43" t="s">
        <v>78</v>
      </c>
      <c r="F2" s="44" t="s">
        <v>64</v>
      </c>
      <c r="G2" s="47"/>
      <c r="H2" s="44" t="s">
        <v>58</v>
      </c>
      <c r="I2" s="42" t="s">
        <v>79</v>
      </c>
      <c r="J2" s="43" t="s">
        <v>80</v>
      </c>
      <c r="K2" s="47"/>
      <c r="L2" s="44" t="s">
        <v>96</v>
      </c>
      <c r="M2" s="42" t="s">
        <v>79</v>
      </c>
      <c r="N2" s="43" t="s">
        <v>80</v>
      </c>
      <c r="O2" s="47"/>
      <c r="P2" s="44" t="s">
        <v>97</v>
      </c>
      <c r="Q2" s="42" t="s">
        <v>79</v>
      </c>
      <c r="R2" s="43" t="s">
        <v>80</v>
      </c>
      <c r="S2" s="47"/>
      <c r="T2" s="44" t="s">
        <v>27</v>
      </c>
      <c r="U2" s="44" t="s">
        <v>90</v>
      </c>
      <c r="V2" s="44" t="s">
        <v>70</v>
      </c>
      <c r="W2" s="44" t="s">
        <v>38</v>
      </c>
      <c r="X2" s="44" t="s">
        <v>39</v>
      </c>
      <c r="Y2" s="58" t="s">
        <v>115</v>
      </c>
      <c r="Z2" s="181" t="s">
        <v>142</v>
      </c>
      <c r="AA2" s="180" t="s">
        <v>258</v>
      </c>
      <c r="AB2" s="60"/>
      <c r="AC2" s="74" t="s">
        <v>130</v>
      </c>
      <c r="AD2" s="74" t="s">
        <v>131</v>
      </c>
      <c r="AE2" s="75" t="s">
        <v>132</v>
      </c>
      <c r="AF2" s="74" t="s">
        <v>64</v>
      </c>
      <c r="AG2" s="74" t="s">
        <v>133</v>
      </c>
      <c r="AH2" s="74" t="s">
        <v>134</v>
      </c>
      <c r="AI2" s="74" t="s">
        <v>135</v>
      </c>
      <c r="AJ2" s="76" t="s">
        <v>136</v>
      </c>
      <c r="AK2" s="76" t="s">
        <v>137</v>
      </c>
      <c r="AL2" s="75" t="s">
        <v>138</v>
      </c>
      <c r="AM2" s="75" t="s">
        <v>139</v>
      </c>
      <c r="AN2" s="75" t="s">
        <v>140</v>
      </c>
      <c r="AO2" s="77" t="s">
        <v>77</v>
      </c>
      <c r="AP2" s="78" t="s">
        <v>78</v>
      </c>
      <c r="AQ2" s="79" t="s">
        <v>141</v>
      </c>
      <c r="AR2" s="77" t="s">
        <v>79</v>
      </c>
      <c r="AS2" s="80" t="s">
        <v>80</v>
      </c>
      <c r="AT2" s="81">
        <v>42035</v>
      </c>
      <c r="AU2" s="74">
        <v>42063</v>
      </c>
      <c r="AV2" s="74">
        <v>42094</v>
      </c>
      <c r="AW2" s="74">
        <v>42124</v>
      </c>
      <c r="AX2" s="74">
        <v>42155</v>
      </c>
      <c r="AY2" s="74">
        <v>42185</v>
      </c>
      <c r="AZ2" s="74">
        <v>42216</v>
      </c>
      <c r="BA2" s="74">
        <v>42247</v>
      </c>
      <c r="BB2" s="74">
        <v>42277</v>
      </c>
      <c r="BC2" s="74">
        <v>42308</v>
      </c>
      <c r="BD2" s="74">
        <v>42338</v>
      </c>
      <c r="BE2" s="74">
        <v>42369</v>
      </c>
      <c r="BF2" s="74">
        <v>42400</v>
      </c>
      <c r="BG2" s="82">
        <v>42401</v>
      </c>
      <c r="BH2" s="82">
        <v>42430</v>
      </c>
      <c r="BI2" s="82">
        <v>42461</v>
      </c>
      <c r="BJ2" s="82">
        <v>42491</v>
      </c>
      <c r="BK2" s="82">
        <v>42522</v>
      </c>
      <c r="BL2" s="82">
        <v>42552</v>
      </c>
      <c r="BM2" s="82">
        <v>42583</v>
      </c>
      <c r="BN2" s="82">
        <v>42614</v>
      </c>
      <c r="BO2" s="82">
        <v>42644</v>
      </c>
      <c r="BP2" s="82">
        <v>42675</v>
      </c>
      <c r="BQ2" s="82">
        <v>42705</v>
      </c>
      <c r="BR2" s="197" t="s">
        <v>271</v>
      </c>
      <c r="BS2" s="197" t="s">
        <v>272</v>
      </c>
      <c r="BT2" s="197" t="s">
        <v>273</v>
      </c>
      <c r="BU2" s="198" t="s">
        <v>274</v>
      </c>
      <c r="BV2" s="83" t="s">
        <v>259</v>
      </c>
      <c r="BW2" s="210" t="s">
        <v>276</v>
      </c>
    </row>
    <row r="3" spans="1:77" s="2" customFormat="1" ht="57.75" customHeight="1">
      <c r="A3" s="224"/>
      <c r="B3" s="472" t="s">
        <v>324</v>
      </c>
      <c r="C3" s="226" t="s">
        <v>30</v>
      </c>
      <c r="D3" s="5" t="s">
        <v>81</v>
      </c>
      <c r="E3" s="4" t="s">
        <v>81</v>
      </c>
      <c r="F3" s="35" t="s">
        <v>29</v>
      </c>
      <c r="G3" s="48"/>
      <c r="H3" s="25" t="s">
        <v>54</v>
      </c>
      <c r="I3" s="3"/>
      <c r="J3" s="37"/>
      <c r="K3" s="48"/>
      <c r="L3" s="28" t="s">
        <v>54</v>
      </c>
      <c r="M3" s="5"/>
      <c r="N3" s="4"/>
      <c r="O3" s="48"/>
      <c r="P3" s="28" t="s">
        <v>54</v>
      </c>
      <c r="Q3" s="3"/>
      <c r="R3" s="37"/>
      <c r="S3" s="48"/>
      <c r="T3" s="22" t="s">
        <v>82</v>
      </c>
      <c r="U3" s="22" t="s">
        <v>91</v>
      </c>
      <c r="V3" s="22" t="s">
        <v>105</v>
      </c>
      <c r="W3" s="22" t="s">
        <v>81</v>
      </c>
      <c r="X3" s="214" t="s">
        <v>40</v>
      </c>
      <c r="Y3" s="237" t="s">
        <v>291</v>
      </c>
      <c r="Z3" s="84" t="s">
        <v>151</v>
      </c>
      <c r="AA3" s="94"/>
      <c r="AB3" s="183"/>
      <c r="AC3" s="84" t="s">
        <v>143</v>
      </c>
      <c r="AD3" s="85" t="s">
        <v>167</v>
      </c>
      <c r="AE3" s="84" t="s">
        <v>168</v>
      </c>
      <c r="AF3" s="86" t="s">
        <v>169</v>
      </c>
      <c r="AG3" s="86" t="s">
        <v>170</v>
      </c>
      <c r="AH3" s="86" t="s">
        <v>171</v>
      </c>
      <c r="AI3" s="86" t="s">
        <v>137</v>
      </c>
      <c r="AJ3" s="86"/>
      <c r="AK3" s="106">
        <v>1.7399999999999999E-2</v>
      </c>
      <c r="AL3" s="88"/>
      <c r="AM3" s="89" t="s">
        <v>173</v>
      </c>
      <c r="AN3" s="88"/>
      <c r="AO3" s="107">
        <v>1.1599999999999999E-2</v>
      </c>
      <c r="AP3" s="108">
        <v>1.3899999999999999E-2</v>
      </c>
      <c r="AQ3" s="100" t="s">
        <v>21</v>
      </c>
      <c r="AR3" s="90" t="s">
        <v>21</v>
      </c>
      <c r="AS3" s="104" t="s">
        <v>21</v>
      </c>
      <c r="AT3" s="273">
        <f>0.00810754155711443</f>
        <v>8.1075415571144303E-3</v>
      </c>
      <c r="AU3" s="273">
        <f>0.00904669294295699</f>
        <v>9.0466929429569905E-3</v>
      </c>
      <c r="AV3" s="273">
        <v>9.0446632336659907E-3</v>
      </c>
      <c r="AW3" s="273">
        <f>0.00962495997732189</f>
        <v>9.6249599773218907E-3</v>
      </c>
      <c r="AX3" s="273">
        <f>0.0109976463079174</f>
        <v>1.09976463079174E-2</v>
      </c>
      <c r="AY3" s="134">
        <f>0.0116054735329468</f>
        <v>1.1605473532946799E-2</v>
      </c>
      <c r="AZ3" s="134">
        <f>53810655.7451/4060531973.02463</f>
        <v>1.3252119698251567E-2</v>
      </c>
      <c r="BA3" s="134">
        <f>0.013437354510884</f>
        <v>1.3437354510884E-2</v>
      </c>
      <c r="BB3" s="134">
        <f>0.0136517166858552</f>
        <v>1.36517166858552E-2</v>
      </c>
      <c r="BC3" s="134">
        <v>1.5008678778234001E-2</v>
      </c>
      <c r="BD3" s="134">
        <f>0.0152614696712326</f>
        <v>1.52614696712326E-2</v>
      </c>
      <c r="BE3" s="134">
        <f>0.0163434059590632</f>
        <v>1.6343405959063199E-2</v>
      </c>
      <c r="BF3" s="134">
        <f>0.0164429879095369</f>
        <v>1.64429879095369E-2</v>
      </c>
      <c r="BG3" s="134">
        <v>1.6500000000000001E-2</v>
      </c>
      <c r="BH3" s="134">
        <f>0.0175726480186129</f>
        <v>1.7572648018612899E-2</v>
      </c>
      <c r="BI3" s="203"/>
      <c r="BJ3" s="203"/>
      <c r="BK3" s="203"/>
      <c r="BL3" s="203"/>
      <c r="BM3" s="203"/>
      <c r="BN3" s="203"/>
      <c r="BO3" s="203"/>
      <c r="BP3" s="203"/>
      <c r="BQ3" s="203"/>
      <c r="BR3" s="199">
        <f>+IFERROR(AVERAGE(AT3:BQ3),"")</f>
        <v>1.3059823918906258E-2</v>
      </c>
      <c r="BS3" s="200">
        <f>+IFERROR(VAR(AT3:BQ3),"")</f>
        <v>9.8943616971687763E-6</v>
      </c>
      <c r="BT3" s="201">
        <f t="shared" ref="BT3:BT11" si="0">+IFERROR(STDEV(AT4:BQ4)*(1-$BS$1),"")</f>
        <v>9.2754021409246542E-3</v>
      </c>
      <c r="BU3" s="202" t="str">
        <f t="shared" ref="BU3:BU11" ca="1" si="1">+IF(OR(BT3="",OFFSET(AT4,0,MATCH($B$1,AT$2:BQ$2,0)-1)=""),"",IFERROR(IF(ABS(OFFSET(AT4,0,MATCH($B$1,AT$2:BQ$2,0)-1)-OFFSET(AT4,0,MATCH($B$1,AT$2:BQ$2,0)-2))&gt;BT3,"N","µ"),""))</f>
        <v>N</v>
      </c>
      <c r="BV3" s="94"/>
      <c r="BW3" s="211" t="s">
        <v>277</v>
      </c>
      <c r="BY3" s="137" t="s">
        <v>206</v>
      </c>
    </row>
    <row r="4" spans="1:77" s="2" customFormat="1" ht="57.75" customHeight="1">
      <c r="A4" s="224"/>
      <c r="B4" s="473"/>
      <c r="C4" s="440" t="s">
        <v>83</v>
      </c>
      <c r="D4" s="5" t="s">
        <v>81</v>
      </c>
      <c r="E4" s="4" t="s">
        <v>81</v>
      </c>
      <c r="F4" s="35" t="s">
        <v>19</v>
      </c>
      <c r="G4" s="48"/>
      <c r="H4" s="25" t="s">
        <v>54</v>
      </c>
      <c r="I4" s="3"/>
      <c r="J4" s="37"/>
      <c r="K4" s="48"/>
      <c r="L4" s="28" t="s">
        <v>54</v>
      </c>
      <c r="M4" s="5"/>
      <c r="N4" s="4"/>
      <c r="O4" s="48"/>
      <c r="P4" s="28" t="s">
        <v>11</v>
      </c>
      <c r="Q4" s="3"/>
      <c r="R4" s="37"/>
      <c r="S4" s="48"/>
      <c r="T4" s="22" t="s">
        <v>108</v>
      </c>
      <c r="U4" s="22" t="s">
        <v>93</v>
      </c>
      <c r="V4" s="22" t="s">
        <v>109</v>
      </c>
      <c r="W4" s="22" t="s">
        <v>41</v>
      </c>
      <c r="X4" s="214" t="s">
        <v>42</v>
      </c>
      <c r="Y4" s="238" t="s">
        <v>292</v>
      </c>
      <c r="Z4" s="84" t="s">
        <v>151</v>
      </c>
      <c r="AA4" s="86" t="s">
        <v>327</v>
      </c>
      <c r="AB4" s="183"/>
      <c r="AC4" s="84" t="s">
        <v>143</v>
      </c>
      <c r="AD4" s="85"/>
      <c r="AE4" s="132" t="s">
        <v>306</v>
      </c>
      <c r="AF4" s="111" t="s">
        <v>169</v>
      </c>
      <c r="AG4" s="86" t="s">
        <v>204</v>
      </c>
      <c r="AH4" s="86" t="s">
        <v>176</v>
      </c>
      <c r="AI4" s="86"/>
      <c r="AJ4" s="86"/>
      <c r="AK4" s="274"/>
      <c r="AL4" s="88" t="s">
        <v>205</v>
      </c>
      <c r="AM4" s="89"/>
      <c r="AN4" s="88"/>
      <c r="AO4" s="133"/>
      <c r="AP4" s="104"/>
      <c r="AQ4" s="100" t="s">
        <v>21</v>
      </c>
      <c r="AR4" s="90" t="s">
        <v>21</v>
      </c>
      <c r="AS4" s="104" t="s">
        <v>21</v>
      </c>
      <c r="AT4" s="134">
        <f>75014895.0009579/197947193.26</f>
        <v>0.37896417607915878</v>
      </c>
      <c r="AU4" s="134">
        <f>76147115.132738/198273240.08</f>
        <v>0.3840513984742161</v>
      </c>
      <c r="AV4" s="134">
        <f>75719695.7491383/198234332.48</f>
        <v>0.38197064454906021</v>
      </c>
      <c r="AW4" s="134">
        <f>76056100.5293789/196614524.89</f>
        <v>0.38682849383548873</v>
      </c>
      <c r="AX4" s="134">
        <f>78186868.0533333/195226229.66</f>
        <v>0.40049366414288257</v>
      </c>
      <c r="AY4" s="135">
        <f>77375165.3484528/202262388.68</f>
        <v>0.38254846021258215</v>
      </c>
      <c r="AZ4" s="134">
        <f>79224772.1989476/207673969.88</f>
        <v>0.38148628951777613</v>
      </c>
      <c r="BA4" s="134">
        <f>79540396.9918334/212484335.34</f>
        <v>0.37433534507171734</v>
      </c>
      <c r="BB4" s="134">
        <f>80703898.7429197/212684600.61</f>
        <v>0.37945341840195812</v>
      </c>
      <c r="BC4" s="134">
        <f>83891140.9921274/212475311.95</f>
        <v>0.39482771067477618</v>
      </c>
      <c r="BD4" s="134">
        <f>83856488.4469171/209966946.39</f>
        <v>0.39937947323936934</v>
      </c>
      <c r="BE4" s="134">
        <f>83139711.015894/198361162.25</f>
        <v>0.41913301007538334</v>
      </c>
      <c r="BF4" s="135">
        <f>81980765.2654417/193587991.8</f>
        <v>0.42348063277673659</v>
      </c>
      <c r="BG4" s="135">
        <f>82335767.2443788/189567135.59</f>
        <v>0.43433566154872133</v>
      </c>
      <c r="BH4" s="135">
        <f>84946017.6122911/207444464.55</f>
        <v>0.40948799379419781</v>
      </c>
      <c r="BI4" s="136"/>
      <c r="BJ4" s="136"/>
      <c r="BK4" s="136"/>
      <c r="BL4" s="136"/>
      <c r="BM4" s="136"/>
      <c r="BN4" s="136"/>
      <c r="BO4" s="136"/>
      <c r="BP4" s="136"/>
      <c r="BQ4" s="136"/>
      <c r="BR4" s="199">
        <f>+IFERROR(AVERAGE(AT4:BQ4),"")</f>
        <v>0.39538509149293499</v>
      </c>
      <c r="BS4" s="200">
        <f>+IFERROR(VAR(AT4:BQ4),"")</f>
        <v>3.4413233950347869E-4</v>
      </c>
      <c r="BT4" s="201">
        <f t="shared" si="0"/>
        <v>1.3994972639893488E-3</v>
      </c>
      <c r="BU4" s="202" t="str">
        <f t="shared" ca="1" si="1"/>
        <v>µ</v>
      </c>
      <c r="BV4" s="94" t="s">
        <v>203</v>
      </c>
      <c r="BW4" s="211" t="s">
        <v>279</v>
      </c>
    </row>
    <row r="5" spans="1:77" s="2" customFormat="1" ht="58.5" customHeight="1">
      <c r="A5"/>
      <c r="B5" s="473"/>
      <c r="C5" s="251" t="s">
        <v>301</v>
      </c>
      <c r="D5" s="241" t="s">
        <v>81</v>
      </c>
      <c r="E5" s="4" t="s">
        <v>81</v>
      </c>
      <c r="F5" s="35" t="s">
        <v>19</v>
      </c>
      <c r="G5" s="48"/>
      <c r="H5" s="25" t="s">
        <v>54</v>
      </c>
      <c r="I5" s="3"/>
      <c r="J5" s="37"/>
      <c r="K5" s="48"/>
      <c r="L5" s="28" t="s">
        <v>54</v>
      </c>
      <c r="M5" s="5"/>
      <c r="N5" s="4"/>
      <c r="O5" s="48"/>
      <c r="P5" s="28" t="s">
        <v>54</v>
      </c>
      <c r="Q5" s="3"/>
      <c r="R5" s="37"/>
      <c r="S5" s="48"/>
      <c r="T5" s="22" t="s">
        <v>107</v>
      </c>
      <c r="U5" s="22" t="s">
        <v>92</v>
      </c>
      <c r="V5" s="22" t="s">
        <v>106</v>
      </c>
      <c r="W5" s="22" t="s">
        <v>41</v>
      </c>
      <c r="X5" s="214" t="s">
        <v>42</v>
      </c>
      <c r="Y5" s="219" t="s">
        <v>293</v>
      </c>
      <c r="Z5" s="84" t="s">
        <v>172</v>
      </c>
      <c r="AA5" s="191" t="s">
        <v>300</v>
      </c>
      <c r="AB5" s="183"/>
      <c r="AC5" s="85" t="s">
        <v>143</v>
      </c>
      <c r="AD5" s="85" t="s">
        <v>201</v>
      </c>
      <c r="AE5" s="85" t="s">
        <v>202</v>
      </c>
      <c r="AF5" s="129" t="s">
        <v>169</v>
      </c>
      <c r="AG5" s="88" t="s">
        <v>170</v>
      </c>
      <c r="AH5" s="88" t="s">
        <v>171</v>
      </c>
      <c r="AI5" s="88" t="s">
        <v>137</v>
      </c>
      <c r="AJ5" s="86" t="s">
        <v>307</v>
      </c>
      <c r="AK5" s="112">
        <v>6.8000000000000005E-2</v>
      </c>
      <c r="AL5" s="112"/>
      <c r="AM5" s="89"/>
      <c r="AN5" s="112"/>
      <c r="AO5" s="123">
        <v>6.8000000000000005E-2</v>
      </c>
      <c r="AP5" s="124">
        <v>8.1000000000000003E-2</v>
      </c>
      <c r="AQ5" s="114">
        <f>AK5</f>
        <v>6.8000000000000005E-2</v>
      </c>
      <c r="AR5" s="115">
        <f>AK5+0.001</f>
        <v>6.9000000000000006E-2</v>
      </c>
      <c r="AS5" s="116">
        <f>AK5*1.2</f>
        <v>8.1600000000000006E-2</v>
      </c>
      <c r="AT5" s="130">
        <f>235583893.39/4404662513.72629</f>
        <v>5.3485117794121059E-2</v>
      </c>
      <c r="AU5" s="130">
        <f>238895891.12/4321124267.57379</f>
        <v>5.5285586881335967E-2</v>
      </c>
      <c r="AV5" s="130">
        <f>236549591.49/4245957192.36462</f>
        <v>5.571172312226326E-2</v>
      </c>
      <c r="AW5" s="130">
        <f>235892330.27/4179845295.93796</f>
        <v>5.6435660549265763E-2</v>
      </c>
      <c r="AX5" s="130">
        <f>242848327.31/4133547027.57379</f>
        <v>5.8750590156595187E-2</v>
      </c>
      <c r="AY5" s="130">
        <f>240896981.08/4097831828.92879</f>
        <v>5.8786448818953278E-2</v>
      </c>
      <c r="AZ5" s="130">
        <f>247317000.29/4060531973.02463</f>
        <v>6.0907536729917E-2</v>
      </c>
      <c r="BA5" s="131">
        <f>246587569.7/4025508309.39129</f>
        <v>6.1256256539012656E-2</v>
      </c>
      <c r="BB5" s="131">
        <f>243925753/3980634168.14129</f>
        <v>6.1278113661446622E-2</v>
      </c>
      <c r="BC5" s="131">
        <f>245414444.56/3937414970.39046</f>
        <v>6.2328823963318014E-2</v>
      </c>
      <c r="BD5" s="131">
        <f>240942643.98/3897127183.77379</f>
        <v>6.1825707147356364E-2</v>
      </c>
      <c r="BE5" s="131">
        <f>238271529.15/3868142340.95079</f>
        <v>6.1598438771886775E-2</v>
      </c>
      <c r="BF5" s="131">
        <f>234223407.06/3845877339.42333</f>
        <v>6.0902464220328106E-2</v>
      </c>
      <c r="BG5" s="131">
        <f>230447226.35/3821779569.84417</f>
        <v>6.0298408670230105E-2</v>
      </c>
      <c r="BH5" s="117">
        <f>232192923.62/3797502562.88167</f>
        <v>6.1143585758057888E-2</v>
      </c>
      <c r="BI5" s="165"/>
      <c r="BJ5" s="165"/>
      <c r="BK5" s="165"/>
      <c r="BL5" s="165"/>
      <c r="BM5" s="165"/>
      <c r="BN5" s="165"/>
      <c r="BO5" s="165"/>
      <c r="BP5" s="165"/>
      <c r="BQ5" s="165"/>
      <c r="BR5" s="199">
        <f t="shared" ref="BR5:BR12" si="2">+IFERROR(AVERAGE(AT5:BQ5),"")</f>
        <v>5.9332964185605859E-2</v>
      </c>
      <c r="BS5" s="200">
        <f t="shared" ref="BS5:BS12" si="3">+IFERROR(VAR(AT5:BQ5),"")</f>
        <v>7.8343703676546935E-6</v>
      </c>
      <c r="BT5" s="201" t="str">
        <f t="shared" si="0"/>
        <v/>
      </c>
      <c r="BU5" s="202" t="str">
        <f t="shared" ca="1" si="1"/>
        <v/>
      </c>
      <c r="BW5" s="211" t="s">
        <v>294</v>
      </c>
      <c r="BX5"/>
    </row>
    <row r="6" spans="1:77" s="2" customFormat="1" ht="60">
      <c r="A6"/>
      <c r="B6" s="473"/>
      <c r="C6" s="433" t="s">
        <v>338</v>
      </c>
      <c r="D6"/>
      <c r="E6"/>
      <c r="G6" s="46"/>
      <c r="H6" s="31"/>
      <c r="I6"/>
      <c r="J6"/>
      <c r="K6" s="46"/>
      <c r="L6" s="31"/>
      <c r="M6"/>
      <c r="N6"/>
      <c r="O6" s="46"/>
      <c r="P6" s="31"/>
      <c r="Q6"/>
      <c r="R6"/>
      <c r="S6" s="46"/>
      <c r="T6" s="1"/>
      <c r="U6" s="1"/>
      <c r="V6" s="1"/>
      <c r="W6" s="1"/>
      <c r="X6" s="1"/>
      <c r="Y6" s="219"/>
      <c r="Z6" s="275" t="s">
        <v>172</v>
      </c>
      <c r="AA6" s="223" t="s">
        <v>282</v>
      </c>
      <c r="AB6" s="183"/>
      <c r="AC6" s="85"/>
      <c r="AD6" s="85"/>
      <c r="AE6" s="85"/>
      <c r="AF6" s="129"/>
      <c r="AG6" s="88"/>
      <c r="AH6" s="88"/>
      <c r="AI6" s="88"/>
      <c r="AJ6" s="86"/>
      <c r="AK6" s="274"/>
      <c r="AQ6" s="114"/>
      <c r="AR6" s="115"/>
      <c r="AS6" s="116"/>
      <c r="AT6" s="165"/>
      <c r="AU6" s="165"/>
      <c r="AV6" s="165"/>
      <c r="AW6" s="165"/>
      <c r="AX6" s="165"/>
      <c r="AY6" s="165"/>
      <c r="AZ6" s="165"/>
      <c r="BA6" s="165"/>
      <c r="BB6" s="165"/>
      <c r="BC6" s="165"/>
      <c r="BD6" s="165"/>
      <c r="BE6" s="165"/>
      <c r="BF6" s="165"/>
      <c r="BG6" s="165"/>
      <c r="BH6" s="165"/>
      <c r="BI6" s="165"/>
      <c r="BJ6" s="165"/>
      <c r="BK6" s="165"/>
      <c r="BL6" s="165"/>
      <c r="BM6" s="165"/>
      <c r="BN6" s="165"/>
      <c r="BO6" s="165"/>
      <c r="BP6" s="165"/>
      <c r="BQ6" s="165"/>
      <c r="BR6" s="199" t="str">
        <f t="shared" si="2"/>
        <v/>
      </c>
      <c r="BS6" s="200" t="str">
        <f t="shared" si="3"/>
        <v/>
      </c>
      <c r="BT6" s="201" t="str">
        <f t="shared" si="0"/>
        <v/>
      </c>
      <c r="BU6" s="202" t="str">
        <f t="shared" ca="1" si="1"/>
        <v/>
      </c>
      <c r="BW6" s="209"/>
      <c r="BX6"/>
    </row>
    <row r="7" spans="1:77" s="2" customFormat="1" ht="60">
      <c r="A7"/>
      <c r="B7" s="473"/>
      <c r="C7" s="433" t="s">
        <v>339</v>
      </c>
      <c r="D7"/>
      <c r="E7"/>
      <c r="G7" s="46"/>
      <c r="H7" s="31"/>
      <c r="I7"/>
      <c r="J7"/>
      <c r="K7" s="46"/>
      <c r="L7" s="31"/>
      <c r="M7"/>
      <c r="N7"/>
      <c r="O7" s="46"/>
      <c r="P7" s="31"/>
      <c r="Q7"/>
      <c r="R7"/>
      <c r="S7" s="46"/>
      <c r="T7" s="1"/>
      <c r="U7" s="1"/>
      <c r="V7" s="1"/>
      <c r="W7" s="1"/>
      <c r="X7" s="1"/>
      <c r="Y7" s="219"/>
      <c r="Z7" s="275" t="s">
        <v>172</v>
      </c>
      <c r="AA7" s="223" t="s">
        <v>282</v>
      </c>
      <c r="AB7" s="183"/>
      <c r="AC7" s="85"/>
      <c r="AD7" s="85"/>
      <c r="AE7" s="85"/>
      <c r="AF7" s="129"/>
      <c r="AG7" s="88"/>
      <c r="AH7" s="88"/>
      <c r="AI7" s="88"/>
      <c r="AJ7" s="86" t="s">
        <v>472</v>
      </c>
      <c r="AK7" s="274"/>
      <c r="AQ7" s="114" t="s">
        <v>462</v>
      </c>
      <c r="AR7" s="115" t="s">
        <v>463</v>
      </c>
      <c r="AS7" s="116" t="s">
        <v>457</v>
      </c>
      <c r="AT7" s="165"/>
      <c r="AU7" s="165"/>
      <c r="AV7" s="165"/>
      <c r="AW7" s="165"/>
      <c r="AX7" s="165"/>
      <c r="AY7" s="165"/>
      <c r="AZ7" s="165"/>
      <c r="BA7" s="165"/>
      <c r="BB7" s="165"/>
      <c r="BC7" s="165"/>
      <c r="BD7" s="165"/>
      <c r="BE7" s="165"/>
      <c r="BF7" s="165"/>
      <c r="BG7" s="165"/>
      <c r="BH7" s="165"/>
      <c r="BI7" s="165"/>
      <c r="BJ7" s="165"/>
      <c r="BK7" s="165"/>
      <c r="BL7" s="165"/>
      <c r="BM7" s="165"/>
      <c r="BN7" s="165"/>
      <c r="BO7" s="165"/>
      <c r="BP7" s="165"/>
      <c r="BQ7" s="165"/>
      <c r="BR7" s="199" t="str">
        <f t="shared" si="2"/>
        <v/>
      </c>
      <c r="BS7" s="200" t="str">
        <f t="shared" si="3"/>
        <v/>
      </c>
      <c r="BT7" s="201" t="str">
        <f t="shared" si="0"/>
        <v/>
      </c>
      <c r="BU7" s="202" t="str">
        <f t="shared" ca="1" si="1"/>
        <v/>
      </c>
      <c r="BW7" s="209"/>
      <c r="BX7"/>
    </row>
    <row r="8" spans="1:77" s="2" customFormat="1" ht="60">
      <c r="A8"/>
      <c r="B8" s="473"/>
      <c r="C8" s="433" t="s">
        <v>340</v>
      </c>
      <c r="D8"/>
      <c r="E8"/>
      <c r="G8" s="46"/>
      <c r="H8" s="31"/>
      <c r="I8"/>
      <c r="J8"/>
      <c r="K8" s="46"/>
      <c r="L8" s="31"/>
      <c r="M8"/>
      <c r="N8"/>
      <c r="O8" s="46"/>
      <c r="P8" s="31"/>
      <c r="Q8"/>
      <c r="R8"/>
      <c r="S8" s="46"/>
      <c r="T8" s="1"/>
      <c r="U8" s="1"/>
      <c r="V8" s="1"/>
      <c r="W8" s="1"/>
      <c r="X8" s="1"/>
      <c r="Y8" s="219"/>
      <c r="Z8" s="275" t="s">
        <v>172</v>
      </c>
      <c r="AA8" s="223" t="s">
        <v>282</v>
      </c>
      <c r="AB8" s="183"/>
      <c r="AC8" s="85"/>
      <c r="AD8" s="85"/>
      <c r="AE8" s="85"/>
      <c r="AF8" s="129"/>
      <c r="AG8" s="88"/>
      <c r="AH8" s="88"/>
      <c r="AI8" s="88"/>
      <c r="AJ8" s="86" t="s">
        <v>472</v>
      </c>
      <c r="AK8" s="274"/>
      <c r="AQ8" s="114" t="s">
        <v>458</v>
      </c>
      <c r="AR8" s="115" t="s">
        <v>464</v>
      </c>
      <c r="AS8" s="116" t="s">
        <v>465</v>
      </c>
      <c r="AT8" s="165"/>
      <c r="AU8" s="165"/>
      <c r="AV8" s="165"/>
      <c r="AW8" s="165"/>
      <c r="AX8" s="165"/>
      <c r="AY8" s="165"/>
      <c r="AZ8" s="165"/>
      <c r="BA8" s="165"/>
      <c r="BB8" s="165"/>
      <c r="BC8" s="165"/>
      <c r="BD8" s="165"/>
      <c r="BE8" s="165"/>
      <c r="BF8" s="165"/>
      <c r="BG8" s="165"/>
      <c r="BH8" s="165"/>
      <c r="BI8" s="165"/>
      <c r="BJ8" s="165"/>
      <c r="BK8" s="165"/>
      <c r="BL8" s="165"/>
      <c r="BM8" s="165"/>
      <c r="BN8" s="165"/>
      <c r="BO8" s="165"/>
      <c r="BP8" s="165"/>
      <c r="BQ8" s="165"/>
      <c r="BR8" s="199" t="str">
        <f t="shared" si="2"/>
        <v/>
      </c>
      <c r="BS8" s="200" t="str">
        <f t="shared" si="3"/>
        <v/>
      </c>
      <c r="BT8" s="201" t="str">
        <f t="shared" si="0"/>
        <v/>
      </c>
      <c r="BU8" s="202" t="str">
        <f t="shared" ca="1" si="1"/>
        <v/>
      </c>
      <c r="BW8" s="209"/>
      <c r="BX8"/>
    </row>
    <row r="9" spans="1:77" s="2" customFormat="1" ht="60">
      <c r="A9"/>
      <c r="B9" s="473"/>
      <c r="C9" s="433" t="s">
        <v>341</v>
      </c>
      <c r="D9"/>
      <c r="E9"/>
      <c r="G9" s="46"/>
      <c r="H9" s="31"/>
      <c r="I9"/>
      <c r="J9"/>
      <c r="K9" s="46"/>
      <c r="L9" s="31"/>
      <c r="M9"/>
      <c r="N9"/>
      <c r="O9" s="46"/>
      <c r="P9" s="31"/>
      <c r="Q9"/>
      <c r="R9"/>
      <c r="S9" s="46"/>
      <c r="T9" s="1"/>
      <c r="U9" s="1"/>
      <c r="V9" s="1"/>
      <c r="W9" s="1"/>
      <c r="X9" s="1"/>
      <c r="Y9" s="219" t="s">
        <v>530</v>
      </c>
      <c r="Z9" s="275" t="s">
        <v>172</v>
      </c>
      <c r="AA9" s="223" t="s">
        <v>282</v>
      </c>
      <c r="AB9" s="183"/>
      <c r="AC9" s="85"/>
      <c r="AD9" s="85"/>
      <c r="AE9" s="85"/>
      <c r="AF9" s="129"/>
      <c r="AG9" s="88"/>
      <c r="AH9" s="88"/>
      <c r="AI9" s="88"/>
      <c r="AJ9" s="86" t="s">
        <v>472</v>
      </c>
      <c r="AK9" s="274"/>
      <c r="AQ9" s="114" t="s">
        <v>527</v>
      </c>
      <c r="AR9" s="115" t="s">
        <v>528</v>
      </c>
      <c r="AS9" s="116" t="s">
        <v>529</v>
      </c>
      <c r="AT9" s="165"/>
      <c r="AU9" s="165"/>
      <c r="AV9" s="165"/>
      <c r="AW9" s="165"/>
      <c r="AX9" s="165"/>
      <c r="AY9" s="165"/>
      <c r="AZ9" s="165"/>
      <c r="BA9" s="165"/>
      <c r="BB9" s="165"/>
      <c r="BC9" s="165"/>
      <c r="BD9" s="165"/>
      <c r="BE9" s="165"/>
      <c r="BF9" s="165"/>
      <c r="BG9" s="165"/>
      <c r="BH9" s="165"/>
      <c r="BI9" s="165"/>
      <c r="BJ9" s="165"/>
      <c r="BK9" s="165"/>
      <c r="BL9" s="165"/>
      <c r="BM9" s="165"/>
      <c r="BN9" s="165"/>
      <c r="BO9" s="165"/>
      <c r="BP9" s="165"/>
      <c r="BQ9" s="165"/>
      <c r="BR9" s="199" t="str">
        <f t="shared" si="2"/>
        <v/>
      </c>
      <c r="BS9" s="200" t="str">
        <f t="shared" si="3"/>
        <v/>
      </c>
      <c r="BT9" s="201" t="str">
        <f t="shared" si="0"/>
        <v/>
      </c>
      <c r="BU9" s="202" t="str">
        <f t="shared" ca="1" si="1"/>
        <v/>
      </c>
      <c r="BW9" s="209"/>
      <c r="BX9"/>
    </row>
    <row r="10" spans="1:77" s="2" customFormat="1" ht="60">
      <c r="A10"/>
      <c r="B10" s="473"/>
      <c r="C10" s="433" t="s">
        <v>342</v>
      </c>
      <c r="D10"/>
      <c r="E10"/>
      <c r="G10" s="46"/>
      <c r="H10" s="31"/>
      <c r="I10"/>
      <c r="J10"/>
      <c r="K10" s="46"/>
      <c r="L10" s="31"/>
      <c r="M10"/>
      <c r="N10"/>
      <c r="O10" s="46"/>
      <c r="P10" s="31"/>
      <c r="Q10"/>
      <c r="R10"/>
      <c r="S10" s="46"/>
      <c r="T10" s="1"/>
      <c r="U10" s="1"/>
      <c r="V10" s="1"/>
      <c r="W10" s="1"/>
      <c r="X10" s="1"/>
      <c r="Y10" s="219"/>
      <c r="Z10" s="275" t="s">
        <v>172</v>
      </c>
      <c r="AA10" s="223" t="s">
        <v>282</v>
      </c>
      <c r="AB10" s="183"/>
      <c r="AC10" s="85"/>
      <c r="AD10" s="85"/>
      <c r="AE10" s="85"/>
      <c r="AF10" s="129"/>
      <c r="AG10" s="88"/>
      <c r="AH10" s="88"/>
      <c r="AI10" s="88"/>
      <c r="AJ10" s="86" t="s">
        <v>472</v>
      </c>
      <c r="AK10" s="274"/>
      <c r="AQ10" s="114" t="s">
        <v>466</v>
      </c>
      <c r="AR10" s="421" t="s">
        <v>467</v>
      </c>
      <c r="AS10" s="422" t="s">
        <v>459</v>
      </c>
      <c r="AT10" s="165"/>
      <c r="AU10" s="165"/>
      <c r="AV10" s="165"/>
      <c r="AW10" s="165"/>
      <c r="AX10" s="165"/>
      <c r="AY10" s="165"/>
      <c r="AZ10" s="165"/>
      <c r="BA10" s="165"/>
      <c r="BB10" s="165"/>
      <c r="BC10" s="165"/>
      <c r="BD10" s="165"/>
      <c r="BE10" s="165"/>
      <c r="BF10" s="165"/>
      <c r="BG10" s="165"/>
      <c r="BH10" s="165"/>
      <c r="BI10" s="165"/>
      <c r="BJ10" s="165"/>
      <c r="BK10" s="165"/>
      <c r="BL10" s="165"/>
      <c r="BM10" s="165"/>
      <c r="BN10" s="165"/>
      <c r="BO10" s="165"/>
      <c r="BP10" s="165"/>
      <c r="BQ10" s="165"/>
      <c r="BR10" s="199" t="str">
        <f t="shared" si="2"/>
        <v/>
      </c>
      <c r="BS10" s="200" t="str">
        <f t="shared" si="3"/>
        <v/>
      </c>
      <c r="BT10" s="201" t="str">
        <f t="shared" si="0"/>
        <v/>
      </c>
      <c r="BU10" s="202" t="str">
        <f t="shared" ca="1" si="1"/>
        <v/>
      </c>
      <c r="BW10" s="209"/>
      <c r="BX10"/>
    </row>
    <row r="11" spans="1:77" s="2" customFormat="1" ht="60">
      <c r="A11"/>
      <c r="B11" s="473"/>
      <c r="C11" s="433" t="s">
        <v>343</v>
      </c>
      <c r="D11"/>
      <c r="E11"/>
      <c r="G11" s="46"/>
      <c r="H11" s="31"/>
      <c r="I11"/>
      <c r="J11"/>
      <c r="K11" s="46"/>
      <c r="L11" s="31"/>
      <c r="M11"/>
      <c r="N11"/>
      <c r="O11" s="46"/>
      <c r="P11" s="31"/>
      <c r="Q11"/>
      <c r="R11"/>
      <c r="S11" s="46"/>
      <c r="T11" s="1"/>
      <c r="U11" s="1"/>
      <c r="V11" s="1"/>
      <c r="W11" s="1"/>
      <c r="X11" s="1"/>
      <c r="Y11" s="219"/>
      <c r="Z11" s="275" t="s">
        <v>172</v>
      </c>
      <c r="AA11" s="223" t="s">
        <v>282</v>
      </c>
      <c r="AB11" s="183"/>
      <c r="AC11" s="85"/>
      <c r="AD11" s="85"/>
      <c r="AE11" s="85"/>
      <c r="AF11" s="129"/>
      <c r="AG11" s="88"/>
      <c r="AH11" s="88"/>
      <c r="AI11" s="88"/>
      <c r="AJ11" s="86" t="s">
        <v>472</v>
      </c>
      <c r="AK11" s="274"/>
      <c r="AQ11" s="114" t="s">
        <v>469</v>
      </c>
      <c r="AR11" s="115" t="s">
        <v>470</v>
      </c>
      <c r="AS11" s="116" t="s">
        <v>461</v>
      </c>
      <c r="AT11" s="165"/>
      <c r="AU11" s="165"/>
      <c r="AV11" s="165"/>
      <c r="AW11" s="165"/>
      <c r="AX11" s="165"/>
      <c r="AY11" s="165"/>
      <c r="AZ11" s="165"/>
      <c r="BA11" s="165"/>
      <c r="BB11" s="165"/>
      <c r="BC11" s="165"/>
      <c r="BD11" s="165"/>
      <c r="BE11" s="165"/>
      <c r="BF11" s="165"/>
      <c r="BG11" s="165"/>
      <c r="BH11" s="165"/>
      <c r="BI11" s="165"/>
      <c r="BJ11" s="165"/>
      <c r="BK11" s="165"/>
      <c r="BL11" s="165"/>
      <c r="BM11" s="165"/>
      <c r="BN11" s="165"/>
      <c r="BO11" s="165"/>
      <c r="BP11" s="165"/>
      <c r="BQ11" s="165"/>
      <c r="BR11" s="199" t="str">
        <f t="shared" si="2"/>
        <v/>
      </c>
      <c r="BS11" s="200" t="str">
        <f t="shared" si="3"/>
        <v/>
      </c>
      <c r="BT11" s="201" t="str">
        <f t="shared" si="0"/>
        <v/>
      </c>
      <c r="BU11" s="202" t="str">
        <f t="shared" ca="1" si="1"/>
        <v/>
      </c>
      <c r="BW11" s="209"/>
      <c r="BX11"/>
    </row>
    <row r="12" spans="1:77" s="2" customFormat="1" ht="60">
      <c r="A12"/>
      <c r="B12" s="473"/>
      <c r="C12" s="433" t="s">
        <v>344</v>
      </c>
      <c r="D12"/>
      <c r="E12"/>
      <c r="G12" s="46"/>
      <c r="H12" s="31"/>
      <c r="I12"/>
      <c r="J12"/>
      <c r="K12" s="46"/>
      <c r="L12" s="31"/>
      <c r="M12"/>
      <c r="N12"/>
      <c r="O12" s="46"/>
      <c r="P12" s="31"/>
      <c r="Q12"/>
      <c r="R12"/>
      <c r="S12" s="46"/>
      <c r="T12" s="1"/>
      <c r="U12" s="1"/>
      <c r="V12" s="1"/>
      <c r="W12" s="1"/>
      <c r="X12" s="1"/>
      <c r="Y12" s="219"/>
      <c r="Z12" s="275" t="s">
        <v>172</v>
      </c>
      <c r="AA12" s="223" t="s">
        <v>282</v>
      </c>
      <c r="AB12" s="183"/>
      <c r="AC12" s="85"/>
      <c r="AD12" s="85"/>
      <c r="AE12" s="85"/>
      <c r="AF12" s="129"/>
      <c r="AG12" s="88"/>
      <c r="AH12" s="88"/>
      <c r="AI12" s="88"/>
      <c r="AJ12" s="86" t="s">
        <v>472</v>
      </c>
      <c r="AK12" s="274"/>
      <c r="AQ12" s="114" t="s">
        <v>460</v>
      </c>
      <c r="AR12" s="115" t="s">
        <v>471</v>
      </c>
      <c r="AS12" s="116" t="s">
        <v>468</v>
      </c>
      <c r="AT12" s="165"/>
      <c r="AU12" s="165"/>
      <c r="AV12" s="165"/>
      <c r="AW12" s="165"/>
      <c r="AX12" s="165"/>
      <c r="AY12" s="165"/>
      <c r="AZ12" s="165"/>
      <c r="BA12" s="165"/>
      <c r="BB12" s="165"/>
      <c r="BC12" s="165"/>
      <c r="BD12" s="165"/>
      <c r="BE12" s="165"/>
      <c r="BF12" s="165"/>
      <c r="BG12" s="165"/>
      <c r="BH12" s="165"/>
      <c r="BI12" s="165"/>
      <c r="BJ12" s="165"/>
      <c r="BK12" s="165"/>
      <c r="BL12" s="165"/>
      <c r="BM12" s="165"/>
      <c r="BN12" s="165"/>
      <c r="BO12" s="165"/>
      <c r="BP12" s="165"/>
      <c r="BQ12" s="165"/>
      <c r="BR12" s="199" t="str">
        <f t="shared" si="2"/>
        <v/>
      </c>
      <c r="BS12" s="200" t="str">
        <f t="shared" si="3"/>
        <v/>
      </c>
      <c r="BW12" s="209"/>
      <c r="BX12"/>
    </row>
    <row r="13" spans="1:77" s="353" customFormat="1" ht="57.75" customHeight="1" thickBot="1">
      <c r="B13" s="474"/>
      <c r="C13" s="252" t="s">
        <v>288</v>
      </c>
      <c r="D13" s="335" t="s">
        <v>81</v>
      </c>
      <c r="E13" s="319" t="s">
        <v>81</v>
      </c>
      <c r="F13" s="298" t="s">
        <v>62</v>
      </c>
      <c r="G13" s="320"/>
      <c r="H13" s="290" t="s">
        <v>54</v>
      </c>
      <c r="I13" s="318"/>
      <c r="J13" s="321"/>
      <c r="K13" s="320"/>
      <c r="L13" s="290" t="s">
        <v>54</v>
      </c>
      <c r="M13" s="319"/>
      <c r="N13" s="319"/>
      <c r="O13" s="320"/>
      <c r="P13" s="290" t="s">
        <v>54</v>
      </c>
      <c r="Q13" s="318"/>
      <c r="R13" s="321"/>
      <c r="S13" s="320"/>
      <c r="T13" s="322" t="s">
        <v>33</v>
      </c>
      <c r="U13" s="322" t="s">
        <v>66</v>
      </c>
      <c r="V13" s="322" t="s">
        <v>36</v>
      </c>
      <c r="W13" s="322" t="s">
        <v>41</v>
      </c>
      <c r="X13" s="322" t="s">
        <v>47</v>
      </c>
      <c r="Y13" s="373"/>
      <c r="Z13" s="84" t="s">
        <v>151</v>
      </c>
      <c r="AA13" s="408" t="s">
        <v>394</v>
      </c>
      <c r="AB13" s="374"/>
      <c r="AC13" s="84" t="s">
        <v>182</v>
      </c>
      <c r="AD13" s="85"/>
      <c r="AE13" s="84"/>
      <c r="AF13" s="86" t="s">
        <v>47</v>
      </c>
      <c r="AG13" s="86"/>
      <c r="AH13" s="86"/>
      <c r="AI13" s="86"/>
      <c r="AJ13" s="86"/>
      <c r="AK13" s="86"/>
      <c r="AL13" s="86"/>
      <c r="AM13" s="128"/>
      <c r="AN13" s="86"/>
      <c r="AO13" s="173"/>
      <c r="AP13" s="174"/>
      <c r="AQ13" s="100"/>
      <c r="AR13" s="90" t="s">
        <v>354</v>
      </c>
      <c r="AS13" s="174" t="s">
        <v>354</v>
      </c>
      <c r="AT13" s="105"/>
      <c r="AU13" s="105"/>
      <c r="AV13" s="105"/>
      <c r="AW13" s="105"/>
      <c r="AX13" s="105"/>
      <c r="AY13" s="105"/>
      <c r="AZ13" s="105"/>
      <c r="BA13" s="105"/>
      <c r="BB13" s="105"/>
      <c r="BC13" s="105"/>
      <c r="BD13" s="105"/>
      <c r="BE13" s="105"/>
      <c r="BF13" s="348"/>
      <c r="BG13" s="348"/>
      <c r="BH13" s="348"/>
      <c r="BI13" s="204"/>
      <c r="BJ13" s="204"/>
      <c r="BK13" s="204"/>
      <c r="BL13" s="204"/>
      <c r="BM13" s="204"/>
      <c r="BN13" s="204"/>
      <c r="BO13" s="204"/>
      <c r="BP13" s="204"/>
      <c r="BQ13" s="204"/>
      <c r="BR13" s="235" t="str">
        <f>+IFERROR(AVERAGE(AT13:BQ13),"")</f>
        <v/>
      </c>
      <c r="BS13" s="389" t="str">
        <f>+IFERROR(VAR(AT13:BQ13),"")</f>
        <v/>
      </c>
      <c r="BT13" s="387" t="str">
        <f t="shared" ref="BT13" si="4">+IFERROR(STDEV(AT14:BQ14)*(1-$BS$1),"")</f>
        <v/>
      </c>
      <c r="BU13" s="388" t="str">
        <f t="shared" ref="BU13" ca="1" si="5">+IF(OR(BT13="",OFFSET(AT14,0,MATCH($B$1,AT$2:BQ$2,0)-1)=""),"",IFERROR(IF(ABS(OFFSET(AT14,0,MATCH($B$1,AT$2:BQ$2,0)-1)-OFFSET(AT14,0,MATCH($B$1,AT$2:BQ$2,0)-2))&gt;BT13,"N","µ"),""))</f>
        <v/>
      </c>
      <c r="BV13" s="94" t="s">
        <v>247</v>
      </c>
      <c r="BW13" s="390"/>
      <c r="BY13" s="95"/>
    </row>
    <row r="16" spans="1:77" s="353" customFormat="1" ht="105.75" customHeight="1">
      <c r="B16" t="s">
        <v>172</v>
      </c>
      <c r="C16" s="434" t="s">
        <v>481</v>
      </c>
      <c r="D16" s="336"/>
      <c r="E16" s="308"/>
      <c r="F16" s="298"/>
      <c r="G16" s="146"/>
      <c r="H16" s="290"/>
      <c r="I16" s="318"/>
      <c r="J16" s="308"/>
      <c r="K16" s="146"/>
      <c r="L16" s="290"/>
      <c r="M16" s="318"/>
      <c r="N16" s="308"/>
      <c r="O16" s="146"/>
      <c r="P16" s="290"/>
      <c r="Q16" s="318"/>
      <c r="R16" s="308"/>
      <c r="S16" s="146"/>
      <c r="T16" s="312"/>
      <c r="U16" s="312"/>
      <c r="V16" s="312"/>
      <c r="W16" s="312"/>
      <c r="X16" s="312"/>
      <c r="Y16" s="373"/>
      <c r="Z16" s="84"/>
      <c r="AA16" s="408"/>
      <c r="AB16" s="374"/>
      <c r="AC16" s="132" t="s">
        <v>391</v>
      </c>
      <c r="AD16" s="85"/>
      <c r="AE16" s="435" t="s">
        <v>482</v>
      </c>
      <c r="AF16" s="86" t="s">
        <v>47</v>
      </c>
      <c r="AG16" s="86"/>
      <c r="AH16" s="86"/>
      <c r="AI16" s="86"/>
      <c r="AJ16" s="420" t="s">
        <v>484</v>
      </c>
      <c r="AK16" s="88"/>
      <c r="AL16" s="86"/>
      <c r="AM16" s="128"/>
      <c r="AN16" s="86"/>
      <c r="AO16" s="173"/>
      <c r="AP16" s="174"/>
      <c r="AQ16" s="175"/>
      <c r="AR16" s="140"/>
      <c r="AS16" s="104">
        <v>1</v>
      </c>
      <c r="AT16" s="105"/>
      <c r="AU16" s="105"/>
      <c r="AV16" s="105"/>
      <c r="AW16" s="105"/>
      <c r="AX16" s="105"/>
      <c r="AY16" s="105"/>
      <c r="AZ16" s="105"/>
      <c r="BA16" s="105"/>
      <c r="BB16" s="105"/>
      <c r="BC16" s="105"/>
      <c r="BD16" s="105"/>
      <c r="BE16" s="105"/>
      <c r="BF16" s="348"/>
      <c r="BG16" s="348"/>
      <c r="BH16" s="348"/>
      <c r="BI16" s="204"/>
      <c r="BJ16" s="204"/>
      <c r="BK16" s="204"/>
      <c r="BL16" s="204"/>
      <c r="BM16" s="204"/>
      <c r="BN16" s="204"/>
      <c r="BO16" s="204"/>
      <c r="BP16" s="204"/>
      <c r="BQ16" s="204"/>
      <c r="BR16" s="234"/>
      <c r="BS16" s="389"/>
      <c r="BT16" s="387"/>
      <c r="BU16" s="388"/>
      <c r="BV16" s="94"/>
      <c r="BW16" s="390"/>
      <c r="BY16" s="95"/>
    </row>
  </sheetData>
  <autoFilter ref="B2:CN11"/>
  <mergeCells count="3">
    <mergeCell ref="W1:X1"/>
    <mergeCell ref="AC1:BG1"/>
    <mergeCell ref="B3:B13"/>
  </mergeCells>
  <conditionalFormatting sqref="AT5:AZ5">
    <cfRule type="cellIs" dxfId="7" priority="5" operator="greaterThanOrEqual">
      <formula>0.081</formula>
    </cfRule>
    <cfRule type="cellIs" dxfId="6" priority="6" operator="between">
      <formula>0.08</formula>
      <formula>0.075</formula>
    </cfRule>
    <cfRule type="cellIs" dxfId="5" priority="7" operator="between">
      <formula>0.074</formula>
      <formula>0.068</formula>
    </cfRule>
    <cfRule type="cellIs" dxfId="4" priority="8" operator="between">
      <formula>0.068</formula>
      <formula>0.000001</formula>
    </cfRule>
  </conditionalFormatting>
  <conditionalFormatting sqref="AT6:AZ12">
    <cfRule type="cellIs" dxfId="3" priority="1" operator="greaterThanOrEqual">
      <formula>0.081</formula>
    </cfRule>
    <cfRule type="cellIs" dxfId="2" priority="2" operator="between">
      <formula>0.08</formula>
      <formula>0.075</formula>
    </cfRule>
    <cfRule type="cellIs" dxfId="1" priority="3" operator="between">
      <formula>0.074</formula>
      <formula>0.068</formula>
    </cfRule>
    <cfRule type="cellIs" dxfId="0" priority="4" operator="between">
      <formula>0.068</formula>
      <formula>0.000001</formula>
    </cfRule>
  </conditionalFormatting>
  <pageMargins left="0.70866141732283505" right="0.70866141732283505" top="0.74803149606299202" bottom="0.74803149606299202" header="0.31496062992126" footer="0.31496062992126"/>
  <pageSetup paperSize="5" scale="36" fitToHeight="1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7"/>
  <sheetViews>
    <sheetView workbookViewId="0">
      <pane xSplit="2" ySplit="1" topLeftCell="M29" activePane="bottomRight" state="frozen"/>
      <selection pane="topRight" activeCell="C1" sqref="C1"/>
      <selection pane="bottomLeft" activeCell="A2" sqref="A2"/>
      <selection pane="bottomRight" activeCell="T43" sqref="T43"/>
    </sheetView>
  </sheetViews>
  <sheetFormatPr defaultRowHeight="15"/>
  <cols>
    <col min="1" max="1" width="36.85546875" bestFit="1" customWidth="1"/>
    <col min="2" max="2" width="36.140625" customWidth="1"/>
    <col min="8" max="8" width="10" bestFit="1" customWidth="1"/>
    <col min="11" max="11" width="10" bestFit="1" customWidth="1"/>
    <col min="14" max="14" width="10" bestFit="1" customWidth="1"/>
    <col min="15" max="18" width="13.7109375" bestFit="1" customWidth="1"/>
    <col min="20" max="20" width="11.28515625" customWidth="1"/>
  </cols>
  <sheetData>
    <row r="1" spans="1:26">
      <c r="A1" s="415" t="s">
        <v>402</v>
      </c>
      <c r="B1" s="416" t="s">
        <v>97</v>
      </c>
      <c r="C1" s="369">
        <v>42035</v>
      </c>
      <c r="D1" s="365">
        <v>42063</v>
      </c>
      <c r="E1" s="365">
        <v>42094</v>
      </c>
      <c r="F1" s="365">
        <v>42124</v>
      </c>
      <c r="G1" s="365">
        <v>42155</v>
      </c>
      <c r="H1" s="365">
        <v>42185</v>
      </c>
      <c r="I1" s="365">
        <v>42216</v>
      </c>
      <c r="J1" s="365">
        <v>42247</v>
      </c>
      <c r="K1" s="365">
        <v>42277</v>
      </c>
      <c r="L1" s="365">
        <v>42308</v>
      </c>
      <c r="M1" s="365">
        <v>42338</v>
      </c>
      <c r="N1" s="365">
        <v>42369</v>
      </c>
      <c r="O1" s="365">
        <v>42400</v>
      </c>
      <c r="P1" s="370">
        <v>42401</v>
      </c>
      <c r="Q1" s="370">
        <v>42430</v>
      </c>
      <c r="R1" s="370">
        <v>42461</v>
      </c>
      <c r="S1" s="370">
        <v>42491</v>
      </c>
      <c r="T1" s="370">
        <v>42522</v>
      </c>
      <c r="U1" s="370">
        <v>42552</v>
      </c>
      <c r="V1" s="370">
        <v>42583</v>
      </c>
      <c r="W1" s="370">
        <v>42614</v>
      </c>
      <c r="X1" s="370">
        <v>42644</v>
      </c>
      <c r="Y1" s="370">
        <v>42675</v>
      </c>
      <c r="Z1" s="370">
        <v>42705</v>
      </c>
    </row>
    <row r="2" spans="1:26">
      <c r="A2" s="414" t="s">
        <v>403</v>
      </c>
      <c r="B2" s="414" t="s">
        <v>404</v>
      </c>
      <c r="C2" s="386"/>
      <c r="D2" s="386"/>
      <c r="E2" s="386"/>
      <c r="F2" s="386"/>
      <c r="G2" s="386"/>
      <c r="H2" s="386">
        <v>27042</v>
      </c>
      <c r="I2" s="386"/>
      <c r="J2" s="386"/>
      <c r="K2" s="386">
        <v>26616</v>
      </c>
      <c r="L2" s="386"/>
      <c r="M2" s="386"/>
      <c r="N2" s="386">
        <v>24653</v>
      </c>
      <c r="O2" s="386">
        <f>31526635.42/1000</f>
        <v>31526.635420000002</v>
      </c>
      <c r="P2" s="386">
        <f>31266469.05/1000</f>
        <v>31266.46905</v>
      </c>
      <c r="Q2" s="386">
        <f>31062683.01/1000</f>
        <v>31062.683010000001</v>
      </c>
      <c r="R2" s="386">
        <f>30883506.55/1000</f>
        <v>30883.506550000002</v>
      </c>
      <c r="S2" s="386"/>
      <c r="T2" s="386">
        <v>24079</v>
      </c>
      <c r="U2" s="386"/>
      <c r="V2" s="386"/>
      <c r="W2" s="386"/>
      <c r="X2" s="386"/>
      <c r="Y2" s="386"/>
      <c r="Z2" s="386"/>
    </row>
    <row r="3" spans="1:26">
      <c r="A3" s="413" t="s">
        <v>405</v>
      </c>
      <c r="B3" s="413"/>
      <c r="C3" s="386"/>
      <c r="D3" s="386"/>
      <c r="E3" s="386"/>
      <c r="F3" s="386"/>
      <c r="G3" s="386"/>
      <c r="H3" s="386"/>
      <c r="I3" s="386"/>
      <c r="J3" s="386"/>
      <c r="K3" s="386"/>
      <c r="L3" s="386"/>
      <c r="M3" s="386"/>
      <c r="N3" s="386"/>
      <c r="O3" s="386"/>
      <c r="P3" s="386"/>
      <c r="Q3" s="386"/>
      <c r="R3" s="386"/>
      <c r="S3" s="386"/>
      <c r="T3" s="386"/>
      <c r="U3" s="386"/>
      <c r="V3" s="386"/>
      <c r="W3" s="386"/>
      <c r="X3" s="386"/>
      <c r="Y3" s="386"/>
      <c r="Z3" s="386"/>
    </row>
    <row r="4" spans="1:26">
      <c r="A4" s="413" t="s">
        <v>406</v>
      </c>
      <c r="B4" s="413"/>
      <c r="C4" s="386"/>
      <c r="D4" s="386"/>
      <c r="E4" s="386"/>
      <c r="F4" s="386"/>
      <c r="G4" s="386"/>
      <c r="H4" s="386"/>
      <c r="I4" s="386"/>
      <c r="J4" s="386"/>
      <c r="K4" s="386"/>
      <c r="L4" s="386"/>
      <c r="M4" s="386"/>
      <c r="N4" s="386"/>
      <c r="O4" s="386"/>
      <c r="P4" s="386"/>
      <c r="Q4" s="386"/>
      <c r="R4" s="386"/>
      <c r="S4" s="386"/>
      <c r="T4" s="386"/>
      <c r="U4" s="386"/>
      <c r="V4" s="386"/>
      <c r="W4" s="386"/>
      <c r="X4" s="386"/>
      <c r="Y4" s="386"/>
      <c r="Z4" s="386"/>
    </row>
    <row r="5" spans="1:26">
      <c r="A5" s="413" t="s">
        <v>407</v>
      </c>
      <c r="B5" s="413"/>
      <c r="C5" s="386"/>
      <c r="D5" s="386"/>
      <c r="E5" s="386"/>
      <c r="F5" s="386"/>
      <c r="G5" s="386"/>
      <c r="H5" s="386"/>
      <c r="I5" s="386"/>
      <c r="J5" s="386"/>
      <c r="K5" s="386"/>
      <c r="L5" s="386"/>
      <c r="M5" s="386"/>
      <c r="N5" s="386"/>
      <c r="O5" s="386"/>
      <c r="P5" s="386"/>
      <c r="Q5" s="386"/>
      <c r="R5" s="386"/>
      <c r="S5" s="386"/>
      <c r="T5" s="386"/>
      <c r="U5" s="386"/>
      <c r="V5" s="386"/>
      <c r="W5" s="386"/>
      <c r="X5" s="386"/>
      <c r="Y5" s="386"/>
      <c r="Z5" s="386"/>
    </row>
    <row r="6" spans="1:26">
      <c r="A6" s="413" t="s">
        <v>408</v>
      </c>
      <c r="B6" s="413"/>
      <c r="C6" s="386"/>
      <c r="D6" s="386"/>
      <c r="E6" s="386"/>
      <c r="F6" s="386"/>
      <c r="G6" s="386"/>
      <c r="H6" s="386"/>
      <c r="I6" s="386"/>
      <c r="J6" s="386"/>
      <c r="K6" s="386"/>
      <c r="L6" s="386"/>
      <c r="M6" s="386"/>
      <c r="N6" s="386"/>
      <c r="O6" s="386"/>
      <c r="P6" s="386"/>
      <c r="Q6" s="386"/>
      <c r="R6" s="386"/>
      <c r="S6" s="386"/>
      <c r="T6" s="386"/>
      <c r="U6" s="386"/>
      <c r="V6" s="386"/>
      <c r="W6" s="386"/>
      <c r="X6" s="386"/>
      <c r="Y6" s="386"/>
      <c r="Z6" s="386"/>
    </row>
    <row r="7" spans="1:26">
      <c r="A7" s="413" t="s">
        <v>409</v>
      </c>
      <c r="B7" s="413"/>
      <c r="C7" s="386"/>
      <c r="D7" s="386"/>
      <c r="E7" s="386"/>
      <c r="F7" s="386"/>
      <c r="G7" s="386"/>
      <c r="H7" s="386"/>
      <c r="I7" s="386"/>
      <c r="J7" s="386"/>
      <c r="K7" s="386"/>
      <c r="L7" s="386"/>
      <c r="M7" s="386"/>
      <c r="N7" s="386"/>
      <c r="O7" s="386"/>
      <c r="P7" s="386"/>
      <c r="Q7" s="386"/>
      <c r="R7" s="386"/>
      <c r="S7" s="386"/>
      <c r="T7" s="386"/>
      <c r="U7" s="386"/>
      <c r="V7" s="386"/>
      <c r="W7" s="386"/>
      <c r="X7" s="386"/>
      <c r="Y7" s="386"/>
      <c r="Z7" s="386"/>
    </row>
    <row r="8" spans="1:26">
      <c r="A8" s="413" t="s">
        <v>410</v>
      </c>
      <c r="B8" s="413"/>
      <c r="C8" s="386"/>
      <c r="D8" s="386"/>
      <c r="E8" s="386"/>
      <c r="F8" s="386"/>
      <c r="G8" s="386"/>
      <c r="H8" s="386"/>
      <c r="I8" s="386"/>
      <c r="J8" s="386"/>
      <c r="K8" s="386"/>
      <c r="L8" s="386"/>
      <c r="M8" s="386"/>
      <c r="N8" s="386"/>
      <c r="O8" s="386"/>
      <c r="P8" s="386"/>
      <c r="Q8" s="386"/>
      <c r="R8" s="386"/>
      <c r="S8" s="386"/>
      <c r="T8" s="386"/>
      <c r="U8" s="386"/>
      <c r="V8" s="386"/>
      <c r="W8" s="386"/>
      <c r="X8" s="386"/>
      <c r="Y8" s="386"/>
      <c r="Z8" s="386"/>
    </row>
    <row r="9" spans="1:26">
      <c r="A9" s="413" t="s">
        <v>411</v>
      </c>
      <c r="B9" s="413"/>
      <c r="C9" s="386"/>
      <c r="D9" s="386"/>
      <c r="E9" s="386"/>
      <c r="F9" s="386"/>
      <c r="G9" s="386"/>
      <c r="H9" s="386"/>
      <c r="I9" s="386"/>
      <c r="J9" s="386"/>
      <c r="K9" s="386"/>
      <c r="L9" s="386"/>
      <c r="M9" s="386"/>
      <c r="N9" s="386"/>
      <c r="O9" s="386"/>
      <c r="P9" s="386"/>
      <c r="Q9" s="386"/>
      <c r="R9" s="386"/>
      <c r="S9" s="386"/>
      <c r="T9" s="386"/>
      <c r="U9" s="386"/>
      <c r="V9" s="386"/>
      <c r="W9" s="386"/>
      <c r="X9" s="386"/>
      <c r="Y9" s="386"/>
      <c r="Z9" s="386"/>
    </row>
    <row r="10" spans="1:26">
      <c r="A10" s="414" t="s">
        <v>412</v>
      </c>
      <c r="B10" s="414" t="s">
        <v>413</v>
      </c>
      <c r="C10" s="386"/>
      <c r="D10" s="386"/>
      <c r="E10" s="386"/>
      <c r="F10" s="386"/>
      <c r="G10" s="386"/>
      <c r="H10" s="386">
        <v>57994</v>
      </c>
      <c r="I10" s="386"/>
      <c r="J10" s="386"/>
      <c r="K10" s="386">
        <v>55697</v>
      </c>
      <c r="L10" s="386"/>
      <c r="M10" s="386"/>
      <c r="N10" s="386">
        <v>56137</v>
      </c>
      <c r="O10" s="386">
        <f>27906461.1/1000</f>
        <v>27906.4611</v>
      </c>
      <c r="P10" s="386">
        <f>11781068.91/1000</f>
        <v>11781.06891</v>
      </c>
      <c r="Q10" s="386">
        <f>34708723.73/1000</f>
        <v>34708.723729999998</v>
      </c>
      <c r="R10" s="386">
        <f>26352727.59/1000</f>
        <v>26352.727589999999</v>
      </c>
      <c r="S10" s="386"/>
      <c r="T10" s="386">
        <v>41520</v>
      </c>
      <c r="U10" s="386"/>
      <c r="V10" s="386"/>
      <c r="W10" s="386"/>
      <c r="X10" s="386"/>
      <c r="Y10" s="386"/>
      <c r="Z10" s="386"/>
    </row>
    <row r="11" spans="1:26">
      <c r="A11" s="413" t="s">
        <v>414</v>
      </c>
      <c r="B11" s="413"/>
      <c r="C11" s="386"/>
      <c r="D11" s="386"/>
      <c r="E11" s="386"/>
      <c r="F11" s="386"/>
      <c r="G11" s="386"/>
      <c r="H11" s="386"/>
      <c r="I11" s="386"/>
      <c r="J11" s="386"/>
      <c r="K11" s="386"/>
      <c r="L11" s="386"/>
      <c r="M11" s="386"/>
      <c r="N11" s="386"/>
      <c r="O11" s="386"/>
      <c r="P11" s="386"/>
      <c r="Q11" s="386"/>
      <c r="R11" s="386"/>
      <c r="S11" s="386"/>
      <c r="T11" s="386"/>
      <c r="U11" s="386"/>
      <c r="V11" s="386"/>
      <c r="W11" s="386"/>
      <c r="X11" s="386"/>
      <c r="Y11" s="386"/>
      <c r="Z11" s="386"/>
    </row>
    <row r="12" spans="1:26">
      <c r="A12" s="413" t="s">
        <v>415</v>
      </c>
      <c r="B12" s="413"/>
      <c r="C12" s="386"/>
      <c r="D12" s="386"/>
      <c r="E12" s="386"/>
      <c r="F12" s="386"/>
      <c r="G12" s="386"/>
      <c r="H12" s="386"/>
      <c r="I12" s="386"/>
      <c r="J12" s="386"/>
      <c r="K12" s="386"/>
      <c r="L12" s="386"/>
      <c r="M12" s="386"/>
      <c r="N12" s="386"/>
      <c r="O12" s="386"/>
      <c r="P12" s="386"/>
      <c r="Q12" s="386"/>
      <c r="R12" s="386"/>
      <c r="S12" s="386"/>
      <c r="T12" s="386"/>
      <c r="U12" s="386"/>
      <c r="V12" s="386"/>
      <c r="W12" s="386"/>
      <c r="X12" s="386"/>
      <c r="Y12" s="386"/>
      <c r="Z12" s="386"/>
    </row>
    <row r="13" spans="1:26">
      <c r="A13" s="475" t="s">
        <v>416</v>
      </c>
      <c r="B13" s="412" t="s">
        <v>417</v>
      </c>
      <c r="C13" s="386"/>
      <c r="D13" s="386"/>
      <c r="E13" s="386"/>
      <c r="F13" s="386"/>
      <c r="G13" s="386"/>
      <c r="H13" s="386">
        <v>252155</v>
      </c>
      <c r="I13" s="386"/>
      <c r="J13" s="386"/>
      <c r="K13" s="386">
        <v>241694</v>
      </c>
      <c r="L13" s="386"/>
      <c r="M13" s="386"/>
      <c r="N13" s="386">
        <v>241714</v>
      </c>
      <c r="O13" s="386"/>
      <c r="P13" s="386"/>
      <c r="Q13" s="386"/>
      <c r="R13" s="386"/>
      <c r="S13" s="386"/>
      <c r="T13" s="386">
        <v>241741</v>
      </c>
      <c r="U13" s="386"/>
      <c r="V13" s="386"/>
      <c r="W13" s="386"/>
      <c r="X13" s="386"/>
      <c r="Y13" s="386"/>
      <c r="Z13" s="386"/>
    </row>
    <row r="14" spans="1:26" ht="25.5">
      <c r="A14" s="475"/>
      <c r="B14" s="412" t="s">
        <v>418</v>
      </c>
      <c r="C14" s="386"/>
      <c r="D14" s="386"/>
      <c r="E14" s="386"/>
      <c r="F14" s="386"/>
      <c r="G14" s="386"/>
      <c r="H14" s="386">
        <v>66416</v>
      </c>
      <c r="I14" s="386"/>
      <c r="J14" s="386"/>
      <c r="K14" s="386">
        <v>65270</v>
      </c>
      <c r="L14" s="386"/>
      <c r="M14" s="386"/>
      <c r="N14" s="386">
        <v>62173</v>
      </c>
      <c r="O14" s="386"/>
      <c r="P14" s="386"/>
      <c r="Q14" s="386"/>
      <c r="R14" s="386"/>
      <c r="S14" s="386"/>
      <c r="T14" s="386">
        <v>60776</v>
      </c>
      <c r="U14" s="386"/>
      <c r="V14" s="386"/>
      <c r="W14" s="386"/>
      <c r="X14" s="386"/>
      <c r="Y14" s="386"/>
      <c r="Z14" s="386"/>
    </row>
    <row r="15" spans="1:26" ht="25.5">
      <c r="A15" s="475"/>
      <c r="B15" s="412" t="s">
        <v>419</v>
      </c>
      <c r="C15" s="386"/>
      <c r="D15" s="386"/>
      <c r="E15" s="386"/>
      <c r="F15" s="386"/>
      <c r="G15" s="386"/>
      <c r="H15" s="386">
        <v>151167</v>
      </c>
      <c r="I15" s="386"/>
      <c r="J15" s="386"/>
      <c r="K15" s="386">
        <v>21110</v>
      </c>
      <c r="L15" s="386"/>
      <c r="M15" s="386"/>
      <c r="N15" s="386">
        <v>47752</v>
      </c>
      <c r="O15" s="386">
        <f>325856490.57/1000</f>
        <v>325856.49056999997</v>
      </c>
      <c r="P15" s="386">
        <f>325400094.01/1000</f>
        <v>325400.09401</v>
      </c>
      <c r="Q15" s="386">
        <f>325402450.25/1000</f>
        <v>325402.45024999999</v>
      </c>
      <c r="R15" s="386">
        <f>325255084.53/1000</f>
        <v>325255.08452999999</v>
      </c>
      <c r="S15" s="386"/>
      <c r="T15" s="386">
        <v>47422</v>
      </c>
      <c r="U15" s="386"/>
      <c r="V15" s="386"/>
      <c r="W15" s="386"/>
      <c r="X15" s="386"/>
      <c r="Y15" s="386"/>
      <c r="Z15" s="386"/>
    </row>
    <row r="16" spans="1:26">
      <c r="A16" s="475"/>
      <c r="B16" s="412" t="s">
        <v>420</v>
      </c>
      <c r="C16" s="386"/>
      <c r="D16" s="386"/>
      <c r="E16" s="386"/>
      <c r="F16" s="386"/>
      <c r="G16" s="386"/>
      <c r="H16" s="386">
        <v>25230</v>
      </c>
      <c r="I16" s="386"/>
      <c r="J16" s="386"/>
      <c r="K16" s="386">
        <v>30205</v>
      </c>
      <c r="L16" s="386"/>
      <c r="M16" s="386"/>
      <c r="N16" s="386">
        <v>29749</v>
      </c>
      <c r="O16" s="386">
        <f>11712692.25/1000</f>
        <v>11712.69225</v>
      </c>
      <c r="P16" s="386">
        <f>11645820.99/1000</f>
        <v>11645.82099</v>
      </c>
      <c r="Q16" s="386">
        <f>11580163.95/1000</f>
        <v>11580.16395</v>
      </c>
      <c r="R16" s="386">
        <f>16024332.05/1000</f>
        <v>16024.332050000001</v>
      </c>
      <c r="S16" s="386"/>
      <c r="T16" s="386">
        <v>27849</v>
      </c>
      <c r="U16" s="386"/>
      <c r="V16" s="386"/>
      <c r="W16" s="386"/>
      <c r="X16" s="386"/>
      <c r="Y16" s="386"/>
      <c r="Z16" s="386"/>
    </row>
    <row r="17" spans="1:26" ht="25.5">
      <c r="A17" s="475" t="s">
        <v>421</v>
      </c>
      <c r="B17" s="412" t="s">
        <v>422</v>
      </c>
      <c r="C17" s="386"/>
      <c r="D17" s="386"/>
      <c r="E17" s="386"/>
      <c r="F17" s="386"/>
      <c r="G17" s="386"/>
      <c r="H17" s="386">
        <v>93307</v>
      </c>
      <c r="I17" s="386"/>
      <c r="J17" s="386"/>
      <c r="K17" s="386">
        <v>93289</v>
      </c>
      <c r="L17" s="386"/>
      <c r="M17" s="386"/>
      <c r="N17" s="386">
        <v>83350</v>
      </c>
      <c r="O17" s="386"/>
      <c r="P17" s="386"/>
      <c r="Q17" s="386"/>
      <c r="R17" s="386"/>
      <c r="S17" s="386"/>
      <c r="T17" s="386">
        <v>80705</v>
      </c>
      <c r="U17" s="386"/>
      <c r="V17" s="386"/>
      <c r="W17" s="386"/>
      <c r="X17" s="386"/>
      <c r="Y17" s="386"/>
      <c r="Z17" s="386"/>
    </row>
    <row r="18" spans="1:26">
      <c r="A18" s="475"/>
      <c r="B18" s="412" t="s">
        <v>423</v>
      </c>
      <c r="C18" s="386"/>
      <c r="D18" s="386"/>
      <c r="E18" s="386"/>
      <c r="F18" s="386"/>
      <c r="G18" s="386"/>
      <c r="H18" s="386">
        <v>115108</v>
      </c>
      <c r="I18" s="386"/>
      <c r="J18" s="386"/>
      <c r="K18" s="386">
        <v>113804</v>
      </c>
      <c r="L18" s="386"/>
      <c r="M18" s="386"/>
      <c r="N18" s="386">
        <v>112766</v>
      </c>
      <c r="O18" s="386">
        <f>140493383.13/1000</f>
        <v>140493.38313</v>
      </c>
      <c r="P18" s="386">
        <f>139494406.51/1000</f>
        <v>139494.40651</v>
      </c>
      <c r="Q18" s="386">
        <f>138450778.8/1000</f>
        <v>138450.7788</v>
      </c>
      <c r="R18" s="386">
        <f>139027661.42/1000</f>
        <v>139027.66141999999</v>
      </c>
      <c r="S18" s="386"/>
      <c r="T18" s="386">
        <v>111430</v>
      </c>
      <c r="U18" s="386"/>
      <c r="V18" s="386"/>
      <c r="W18" s="386"/>
      <c r="X18" s="386"/>
      <c r="Y18" s="386"/>
      <c r="Z18" s="386"/>
    </row>
    <row r="19" spans="1:26">
      <c r="A19" s="413" t="s">
        <v>424</v>
      </c>
      <c r="B19" s="413"/>
      <c r="C19" s="386"/>
      <c r="D19" s="386"/>
      <c r="E19" s="386"/>
      <c r="F19" s="386"/>
      <c r="G19" s="386"/>
      <c r="H19" s="386"/>
      <c r="I19" s="386"/>
      <c r="J19" s="386"/>
      <c r="K19" s="386"/>
      <c r="L19" s="386"/>
      <c r="M19" s="386"/>
      <c r="N19" s="386"/>
      <c r="O19" s="386"/>
      <c r="P19" s="386"/>
      <c r="Q19" s="386"/>
      <c r="R19" s="386"/>
      <c r="S19" s="386"/>
      <c r="T19" s="386"/>
      <c r="U19" s="386"/>
      <c r="V19" s="386"/>
      <c r="W19" s="386"/>
      <c r="X19" s="386"/>
      <c r="Y19" s="386"/>
      <c r="Z19" s="386"/>
    </row>
    <row r="20" spans="1:26">
      <c r="A20" s="413" t="s">
        <v>425</v>
      </c>
      <c r="B20" s="413"/>
      <c r="C20" s="386"/>
      <c r="D20" s="386"/>
      <c r="E20" s="386"/>
      <c r="F20" s="386"/>
      <c r="G20" s="386"/>
      <c r="H20" s="386"/>
      <c r="I20" s="386"/>
      <c r="J20" s="386"/>
      <c r="K20" s="386"/>
      <c r="L20" s="386"/>
      <c r="M20" s="386"/>
      <c r="N20" s="386"/>
      <c r="O20" s="386"/>
      <c r="P20" s="386"/>
      <c r="Q20" s="386"/>
      <c r="R20" s="386"/>
      <c r="S20" s="386"/>
      <c r="T20" s="386"/>
      <c r="U20" s="386"/>
      <c r="V20" s="386"/>
      <c r="W20" s="386"/>
      <c r="X20" s="386"/>
      <c r="Y20" s="386"/>
      <c r="Z20" s="386"/>
    </row>
    <row r="21" spans="1:26">
      <c r="A21" s="413" t="s">
        <v>426</v>
      </c>
      <c r="B21" s="413"/>
      <c r="C21" s="386"/>
      <c r="D21" s="386"/>
      <c r="E21" s="386"/>
      <c r="F21" s="386"/>
      <c r="G21" s="386"/>
      <c r="H21" s="386"/>
      <c r="I21" s="386"/>
      <c r="J21" s="386"/>
      <c r="K21" s="386"/>
      <c r="L21" s="386"/>
      <c r="M21" s="386"/>
      <c r="N21" s="386"/>
      <c r="O21" s="386"/>
      <c r="P21" s="386"/>
      <c r="Q21" s="386"/>
      <c r="R21" s="386"/>
      <c r="S21" s="386"/>
      <c r="T21" s="386"/>
      <c r="U21" s="386"/>
      <c r="V21" s="386"/>
      <c r="W21" s="386"/>
      <c r="X21" s="386"/>
      <c r="Y21" s="386"/>
      <c r="Z21" s="386"/>
    </row>
    <row r="22" spans="1:26">
      <c r="A22" s="414" t="s">
        <v>427</v>
      </c>
      <c r="B22" s="414" t="s">
        <v>428</v>
      </c>
      <c r="C22" s="386"/>
      <c r="D22" s="386"/>
      <c r="E22" s="386"/>
      <c r="F22" s="386"/>
      <c r="G22" s="386"/>
      <c r="H22" s="386">
        <v>13010</v>
      </c>
      <c r="I22" s="386"/>
      <c r="J22" s="386"/>
      <c r="K22" s="386">
        <v>12632</v>
      </c>
      <c r="L22" s="386"/>
      <c r="M22" s="386"/>
      <c r="N22" s="386">
        <v>11864</v>
      </c>
      <c r="O22" s="386">
        <f>13370063.04/1000</f>
        <v>13370.063039999999</v>
      </c>
      <c r="P22" s="386">
        <f>12952155.98/1000</f>
        <v>12952.15598</v>
      </c>
      <c r="Q22" s="386">
        <f>12193058.39/1000</f>
        <v>12193.05839</v>
      </c>
      <c r="R22" s="386">
        <f>11968495.52/1000</f>
        <v>11968.49552</v>
      </c>
      <c r="S22" s="386"/>
      <c r="T22" s="386">
        <v>10713</v>
      </c>
      <c r="U22" s="386"/>
      <c r="V22" s="386"/>
      <c r="W22" s="386"/>
      <c r="X22" s="386"/>
      <c r="Y22" s="386"/>
      <c r="Z22" s="386"/>
    </row>
    <row r="23" spans="1:26">
      <c r="A23" s="413" t="s">
        <v>429</v>
      </c>
      <c r="B23" s="413"/>
      <c r="C23" s="386"/>
      <c r="D23" s="386"/>
      <c r="E23" s="386"/>
      <c r="F23" s="386"/>
      <c r="G23" s="386"/>
      <c r="H23" s="386"/>
      <c r="I23" s="386"/>
      <c r="J23" s="386"/>
      <c r="K23" s="386"/>
      <c r="L23" s="386"/>
      <c r="M23" s="386"/>
      <c r="N23" s="386"/>
      <c r="O23" s="386"/>
      <c r="P23" s="386"/>
      <c r="Q23" s="386"/>
      <c r="R23" s="386"/>
      <c r="S23" s="386"/>
      <c r="T23" s="386"/>
      <c r="U23" s="386"/>
      <c r="V23" s="386"/>
      <c r="W23" s="386"/>
      <c r="X23" s="386"/>
      <c r="Y23" s="386"/>
      <c r="Z23" s="386"/>
    </row>
    <row r="24" spans="1:26" ht="25.5">
      <c r="A24" s="475" t="s">
        <v>430</v>
      </c>
      <c r="B24" s="412" t="s">
        <v>431</v>
      </c>
      <c r="C24" s="386"/>
      <c r="D24" s="386"/>
      <c r="E24" s="386"/>
      <c r="F24" s="386"/>
      <c r="G24" s="386"/>
      <c r="H24" s="386">
        <v>525266</v>
      </c>
      <c r="I24" s="386"/>
      <c r="J24" s="386"/>
      <c r="K24" s="386">
        <v>518665</v>
      </c>
      <c r="L24" s="386"/>
      <c r="M24" s="386"/>
      <c r="N24" s="386">
        <v>515381</v>
      </c>
      <c r="O24" s="386">
        <f>538987387.32/1000</f>
        <v>538987.3873200001</v>
      </c>
      <c r="P24" s="386">
        <f>510083557.16/1000</f>
        <v>510083.55716000003</v>
      </c>
      <c r="Q24" s="386">
        <f>537536185.57/1000</f>
        <v>537536.18557000009</v>
      </c>
      <c r="R24" s="386">
        <f>534813506.21/1000</f>
        <v>534813.50621000002</v>
      </c>
      <c r="S24" s="386"/>
      <c r="T24" s="386">
        <v>515783</v>
      </c>
      <c r="U24" s="386"/>
      <c r="V24" s="386"/>
      <c r="W24" s="386"/>
      <c r="X24" s="386"/>
      <c r="Y24" s="386"/>
      <c r="Z24" s="386"/>
    </row>
    <row r="25" spans="1:26" ht="25.5">
      <c r="A25" s="475"/>
      <c r="B25" s="412" t="s">
        <v>432</v>
      </c>
      <c r="C25" s="386"/>
      <c r="D25" s="386"/>
      <c r="E25" s="386"/>
      <c r="F25" s="386"/>
      <c r="G25" s="386"/>
      <c r="H25" s="386">
        <v>27318</v>
      </c>
      <c r="I25" s="386"/>
      <c r="J25" s="386"/>
      <c r="K25" s="386">
        <v>23187</v>
      </c>
      <c r="L25" s="386"/>
      <c r="M25" s="386"/>
      <c r="N25" s="386">
        <v>4041</v>
      </c>
      <c r="O25" s="386">
        <f>49504369.6/1000</f>
        <v>49504.369599999998</v>
      </c>
      <c r="P25" s="386">
        <f>47628629.31/1000</f>
        <v>47628.629310000004</v>
      </c>
      <c r="Q25" s="386">
        <f>47568114.12/1000</f>
        <v>47568.114119999998</v>
      </c>
      <c r="R25" s="386">
        <f>43938963.75/1000</f>
        <v>43938.963750000003</v>
      </c>
      <c r="S25" s="386"/>
      <c r="T25" s="386">
        <v>399</v>
      </c>
      <c r="U25" s="386"/>
      <c r="V25" s="386"/>
      <c r="W25" s="386"/>
      <c r="X25" s="386"/>
      <c r="Y25" s="386"/>
      <c r="Z25" s="386"/>
    </row>
    <row r="26" spans="1:26">
      <c r="A26" s="414" t="s">
        <v>433</v>
      </c>
      <c r="B26" s="414" t="s">
        <v>434</v>
      </c>
      <c r="C26" s="386"/>
      <c r="D26" s="386"/>
      <c r="E26" s="386"/>
      <c r="F26" s="386"/>
      <c r="G26" s="386"/>
      <c r="H26" s="386">
        <v>89613</v>
      </c>
      <c r="I26" s="386"/>
      <c r="J26" s="386"/>
      <c r="K26" s="386">
        <v>88581</v>
      </c>
      <c r="L26" s="386"/>
      <c r="M26" s="386"/>
      <c r="N26" s="386">
        <v>87688</v>
      </c>
      <c r="O26" s="386">
        <f>87543439.5/1000</f>
        <v>87543.439499999993</v>
      </c>
      <c r="P26" s="386">
        <f>86232032.57/1000</f>
        <v>86232.032569999996</v>
      </c>
      <c r="Q26" s="386">
        <f>85628189.85/1000</f>
        <v>85628.189849999995</v>
      </c>
      <c r="R26" s="386">
        <f>85573070.08/1000</f>
        <v>85573.070080000005</v>
      </c>
      <c r="S26" s="386"/>
      <c r="T26" s="386">
        <v>85470</v>
      </c>
      <c r="U26" s="386"/>
      <c r="V26" s="386"/>
      <c r="W26" s="386"/>
      <c r="X26" s="386"/>
      <c r="Y26" s="386"/>
      <c r="Z26" s="386"/>
    </row>
    <row r="27" spans="1:26" ht="25.5">
      <c r="A27" s="475" t="s">
        <v>435</v>
      </c>
      <c r="B27" s="412" t="s">
        <v>436</v>
      </c>
      <c r="C27" s="386"/>
      <c r="D27" s="386"/>
      <c r="E27" s="386"/>
      <c r="F27" s="386"/>
      <c r="G27" s="386"/>
      <c r="H27" s="386">
        <v>243909</v>
      </c>
      <c r="I27" s="386"/>
      <c r="J27" s="386"/>
      <c r="K27" s="386">
        <v>230757</v>
      </c>
      <c r="L27" s="386"/>
      <c r="M27" s="386"/>
      <c r="N27" s="386">
        <v>232015</v>
      </c>
      <c r="O27" s="386">
        <f>195147935.87/1000</f>
        <v>195147.93587000002</v>
      </c>
      <c r="P27" s="386">
        <f>193531707.78/1000</f>
        <v>193531.70778</v>
      </c>
      <c r="Q27" s="386">
        <f>193623670.75/1000</f>
        <v>193623.67074999999</v>
      </c>
      <c r="R27" s="386">
        <f>189748327.73/1000</f>
        <v>189748.32772999999</v>
      </c>
      <c r="S27" s="386"/>
      <c r="T27" s="386">
        <v>232352</v>
      </c>
      <c r="U27" s="386"/>
      <c r="V27" s="386"/>
      <c r="W27" s="386"/>
      <c r="X27" s="386"/>
      <c r="Y27" s="386"/>
      <c r="Z27" s="386"/>
    </row>
    <row r="28" spans="1:26" ht="25.5">
      <c r="A28" s="475"/>
      <c r="B28" s="412" t="s">
        <v>437</v>
      </c>
      <c r="C28" s="386"/>
      <c r="D28" s="386"/>
      <c r="E28" s="386"/>
      <c r="F28" s="386"/>
      <c r="G28" s="386"/>
      <c r="H28" s="386">
        <v>71016</v>
      </c>
      <c r="I28" s="386"/>
      <c r="J28" s="386"/>
      <c r="K28" s="386">
        <v>65818</v>
      </c>
      <c r="L28" s="386"/>
      <c r="M28" s="386"/>
      <c r="N28" s="386">
        <v>59745</v>
      </c>
      <c r="O28" s="386"/>
      <c r="P28" s="386"/>
      <c r="Q28" s="386"/>
      <c r="R28" s="386"/>
      <c r="S28" s="386"/>
      <c r="T28" s="386">
        <v>57656</v>
      </c>
      <c r="U28" s="386"/>
      <c r="V28" s="386"/>
      <c r="W28" s="386"/>
      <c r="X28" s="386"/>
      <c r="Y28" s="386"/>
      <c r="Z28" s="386"/>
    </row>
    <row r="29" spans="1:26">
      <c r="A29" s="413" t="s">
        <v>438</v>
      </c>
      <c r="B29" s="413"/>
      <c r="C29" s="386"/>
      <c r="D29" s="386"/>
      <c r="E29" s="386"/>
      <c r="F29" s="386"/>
      <c r="G29" s="386"/>
      <c r="H29" s="386"/>
      <c r="I29" s="386"/>
      <c r="J29" s="386"/>
      <c r="K29" s="386"/>
      <c r="L29" s="386"/>
      <c r="M29" s="386"/>
      <c r="N29" s="386"/>
      <c r="O29" s="386"/>
      <c r="P29" s="386"/>
      <c r="Q29" s="386"/>
      <c r="R29" s="386"/>
      <c r="S29" s="386"/>
      <c r="T29" s="386"/>
      <c r="U29" s="386"/>
      <c r="V29" s="386"/>
      <c r="W29" s="386"/>
      <c r="X29" s="386"/>
      <c r="Y29" s="386"/>
      <c r="Z29" s="386"/>
    </row>
    <row r="30" spans="1:26">
      <c r="A30" s="413" t="s">
        <v>439</v>
      </c>
      <c r="B30" s="413"/>
      <c r="C30" s="386"/>
      <c r="D30" s="386"/>
      <c r="E30" s="386"/>
      <c r="F30" s="386"/>
      <c r="G30" s="386"/>
      <c r="H30" s="386"/>
      <c r="I30" s="386"/>
      <c r="J30" s="386"/>
      <c r="K30" s="386"/>
      <c r="L30" s="386"/>
      <c r="M30" s="386"/>
      <c r="N30" s="386"/>
      <c r="O30" s="386"/>
      <c r="P30" s="386"/>
      <c r="Q30" s="386"/>
      <c r="R30" s="386"/>
      <c r="S30" s="386"/>
      <c r="T30" s="386"/>
      <c r="U30" s="386"/>
      <c r="V30" s="386"/>
      <c r="W30" s="386"/>
      <c r="X30" s="386"/>
      <c r="Y30" s="386"/>
      <c r="Z30" s="386"/>
    </row>
    <row r="31" spans="1:26">
      <c r="A31" s="414" t="s">
        <v>440</v>
      </c>
      <c r="B31" s="414" t="s">
        <v>441</v>
      </c>
      <c r="C31" s="386"/>
      <c r="D31" s="386"/>
      <c r="E31" s="386"/>
      <c r="F31" s="386"/>
      <c r="G31" s="386"/>
      <c r="H31" s="386">
        <v>223808</v>
      </c>
      <c r="I31" s="386"/>
      <c r="J31" s="386"/>
      <c r="K31" s="386">
        <v>198458</v>
      </c>
      <c r="L31" s="386"/>
      <c r="M31" s="386"/>
      <c r="N31" s="386">
        <v>159799</v>
      </c>
      <c r="O31" s="386">
        <f>81684978.14/1000</f>
        <v>81684.978140000007</v>
      </c>
      <c r="P31" s="386">
        <f>80331009.67/1000</f>
        <v>80331.009669999999</v>
      </c>
      <c r="Q31" s="386">
        <f>78299412.62/1000</f>
        <v>78299.412620000003</v>
      </c>
      <c r="R31" s="386">
        <f>80391163.53/1000</f>
        <v>80391.163530000005</v>
      </c>
      <c r="S31" s="386"/>
      <c r="T31" s="386">
        <v>148094</v>
      </c>
      <c r="U31" s="386"/>
      <c r="V31" s="386"/>
      <c r="W31" s="386"/>
      <c r="X31" s="386"/>
      <c r="Y31" s="386"/>
      <c r="Z31" s="386"/>
    </row>
    <row r="33" spans="1:26">
      <c r="Q33" s="419"/>
      <c r="R33" s="419"/>
      <c r="T33" s="419"/>
    </row>
    <row r="34" spans="1:26" ht="15.75" thickBot="1"/>
    <row r="35" spans="1:26">
      <c r="A35" s="415" t="s">
        <v>402</v>
      </c>
      <c r="B35" s="416" t="s">
        <v>97</v>
      </c>
      <c r="C35" s="369">
        <v>42035</v>
      </c>
      <c r="D35" s="365">
        <v>42063</v>
      </c>
      <c r="E35" s="365">
        <v>42094</v>
      </c>
      <c r="F35" s="365">
        <v>42124</v>
      </c>
      <c r="G35" s="365">
        <v>42155</v>
      </c>
      <c r="H35" s="365">
        <v>42185</v>
      </c>
      <c r="I35" s="365">
        <v>42216</v>
      </c>
      <c r="J35" s="365">
        <v>42247</v>
      </c>
      <c r="K35" s="365">
        <v>42277</v>
      </c>
      <c r="L35" s="365">
        <v>42308</v>
      </c>
      <c r="M35" s="365">
        <v>42338</v>
      </c>
      <c r="N35" s="365">
        <v>42369</v>
      </c>
      <c r="O35" s="365">
        <v>42400</v>
      </c>
      <c r="P35" s="370">
        <v>42401</v>
      </c>
      <c r="Q35" s="370">
        <v>42430</v>
      </c>
      <c r="R35" s="370">
        <v>42461</v>
      </c>
      <c r="S35" s="370">
        <v>42491</v>
      </c>
      <c r="T35" s="370">
        <v>42522</v>
      </c>
      <c r="U35" s="370">
        <v>42552</v>
      </c>
      <c r="V35" s="370">
        <v>42583</v>
      </c>
      <c r="W35" s="370">
        <v>42614</v>
      </c>
      <c r="X35" s="370">
        <v>42644</v>
      </c>
      <c r="Y35" s="370">
        <v>42675</v>
      </c>
      <c r="Z35" s="370">
        <v>42705</v>
      </c>
    </row>
    <row r="36" spans="1:26">
      <c r="A36" s="430" t="s">
        <v>403</v>
      </c>
      <c r="B36" s="430" t="s">
        <v>404</v>
      </c>
      <c r="C36" s="419">
        <f t="shared" ref="C36:Z36" si="0">(C2)/1000</f>
        <v>0</v>
      </c>
      <c r="D36" s="419">
        <f t="shared" si="0"/>
        <v>0</v>
      </c>
      <c r="E36" s="419">
        <f t="shared" si="0"/>
        <v>0</v>
      </c>
      <c r="F36" s="419">
        <f t="shared" si="0"/>
        <v>0</v>
      </c>
      <c r="G36" s="419">
        <f t="shared" si="0"/>
        <v>0</v>
      </c>
      <c r="H36" s="419">
        <f t="shared" si="0"/>
        <v>27.042000000000002</v>
      </c>
      <c r="I36" s="419">
        <f t="shared" si="0"/>
        <v>0</v>
      </c>
      <c r="J36" s="419">
        <f t="shared" si="0"/>
        <v>0</v>
      </c>
      <c r="K36" s="419">
        <f t="shared" si="0"/>
        <v>26.616</v>
      </c>
      <c r="L36" s="419">
        <f t="shared" si="0"/>
        <v>0</v>
      </c>
      <c r="M36" s="419">
        <f t="shared" si="0"/>
        <v>0</v>
      </c>
      <c r="N36" s="419">
        <f t="shared" si="0"/>
        <v>24.652999999999999</v>
      </c>
      <c r="O36" s="419">
        <f t="shared" si="0"/>
        <v>31.526635420000002</v>
      </c>
      <c r="P36" s="419">
        <f t="shared" si="0"/>
        <v>31.266469050000001</v>
      </c>
      <c r="Q36" s="419">
        <f t="shared" si="0"/>
        <v>31.062683010000001</v>
      </c>
      <c r="R36" s="419">
        <f t="shared" si="0"/>
        <v>30.883506550000003</v>
      </c>
      <c r="S36" s="419">
        <f t="shared" si="0"/>
        <v>0</v>
      </c>
      <c r="T36" s="419">
        <f t="shared" si="0"/>
        <v>24.079000000000001</v>
      </c>
      <c r="U36" s="419">
        <f t="shared" si="0"/>
        <v>0</v>
      </c>
      <c r="V36" s="419">
        <f t="shared" si="0"/>
        <v>0</v>
      </c>
      <c r="W36" s="419">
        <f t="shared" si="0"/>
        <v>0</v>
      </c>
      <c r="X36" s="419">
        <f t="shared" si="0"/>
        <v>0</v>
      </c>
      <c r="Y36" s="419">
        <f t="shared" si="0"/>
        <v>0</v>
      </c>
      <c r="Z36" s="419">
        <f t="shared" si="0"/>
        <v>0</v>
      </c>
    </row>
    <row r="37" spans="1:26">
      <c r="A37" s="430" t="s">
        <v>412</v>
      </c>
      <c r="B37" s="430" t="s">
        <v>413</v>
      </c>
      <c r="C37" s="419">
        <f t="shared" ref="C37:Z37" si="1">(C10)/1000</f>
        <v>0</v>
      </c>
      <c r="D37" s="419">
        <f t="shared" si="1"/>
        <v>0</v>
      </c>
      <c r="E37" s="419">
        <f t="shared" si="1"/>
        <v>0</v>
      </c>
      <c r="F37" s="419">
        <f t="shared" si="1"/>
        <v>0</v>
      </c>
      <c r="G37" s="419">
        <f t="shared" si="1"/>
        <v>0</v>
      </c>
      <c r="H37" s="419">
        <f t="shared" si="1"/>
        <v>57.994</v>
      </c>
      <c r="I37" s="419">
        <f t="shared" si="1"/>
        <v>0</v>
      </c>
      <c r="J37" s="419">
        <f t="shared" si="1"/>
        <v>0</v>
      </c>
      <c r="K37" s="419">
        <f t="shared" si="1"/>
        <v>55.697000000000003</v>
      </c>
      <c r="L37" s="419">
        <f t="shared" si="1"/>
        <v>0</v>
      </c>
      <c r="M37" s="419">
        <f t="shared" si="1"/>
        <v>0</v>
      </c>
      <c r="N37" s="419">
        <f t="shared" si="1"/>
        <v>56.137</v>
      </c>
      <c r="O37" s="419">
        <f t="shared" si="1"/>
        <v>27.906461100000001</v>
      </c>
      <c r="P37" s="419">
        <f t="shared" si="1"/>
        <v>11.78106891</v>
      </c>
      <c r="Q37" s="419">
        <f t="shared" si="1"/>
        <v>34.708723729999996</v>
      </c>
      <c r="R37" s="419">
        <f t="shared" si="1"/>
        <v>26.352727589999997</v>
      </c>
      <c r="S37" s="419">
        <f t="shared" si="1"/>
        <v>0</v>
      </c>
      <c r="T37" s="419">
        <f t="shared" si="1"/>
        <v>41.52</v>
      </c>
      <c r="U37" s="419">
        <f t="shared" si="1"/>
        <v>0</v>
      </c>
      <c r="V37" s="419">
        <f t="shared" si="1"/>
        <v>0</v>
      </c>
      <c r="W37" s="419">
        <f t="shared" si="1"/>
        <v>0</v>
      </c>
      <c r="X37" s="419">
        <f t="shared" si="1"/>
        <v>0</v>
      </c>
      <c r="Y37" s="419">
        <f t="shared" si="1"/>
        <v>0</v>
      </c>
      <c r="Z37" s="419">
        <f t="shared" si="1"/>
        <v>0</v>
      </c>
    </row>
    <row r="38" spans="1:26" s="429" customFormat="1" ht="63.75">
      <c r="A38" s="427" t="s">
        <v>416</v>
      </c>
      <c r="B38" s="428" t="s">
        <v>445</v>
      </c>
      <c r="C38" s="426">
        <f t="shared" ref="C38:Z38" si="2">(C13+C14+C15+C16)/1000</f>
        <v>0</v>
      </c>
      <c r="D38" s="426">
        <f t="shared" si="2"/>
        <v>0</v>
      </c>
      <c r="E38" s="426">
        <f t="shared" si="2"/>
        <v>0</v>
      </c>
      <c r="F38" s="426">
        <f t="shared" si="2"/>
        <v>0</v>
      </c>
      <c r="G38" s="426">
        <f t="shared" si="2"/>
        <v>0</v>
      </c>
      <c r="H38" s="426">
        <f t="shared" si="2"/>
        <v>494.96800000000002</v>
      </c>
      <c r="I38" s="426">
        <f t="shared" si="2"/>
        <v>0</v>
      </c>
      <c r="J38" s="426">
        <f t="shared" si="2"/>
        <v>0</v>
      </c>
      <c r="K38" s="426">
        <f t="shared" si="2"/>
        <v>358.279</v>
      </c>
      <c r="L38" s="426">
        <f t="shared" si="2"/>
        <v>0</v>
      </c>
      <c r="M38" s="426">
        <f t="shared" si="2"/>
        <v>0</v>
      </c>
      <c r="N38" s="426">
        <f t="shared" si="2"/>
        <v>381.38799999999998</v>
      </c>
      <c r="O38" s="426">
        <f t="shared" si="2"/>
        <v>337.56918281999998</v>
      </c>
      <c r="P38" s="426">
        <f t="shared" si="2"/>
        <v>337.04591499999998</v>
      </c>
      <c r="Q38" s="426">
        <f t="shared" si="2"/>
        <v>336.9826142</v>
      </c>
      <c r="R38" s="426">
        <f t="shared" si="2"/>
        <v>341.27941658000003</v>
      </c>
      <c r="S38" s="426">
        <f t="shared" si="2"/>
        <v>0</v>
      </c>
      <c r="T38" s="426">
        <f t="shared" si="2"/>
        <v>377.78800000000001</v>
      </c>
      <c r="U38" s="426">
        <f t="shared" si="2"/>
        <v>0</v>
      </c>
      <c r="V38" s="426">
        <f t="shared" si="2"/>
        <v>0</v>
      </c>
      <c r="W38" s="426">
        <f t="shared" si="2"/>
        <v>0</v>
      </c>
      <c r="X38" s="426">
        <f t="shared" si="2"/>
        <v>0</v>
      </c>
      <c r="Y38" s="426">
        <f t="shared" si="2"/>
        <v>0</v>
      </c>
      <c r="Z38" s="426">
        <f t="shared" si="2"/>
        <v>0</v>
      </c>
    </row>
    <row r="39" spans="1:26" ht="38.25">
      <c r="A39" s="430" t="s">
        <v>421</v>
      </c>
      <c r="B39" s="431" t="s">
        <v>444</v>
      </c>
      <c r="C39" s="419">
        <f t="shared" ref="C39:Z39" si="3">(C17+C18)/1000</f>
        <v>0</v>
      </c>
      <c r="D39" s="419">
        <f t="shared" si="3"/>
        <v>0</v>
      </c>
      <c r="E39" s="419">
        <f t="shared" si="3"/>
        <v>0</v>
      </c>
      <c r="F39" s="419">
        <f t="shared" si="3"/>
        <v>0</v>
      </c>
      <c r="G39" s="419">
        <f t="shared" si="3"/>
        <v>0</v>
      </c>
      <c r="H39" s="419">
        <f t="shared" si="3"/>
        <v>208.41499999999999</v>
      </c>
      <c r="I39" s="419">
        <f t="shared" si="3"/>
        <v>0</v>
      </c>
      <c r="J39" s="419">
        <f t="shared" si="3"/>
        <v>0</v>
      </c>
      <c r="K39" s="419">
        <f t="shared" si="3"/>
        <v>207.09299999999999</v>
      </c>
      <c r="L39" s="419">
        <f t="shared" si="3"/>
        <v>0</v>
      </c>
      <c r="M39" s="419">
        <f t="shared" si="3"/>
        <v>0</v>
      </c>
      <c r="N39" s="419">
        <f t="shared" si="3"/>
        <v>196.11600000000001</v>
      </c>
      <c r="O39" s="419">
        <f t="shared" si="3"/>
        <v>140.49338313000001</v>
      </c>
      <c r="P39" s="419">
        <f t="shared" si="3"/>
        <v>139.49440651</v>
      </c>
      <c r="Q39" s="419">
        <f t="shared" si="3"/>
        <v>138.45077879999999</v>
      </c>
      <c r="R39" s="419">
        <f t="shared" si="3"/>
        <v>139.02766141999999</v>
      </c>
      <c r="S39" s="419">
        <f t="shared" si="3"/>
        <v>0</v>
      </c>
      <c r="T39" s="419">
        <f t="shared" si="3"/>
        <v>192.13499999999999</v>
      </c>
      <c r="U39" s="419">
        <f t="shared" si="3"/>
        <v>0</v>
      </c>
      <c r="V39" s="419">
        <f t="shared" si="3"/>
        <v>0</v>
      </c>
      <c r="W39" s="419">
        <f t="shared" si="3"/>
        <v>0</v>
      </c>
      <c r="X39" s="419">
        <f t="shared" si="3"/>
        <v>0</v>
      </c>
      <c r="Y39" s="419">
        <f t="shared" si="3"/>
        <v>0</v>
      </c>
      <c r="Z39" s="419">
        <f t="shared" si="3"/>
        <v>0</v>
      </c>
    </row>
    <row r="40" spans="1:26">
      <c r="A40" s="430" t="s">
        <v>427</v>
      </c>
      <c r="B40" s="430" t="s">
        <v>428</v>
      </c>
      <c r="C40" s="419">
        <f t="shared" ref="C40:Z40" si="4">(C22)/1000</f>
        <v>0</v>
      </c>
      <c r="D40" s="419">
        <f t="shared" si="4"/>
        <v>0</v>
      </c>
      <c r="E40" s="419">
        <f t="shared" si="4"/>
        <v>0</v>
      </c>
      <c r="F40" s="419">
        <f t="shared" si="4"/>
        <v>0</v>
      </c>
      <c r="G40" s="419">
        <f t="shared" si="4"/>
        <v>0</v>
      </c>
      <c r="H40" s="419">
        <f t="shared" si="4"/>
        <v>13.01</v>
      </c>
      <c r="I40" s="419">
        <f t="shared" si="4"/>
        <v>0</v>
      </c>
      <c r="J40" s="419">
        <f t="shared" si="4"/>
        <v>0</v>
      </c>
      <c r="K40" s="419">
        <f t="shared" si="4"/>
        <v>12.632</v>
      </c>
      <c r="L40" s="419">
        <f t="shared" si="4"/>
        <v>0</v>
      </c>
      <c r="M40" s="419">
        <f t="shared" si="4"/>
        <v>0</v>
      </c>
      <c r="N40" s="419">
        <f t="shared" si="4"/>
        <v>11.864000000000001</v>
      </c>
      <c r="O40" s="419">
        <f t="shared" si="4"/>
        <v>13.37006304</v>
      </c>
      <c r="P40" s="419">
        <f t="shared" si="4"/>
        <v>12.952155979999999</v>
      </c>
      <c r="Q40" s="419">
        <f t="shared" si="4"/>
        <v>12.193058390000001</v>
      </c>
      <c r="R40" s="419">
        <f t="shared" si="4"/>
        <v>11.968495520000001</v>
      </c>
      <c r="S40" s="419">
        <f t="shared" si="4"/>
        <v>0</v>
      </c>
      <c r="T40" s="419">
        <f t="shared" si="4"/>
        <v>10.712999999999999</v>
      </c>
      <c r="U40" s="419">
        <f t="shared" si="4"/>
        <v>0</v>
      </c>
      <c r="V40" s="419">
        <f t="shared" si="4"/>
        <v>0</v>
      </c>
      <c r="W40" s="419">
        <f t="shared" si="4"/>
        <v>0</v>
      </c>
      <c r="X40" s="419">
        <f t="shared" si="4"/>
        <v>0</v>
      </c>
      <c r="Y40" s="419">
        <f t="shared" si="4"/>
        <v>0</v>
      </c>
      <c r="Z40" s="419">
        <f t="shared" si="4"/>
        <v>0</v>
      </c>
    </row>
    <row r="41" spans="1:26" s="429" customFormat="1" ht="38.25">
      <c r="A41" s="427" t="s">
        <v>430</v>
      </c>
      <c r="B41" s="428" t="s">
        <v>442</v>
      </c>
      <c r="C41" s="426">
        <f t="shared" ref="C41:Z41" si="5">(C24+C25)/1000</f>
        <v>0</v>
      </c>
      <c r="D41" s="426">
        <f t="shared" si="5"/>
        <v>0</v>
      </c>
      <c r="E41" s="426">
        <f t="shared" si="5"/>
        <v>0</v>
      </c>
      <c r="F41" s="426">
        <f t="shared" si="5"/>
        <v>0</v>
      </c>
      <c r="G41" s="426">
        <f t="shared" si="5"/>
        <v>0</v>
      </c>
      <c r="H41" s="426">
        <f t="shared" si="5"/>
        <v>552.58399999999995</v>
      </c>
      <c r="I41" s="426">
        <f t="shared" si="5"/>
        <v>0</v>
      </c>
      <c r="J41" s="426">
        <f t="shared" si="5"/>
        <v>0</v>
      </c>
      <c r="K41" s="426">
        <f t="shared" si="5"/>
        <v>541.85199999999998</v>
      </c>
      <c r="L41" s="426">
        <f t="shared" si="5"/>
        <v>0</v>
      </c>
      <c r="M41" s="426">
        <f t="shared" si="5"/>
        <v>0</v>
      </c>
      <c r="N41" s="426">
        <f t="shared" si="5"/>
        <v>519.42200000000003</v>
      </c>
      <c r="O41" s="426">
        <f t="shared" si="5"/>
        <v>588.49175692000006</v>
      </c>
      <c r="P41" s="426">
        <f t="shared" si="5"/>
        <v>557.71218647000012</v>
      </c>
      <c r="Q41" s="426">
        <f t="shared" si="5"/>
        <v>585.10429969000018</v>
      </c>
      <c r="R41" s="426">
        <f t="shared" si="5"/>
        <v>578.75246995999998</v>
      </c>
      <c r="S41" s="426">
        <f t="shared" si="5"/>
        <v>0</v>
      </c>
      <c r="T41" s="426">
        <f t="shared" si="5"/>
        <v>516.18200000000002</v>
      </c>
      <c r="U41" s="426">
        <f t="shared" si="5"/>
        <v>0</v>
      </c>
      <c r="V41" s="426">
        <f t="shared" si="5"/>
        <v>0</v>
      </c>
      <c r="W41" s="426">
        <f t="shared" si="5"/>
        <v>0</v>
      </c>
      <c r="X41" s="426">
        <f t="shared" si="5"/>
        <v>0</v>
      </c>
      <c r="Y41" s="426">
        <f t="shared" si="5"/>
        <v>0</v>
      </c>
      <c r="Z41" s="426">
        <f t="shared" si="5"/>
        <v>0</v>
      </c>
    </row>
    <row r="42" spans="1:26">
      <c r="A42" s="430" t="s">
        <v>433</v>
      </c>
      <c r="B42" s="430" t="s">
        <v>434</v>
      </c>
      <c r="C42" s="419">
        <f t="shared" ref="C42:Z42" si="6">(C26)/1000</f>
        <v>0</v>
      </c>
      <c r="D42" s="419">
        <f t="shared" si="6"/>
        <v>0</v>
      </c>
      <c r="E42" s="419">
        <f t="shared" si="6"/>
        <v>0</v>
      </c>
      <c r="F42" s="419">
        <f t="shared" si="6"/>
        <v>0</v>
      </c>
      <c r="G42" s="419">
        <f t="shared" si="6"/>
        <v>0</v>
      </c>
      <c r="H42" s="419">
        <f t="shared" si="6"/>
        <v>89.613</v>
      </c>
      <c r="I42" s="419">
        <f t="shared" si="6"/>
        <v>0</v>
      </c>
      <c r="J42" s="419">
        <f t="shared" si="6"/>
        <v>0</v>
      </c>
      <c r="K42" s="419">
        <f t="shared" si="6"/>
        <v>88.581000000000003</v>
      </c>
      <c r="L42" s="419">
        <f t="shared" si="6"/>
        <v>0</v>
      </c>
      <c r="M42" s="419">
        <f t="shared" si="6"/>
        <v>0</v>
      </c>
      <c r="N42" s="419">
        <f t="shared" si="6"/>
        <v>87.688000000000002</v>
      </c>
      <c r="O42" s="419">
        <f t="shared" si="6"/>
        <v>87.543439499999991</v>
      </c>
      <c r="P42" s="419">
        <f t="shared" si="6"/>
        <v>86.232032570000001</v>
      </c>
      <c r="Q42" s="419">
        <f t="shared" si="6"/>
        <v>85.628189849999998</v>
      </c>
      <c r="R42" s="419">
        <f t="shared" si="6"/>
        <v>85.573070080000008</v>
      </c>
      <c r="S42" s="419">
        <f t="shared" si="6"/>
        <v>0</v>
      </c>
      <c r="T42" s="419">
        <f t="shared" si="6"/>
        <v>85.47</v>
      </c>
      <c r="U42" s="419">
        <f t="shared" si="6"/>
        <v>0</v>
      </c>
      <c r="V42" s="419">
        <f t="shared" si="6"/>
        <v>0</v>
      </c>
      <c r="W42" s="419">
        <f t="shared" si="6"/>
        <v>0</v>
      </c>
      <c r="X42" s="419">
        <f t="shared" si="6"/>
        <v>0</v>
      </c>
      <c r="Y42" s="419">
        <f t="shared" si="6"/>
        <v>0</v>
      </c>
      <c r="Z42" s="419">
        <f t="shared" si="6"/>
        <v>0</v>
      </c>
    </row>
    <row r="43" spans="1:26" ht="51">
      <c r="A43" s="430" t="s">
        <v>435</v>
      </c>
      <c r="B43" s="431" t="s">
        <v>443</v>
      </c>
      <c r="C43" s="419">
        <f t="shared" ref="C43:Z43" si="7">(C27+C28)/1000</f>
        <v>0</v>
      </c>
      <c r="D43" s="419">
        <f t="shared" si="7"/>
        <v>0</v>
      </c>
      <c r="E43" s="419">
        <f t="shared" si="7"/>
        <v>0</v>
      </c>
      <c r="F43" s="419">
        <f t="shared" si="7"/>
        <v>0</v>
      </c>
      <c r="G43" s="419">
        <f t="shared" si="7"/>
        <v>0</v>
      </c>
      <c r="H43" s="432">
        <f t="shared" si="7"/>
        <v>314.92500000000001</v>
      </c>
      <c r="I43" s="419">
        <f t="shared" si="7"/>
        <v>0</v>
      </c>
      <c r="J43" s="419">
        <f t="shared" si="7"/>
        <v>0</v>
      </c>
      <c r="K43" s="432">
        <f t="shared" si="7"/>
        <v>296.57499999999999</v>
      </c>
      <c r="L43" s="419">
        <f t="shared" si="7"/>
        <v>0</v>
      </c>
      <c r="M43" s="419">
        <f t="shared" si="7"/>
        <v>0</v>
      </c>
      <c r="N43" s="432">
        <f t="shared" si="7"/>
        <v>291.76</v>
      </c>
      <c r="O43" s="432">
        <f t="shared" si="7"/>
        <v>195.14793587000003</v>
      </c>
      <c r="P43" s="432">
        <f t="shared" si="7"/>
        <v>193.53170778</v>
      </c>
      <c r="Q43" s="432">
        <f t="shared" si="7"/>
        <v>193.62367075</v>
      </c>
      <c r="R43" s="432">
        <f t="shared" si="7"/>
        <v>189.74832773</v>
      </c>
      <c r="S43" s="419">
        <f t="shared" si="7"/>
        <v>0</v>
      </c>
      <c r="T43" s="419">
        <f t="shared" si="7"/>
        <v>290.00799999999998</v>
      </c>
      <c r="U43" s="419">
        <f t="shared" si="7"/>
        <v>0</v>
      </c>
      <c r="V43" s="419">
        <f t="shared" si="7"/>
        <v>0</v>
      </c>
      <c r="W43" s="419">
        <f t="shared" si="7"/>
        <v>0</v>
      </c>
      <c r="X43" s="419">
        <f t="shared" si="7"/>
        <v>0</v>
      </c>
      <c r="Y43" s="419">
        <f t="shared" si="7"/>
        <v>0</v>
      </c>
      <c r="Z43" s="419">
        <f t="shared" si="7"/>
        <v>0</v>
      </c>
    </row>
    <row r="44" spans="1:26">
      <c r="A44" s="430" t="s">
        <v>440</v>
      </c>
      <c r="B44" s="430" t="s">
        <v>441</v>
      </c>
      <c r="C44" s="419">
        <f t="shared" ref="C44:Z44" si="8">(C31)/1000</f>
        <v>0</v>
      </c>
      <c r="D44" s="419">
        <f t="shared" si="8"/>
        <v>0</v>
      </c>
      <c r="E44" s="419">
        <f t="shared" si="8"/>
        <v>0</v>
      </c>
      <c r="F44" s="419">
        <f t="shared" si="8"/>
        <v>0</v>
      </c>
      <c r="G44" s="419">
        <f t="shared" si="8"/>
        <v>0</v>
      </c>
      <c r="H44" s="419">
        <f t="shared" si="8"/>
        <v>223.80799999999999</v>
      </c>
      <c r="I44" s="419">
        <f t="shared" si="8"/>
        <v>0</v>
      </c>
      <c r="J44" s="419">
        <f t="shared" si="8"/>
        <v>0</v>
      </c>
      <c r="K44" s="419">
        <f t="shared" si="8"/>
        <v>198.458</v>
      </c>
      <c r="L44" s="419">
        <f t="shared" si="8"/>
        <v>0</v>
      </c>
      <c r="M44" s="419">
        <f t="shared" si="8"/>
        <v>0</v>
      </c>
      <c r="N44" s="419">
        <f t="shared" si="8"/>
        <v>159.79900000000001</v>
      </c>
      <c r="O44" s="419">
        <f t="shared" si="8"/>
        <v>81.684978140000013</v>
      </c>
      <c r="P44" s="419">
        <f t="shared" si="8"/>
        <v>80.33100967</v>
      </c>
      <c r="Q44" s="419">
        <f t="shared" si="8"/>
        <v>78.299412619999998</v>
      </c>
      <c r="R44" s="419">
        <f t="shared" si="8"/>
        <v>80.39116353</v>
      </c>
      <c r="S44" s="419">
        <f t="shared" si="8"/>
        <v>0</v>
      </c>
      <c r="T44" s="419">
        <f t="shared" si="8"/>
        <v>148.09399999999999</v>
      </c>
      <c r="U44" s="419">
        <f t="shared" si="8"/>
        <v>0</v>
      </c>
      <c r="V44" s="419">
        <f t="shared" si="8"/>
        <v>0</v>
      </c>
      <c r="W44" s="419">
        <f t="shared" si="8"/>
        <v>0</v>
      </c>
      <c r="X44" s="419">
        <f t="shared" si="8"/>
        <v>0</v>
      </c>
      <c r="Y44" s="419">
        <f t="shared" si="8"/>
        <v>0</v>
      </c>
      <c r="Z44" s="419">
        <f t="shared" si="8"/>
        <v>0</v>
      </c>
    </row>
    <row r="46" spans="1:26">
      <c r="N46" s="419">
        <f>SUM(N36:N44)</f>
        <v>1728.827</v>
      </c>
      <c r="O46" s="419">
        <f>SUM(O36:O44)</f>
        <v>1503.7338359400001</v>
      </c>
      <c r="P46" s="419"/>
    </row>
    <row r="47" spans="1:26">
      <c r="O47" s="419">
        <f>O46-N46</f>
        <v>-225.09316405999994</v>
      </c>
    </row>
  </sheetData>
  <mergeCells count="4">
    <mergeCell ref="A13:A16"/>
    <mergeCell ref="A17:A18"/>
    <mergeCell ref="A24:A25"/>
    <mergeCell ref="A27:A2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BSPR RAS metrics</vt:lpstr>
      <vt:lpstr>Bancorp RAS metrics</vt:lpstr>
      <vt:lpstr>Eliminated from RAS</vt:lpstr>
      <vt:lpstr>Not included in RAS-Only Monit </vt:lpstr>
      <vt:lpstr>Industry Exposure OCC</vt:lpstr>
      <vt:lpstr>'Bancorp RAS metrics'!Print_Area</vt:lpstr>
      <vt:lpstr>'BSPR RAS metrics'!Print_Area</vt:lpstr>
      <vt:lpstr>'Bancorp RAS metrics'!Print_Titles</vt:lpstr>
      <vt:lpstr>'BSPR RAS metrics'!Print_Titles</vt:lpstr>
      <vt:lpstr>'Eliminated from RAS'!Print_Titles</vt:lpstr>
      <vt:lpstr>'Not included in RAS-Only Monit '!Print_Titles</vt:lpstr>
    </vt:vector>
  </TitlesOfParts>
  <Company>Sovereign Bank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Jaume Martorell</dc:creator>
  <cp:lastModifiedBy>Cheng, Wanxin</cp:lastModifiedBy>
  <cp:lastPrinted>2016-02-17T12:55:16Z</cp:lastPrinted>
  <dcterms:created xsi:type="dcterms:W3CDTF">2015-11-30T16:23:26Z</dcterms:created>
  <dcterms:modified xsi:type="dcterms:W3CDTF">2016-05-20T03:49:22Z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{48F748E0-6690-451F-9473-C8F300F2ACB6}</vt:lpwstr>
  </property>
</Properties>
</file>